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cuments\00_MIA\000 TESIS NeuroGuía\01_TESIS_NEUROGUÍA\"/>
    </mc:Choice>
  </mc:AlternateContent>
  <xr:revisionPtr revIDLastSave="0" documentId="8_{7477C5FF-6F48-450F-8A49-5299803819F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00_Instrucciones" sheetId="1" r:id="rId1"/>
    <sheet name="01_WHOQOL_Items" sheetId="2" r:id="rId2"/>
    <sheet name="02_Puntajes" sheetId="3" r:id="rId3"/>
    <sheet name="03_Resumen_Dominios" sheetId="4" r:id="rId4"/>
    <sheet name="04_Mapeo_WHOQOL" sheetId="5" r:id="rId5"/>
    <sheet name="05_Tabla_6_4_5" sheetId="6" r:id="rId6"/>
    <sheet name="06_Dashboard" sheetId="8" r:id="rId7"/>
  </sheets>
  <calcPr calcId="181029"/>
</workbook>
</file>

<file path=xl/calcChain.xml><?xml version="1.0" encoding="utf-8"?>
<calcChain xmlns="http://schemas.openxmlformats.org/spreadsheetml/2006/main">
  <c r="AC563" i="3" l="1"/>
  <c r="AB563" i="3"/>
  <c r="AA563" i="3"/>
  <c r="Z563" i="3"/>
  <c r="S563" i="3"/>
  <c r="U563" i="3" s="1"/>
  <c r="V563" i="3" s="1"/>
  <c r="R563" i="3"/>
  <c r="T563" i="3" s="1"/>
  <c r="O563" i="3"/>
  <c r="N563" i="3"/>
  <c r="P563" i="3" s="1"/>
  <c r="Q563" i="3" s="1"/>
  <c r="M563" i="3"/>
  <c r="J563" i="3"/>
  <c r="I563" i="3"/>
  <c r="K563" i="3" s="1"/>
  <c r="L563" i="3" s="1"/>
  <c r="H563" i="3"/>
  <c r="D563" i="3"/>
  <c r="F563" i="3" s="1"/>
  <c r="C563" i="3"/>
  <c r="E563" i="3" s="1"/>
  <c r="W563" i="3" s="1"/>
  <c r="B563" i="3"/>
  <c r="A563" i="3"/>
  <c r="AC562" i="3"/>
  <c r="AB562" i="3"/>
  <c r="AA562" i="3"/>
  <c r="Z562" i="3"/>
  <c r="S562" i="3"/>
  <c r="U562" i="3" s="1"/>
  <c r="V562" i="3" s="1"/>
  <c r="R562" i="3"/>
  <c r="T562" i="3" s="1"/>
  <c r="O562" i="3"/>
  <c r="N562" i="3"/>
  <c r="P562" i="3" s="1"/>
  <c r="Q562" i="3" s="1"/>
  <c r="M562" i="3"/>
  <c r="K562" i="3"/>
  <c r="L562" i="3" s="1"/>
  <c r="J562" i="3"/>
  <c r="I562" i="3"/>
  <c r="H562" i="3"/>
  <c r="F562" i="3"/>
  <c r="X562" i="3" s="1"/>
  <c r="D562" i="3"/>
  <c r="C562" i="3"/>
  <c r="E562" i="3" s="1"/>
  <c r="B562" i="3"/>
  <c r="A562" i="3"/>
  <c r="AC561" i="3"/>
  <c r="AB561" i="3"/>
  <c r="AA561" i="3"/>
  <c r="Z561" i="3"/>
  <c r="T561" i="3"/>
  <c r="S561" i="3"/>
  <c r="U561" i="3" s="1"/>
  <c r="V561" i="3" s="1"/>
  <c r="R561" i="3"/>
  <c r="P561" i="3"/>
  <c r="Q561" i="3" s="1"/>
  <c r="O561" i="3"/>
  <c r="N561" i="3"/>
  <c r="M561" i="3"/>
  <c r="K561" i="3"/>
  <c r="I561" i="3"/>
  <c r="H561" i="3"/>
  <c r="J561" i="3" s="1"/>
  <c r="L561" i="3" s="1"/>
  <c r="D561" i="3"/>
  <c r="F561" i="3" s="1"/>
  <c r="C561" i="3"/>
  <c r="E561" i="3" s="1"/>
  <c r="W561" i="3" s="1"/>
  <c r="B561" i="3"/>
  <c r="A561" i="3"/>
  <c r="AC560" i="3"/>
  <c r="AB560" i="3"/>
  <c r="AA560" i="3"/>
  <c r="Z560" i="3"/>
  <c r="U560" i="3"/>
  <c r="V560" i="3" s="1"/>
  <c r="T560" i="3"/>
  <c r="S560" i="3"/>
  <c r="R560" i="3"/>
  <c r="P560" i="3"/>
  <c r="N560" i="3"/>
  <c r="M560" i="3"/>
  <c r="O560" i="3" s="1"/>
  <c r="Q560" i="3" s="1"/>
  <c r="I560" i="3"/>
  <c r="K560" i="3" s="1"/>
  <c r="H560" i="3"/>
  <c r="J560" i="3" s="1"/>
  <c r="E560" i="3"/>
  <c r="W560" i="3" s="1"/>
  <c r="D560" i="3"/>
  <c r="F560" i="3" s="1"/>
  <c r="C560" i="3"/>
  <c r="B560" i="3"/>
  <c r="A560" i="3"/>
  <c r="AC559" i="3"/>
  <c r="AB559" i="3"/>
  <c r="AA559" i="3"/>
  <c r="Z559" i="3"/>
  <c r="U559" i="3"/>
  <c r="S559" i="3"/>
  <c r="R559" i="3"/>
  <c r="T559" i="3" s="1"/>
  <c r="V559" i="3" s="1"/>
  <c r="N559" i="3"/>
  <c r="P559" i="3" s="1"/>
  <c r="Q559" i="3" s="1"/>
  <c r="M559" i="3"/>
  <c r="O559" i="3" s="1"/>
  <c r="J559" i="3"/>
  <c r="I559" i="3"/>
  <c r="K559" i="3" s="1"/>
  <c r="L559" i="3" s="1"/>
  <c r="H559" i="3"/>
  <c r="F559" i="3"/>
  <c r="G559" i="3" s="1"/>
  <c r="E559" i="3"/>
  <c r="W559" i="3" s="1"/>
  <c r="D559" i="3"/>
  <c r="C559" i="3"/>
  <c r="B559" i="3"/>
  <c r="A559" i="3"/>
  <c r="AC558" i="3"/>
  <c r="AB558" i="3"/>
  <c r="AA558" i="3"/>
  <c r="Z558" i="3"/>
  <c r="S558" i="3"/>
  <c r="U558" i="3" s="1"/>
  <c r="R558" i="3"/>
  <c r="T558" i="3" s="1"/>
  <c r="O558" i="3"/>
  <c r="N558" i="3"/>
  <c r="P558" i="3" s="1"/>
  <c r="Q558" i="3" s="1"/>
  <c r="M558" i="3"/>
  <c r="K558" i="3"/>
  <c r="L558" i="3" s="1"/>
  <c r="J558" i="3"/>
  <c r="I558" i="3"/>
  <c r="H558" i="3"/>
  <c r="D558" i="3"/>
  <c r="F558" i="3" s="1"/>
  <c r="C558" i="3"/>
  <c r="E558" i="3" s="1"/>
  <c r="B558" i="3"/>
  <c r="A558" i="3"/>
  <c r="AC557" i="3"/>
  <c r="AB557" i="3"/>
  <c r="AA557" i="3"/>
  <c r="Z557" i="3"/>
  <c r="T557" i="3"/>
  <c r="S557" i="3"/>
  <c r="U557" i="3" s="1"/>
  <c r="V557" i="3" s="1"/>
  <c r="R557" i="3"/>
  <c r="P557" i="3"/>
  <c r="Q557" i="3" s="1"/>
  <c r="O557" i="3"/>
  <c r="N557" i="3"/>
  <c r="M557" i="3"/>
  <c r="I557" i="3"/>
  <c r="K557" i="3" s="1"/>
  <c r="H557" i="3"/>
  <c r="J557" i="3" s="1"/>
  <c r="D557" i="3"/>
  <c r="F557" i="3" s="1"/>
  <c r="C557" i="3"/>
  <c r="E557" i="3" s="1"/>
  <c r="B557" i="3"/>
  <c r="A557" i="3"/>
  <c r="AC556" i="3"/>
  <c r="AB556" i="3"/>
  <c r="AA556" i="3"/>
  <c r="Z556" i="3"/>
  <c r="U556" i="3"/>
  <c r="S556" i="3"/>
  <c r="R556" i="3"/>
  <c r="T556" i="3" s="1"/>
  <c r="N556" i="3"/>
  <c r="P556" i="3" s="1"/>
  <c r="Q556" i="3" s="1"/>
  <c r="M556" i="3"/>
  <c r="O556" i="3" s="1"/>
  <c r="J556" i="3"/>
  <c r="I556" i="3"/>
  <c r="K556" i="3" s="1"/>
  <c r="L556" i="3" s="1"/>
  <c r="H556" i="3"/>
  <c r="F556" i="3"/>
  <c r="E556" i="3"/>
  <c r="D556" i="3"/>
  <c r="C556" i="3"/>
  <c r="B556" i="3"/>
  <c r="A556" i="3"/>
  <c r="AC555" i="3"/>
  <c r="AB555" i="3"/>
  <c r="AA555" i="3"/>
  <c r="Z555" i="3"/>
  <c r="S555" i="3"/>
  <c r="U555" i="3" s="1"/>
  <c r="R555" i="3"/>
  <c r="T555" i="3" s="1"/>
  <c r="O555" i="3"/>
  <c r="N555" i="3"/>
  <c r="P555" i="3" s="1"/>
  <c r="Q555" i="3" s="1"/>
  <c r="M555" i="3"/>
  <c r="K555" i="3"/>
  <c r="L555" i="3" s="1"/>
  <c r="J555" i="3"/>
  <c r="I555" i="3"/>
  <c r="H555" i="3"/>
  <c r="F555" i="3"/>
  <c r="X555" i="3" s="1"/>
  <c r="D555" i="3"/>
  <c r="C555" i="3"/>
  <c r="E555" i="3" s="1"/>
  <c r="B555" i="3"/>
  <c r="A555" i="3"/>
  <c r="AC554" i="3"/>
  <c r="AB554" i="3"/>
  <c r="AA554" i="3"/>
  <c r="Z554" i="3"/>
  <c r="T554" i="3"/>
  <c r="S554" i="3"/>
  <c r="U554" i="3" s="1"/>
  <c r="V554" i="3" s="1"/>
  <c r="R554" i="3"/>
  <c r="P554" i="3"/>
  <c r="Q554" i="3" s="1"/>
  <c r="O554" i="3"/>
  <c r="N554" i="3"/>
  <c r="M554" i="3"/>
  <c r="K554" i="3"/>
  <c r="I554" i="3"/>
  <c r="H554" i="3"/>
  <c r="J554" i="3" s="1"/>
  <c r="L554" i="3" s="1"/>
  <c r="D554" i="3"/>
  <c r="F554" i="3" s="1"/>
  <c r="C554" i="3"/>
  <c r="E554" i="3" s="1"/>
  <c r="W554" i="3" s="1"/>
  <c r="B554" i="3"/>
  <c r="A554" i="3"/>
  <c r="AC553" i="3"/>
  <c r="AB553" i="3"/>
  <c r="AA553" i="3"/>
  <c r="Z553" i="3"/>
  <c r="U553" i="3"/>
  <c r="V553" i="3" s="1"/>
  <c r="T553" i="3"/>
  <c r="S553" i="3"/>
  <c r="R553" i="3"/>
  <c r="P553" i="3"/>
  <c r="N553" i="3"/>
  <c r="M553" i="3"/>
  <c r="O553" i="3" s="1"/>
  <c r="Q553" i="3" s="1"/>
  <c r="I553" i="3"/>
  <c r="K553" i="3" s="1"/>
  <c r="H553" i="3"/>
  <c r="J553" i="3" s="1"/>
  <c r="E553" i="3"/>
  <c r="W553" i="3" s="1"/>
  <c r="D553" i="3"/>
  <c r="F553" i="3" s="1"/>
  <c r="C553" i="3"/>
  <c r="B553" i="3"/>
  <c r="A553" i="3"/>
  <c r="AC552" i="3"/>
  <c r="AB552" i="3"/>
  <c r="AA552" i="3"/>
  <c r="Z552" i="3"/>
  <c r="U552" i="3"/>
  <c r="S552" i="3"/>
  <c r="R552" i="3"/>
  <c r="T552" i="3" s="1"/>
  <c r="V552" i="3" s="1"/>
  <c r="N552" i="3"/>
  <c r="P552" i="3" s="1"/>
  <c r="Q552" i="3" s="1"/>
  <c r="M552" i="3"/>
  <c r="O552" i="3" s="1"/>
  <c r="J552" i="3"/>
  <c r="I552" i="3"/>
  <c r="K552" i="3" s="1"/>
  <c r="L552" i="3" s="1"/>
  <c r="H552" i="3"/>
  <c r="F552" i="3"/>
  <c r="E552" i="3"/>
  <c r="D552" i="3"/>
  <c r="C552" i="3"/>
  <c r="B552" i="3"/>
  <c r="A552" i="3"/>
  <c r="AC551" i="3"/>
  <c r="AB551" i="3"/>
  <c r="AA551" i="3"/>
  <c r="Z551" i="3"/>
  <c r="S551" i="3"/>
  <c r="U551" i="3" s="1"/>
  <c r="R551" i="3"/>
  <c r="T551" i="3" s="1"/>
  <c r="O551" i="3"/>
  <c r="N551" i="3"/>
  <c r="P551" i="3" s="1"/>
  <c r="Q551" i="3" s="1"/>
  <c r="M551" i="3"/>
  <c r="K551" i="3"/>
  <c r="L551" i="3" s="1"/>
  <c r="J551" i="3"/>
  <c r="I551" i="3"/>
  <c r="H551" i="3"/>
  <c r="F551" i="3"/>
  <c r="X551" i="3" s="1"/>
  <c r="D551" i="3"/>
  <c r="C551" i="3"/>
  <c r="E551" i="3" s="1"/>
  <c r="B551" i="3"/>
  <c r="A551" i="3"/>
  <c r="AC550" i="3"/>
  <c r="AB550" i="3"/>
  <c r="AA550" i="3"/>
  <c r="Z550" i="3"/>
  <c r="T550" i="3"/>
  <c r="S550" i="3"/>
  <c r="U550" i="3" s="1"/>
  <c r="V550" i="3" s="1"/>
  <c r="R550" i="3"/>
  <c r="P550" i="3"/>
  <c r="Q550" i="3" s="1"/>
  <c r="O550" i="3"/>
  <c r="N550" i="3"/>
  <c r="M550" i="3"/>
  <c r="K550" i="3"/>
  <c r="I550" i="3"/>
  <c r="H550" i="3"/>
  <c r="J550" i="3" s="1"/>
  <c r="L550" i="3" s="1"/>
  <c r="D550" i="3"/>
  <c r="F550" i="3" s="1"/>
  <c r="C550" i="3"/>
  <c r="E550" i="3" s="1"/>
  <c r="W550" i="3" s="1"/>
  <c r="B550" i="3"/>
  <c r="A550" i="3"/>
  <c r="AC549" i="3"/>
  <c r="AB549" i="3"/>
  <c r="AA549" i="3"/>
  <c r="Z549" i="3"/>
  <c r="U549" i="3"/>
  <c r="V549" i="3" s="1"/>
  <c r="T549" i="3"/>
  <c r="S549" i="3"/>
  <c r="R549" i="3"/>
  <c r="P549" i="3"/>
  <c r="N549" i="3"/>
  <c r="M549" i="3"/>
  <c r="O549" i="3" s="1"/>
  <c r="Q549" i="3" s="1"/>
  <c r="I549" i="3"/>
  <c r="K549" i="3" s="1"/>
  <c r="H549" i="3"/>
  <c r="J549" i="3" s="1"/>
  <c r="E549" i="3"/>
  <c r="W549" i="3" s="1"/>
  <c r="D549" i="3"/>
  <c r="F549" i="3" s="1"/>
  <c r="C549" i="3"/>
  <c r="B549" i="3"/>
  <c r="A549" i="3"/>
  <c r="AC548" i="3"/>
  <c r="AB548" i="3"/>
  <c r="AA548" i="3"/>
  <c r="Z548" i="3"/>
  <c r="U548" i="3"/>
  <c r="S548" i="3"/>
  <c r="R548" i="3"/>
  <c r="T548" i="3" s="1"/>
  <c r="V548" i="3" s="1"/>
  <c r="N548" i="3"/>
  <c r="P548" i="3" s="1"/>
  <c r="Q548" i="3" s="1"/>
  <c r="M548" i="3"/>
  <c r="O548" i="3" s="1"/>
  <c r="J548" i="3"/>
  <c r="I548" i="3"/>
  <c r="K548" i="3" s="1"/>
  <c r="L548" i="3" s="1"/>
  <c r="H548" i="3"/>
  <c r="F548" i="3"/>
  <c r="E548" i="3"/>
  <c r="D548" i="3"/>
  <c r="C548" i="3"/>
  <c r="B548" i="3"/>
  <c r="A548" i="3"/>
  <c r="AC547" i="3"/>
  <c r="AB547" i="3"/>
  <c r="AA547" i="3"/>
  <c r="Z547" i="3"/>
  <c r="S547" i="3"/>
  <c r="U547" i="3" s="1"/>
  <c r="R547" i="3"/>
  <c r="T547" i="3" s="1"/>
  <c r="O547" i="3"/>
  <c r="N547" i="3"/>
  <c r="P547" i="3" s="1"/>
  <c r="Q547" i="3" s="1"/>
  <c r="M547" i="3"/>
  <c r="K547" i="3"/>
  <c r="I547" i="3"/>
  <c r="H547" i="3"/>
  <c r="J547" i="3" s="1"/>
  <c r="L547" i="3" s="1"/>
  <c r="D547" i="3"/>
  <c r="F547" i="3" s="1"/>
  <c r="C547" i="3"/>
  <c r="E547" i="3" s="1"/>
  <c r="B547" i="3"/>
  <c r="A547" i="3"/>
  <c r="AC546" i="3"/>
  <c r="AB546" i="3"/>
  <c r="AA546" i="3"/>
  <c r="Z546" i="3"/>
  <c r="U546" i="3"/>
  <c r="V546" i="3" s="1"/>
  <c r="T546" i="3"/>
  <c r="S546" i="3"/>
  <c r="R546" i="3"/>
  <c r="P546" i="3"/>
  <c r="N546" i="3"/>
  <c r="M546" i="3"/>
  <c r="O546" i="3" s="1"/>
  <c r="Q546" i="3" s="1"/>
  <c r="I546" i="3"/>
  <c r="K546" i="3" s="1"/>
  <c r="L546" i="3" s="1"/>
  <c r="H546" i="3"/>
  <c r="J546" i="3" s="1"/>
  <c r="E546" i="3"/>
  <c r="D546" i="3"/>
  <c r="F546" i="3" s="1"/>
  <c r="C546" i="3"/>
  <c r="B546" i="3"/>
  <c r="A546" i="3"/>
  <c r="AC545" i="3"/>
  <c r="AB545" i="3"/>
  <c r="AA545" i="3"/>
  <c r="Z545" i="3"/>
  <c r="U545" i="3"/>
  <c r="S545" i="3"/>
  <c r="R545" i="3"/>
  <c r="T545" i="3" s="1"/>
  <c r="V545" i="3" s="1"/>
  <c r="N545" i="3"/>
  <c r="P545" i="3" s="1"/>
  <c r="Q545" i="3" s="1"/>
  <c r="M545" i="3"/>
  <c r="O545" i="3" s="1"/>
  <c r="J545" i="3"/>
  <c r="I545" i="3"/>
  <c r="K545" i="3" s="1"/>
  <c r="L545" i="3" s="1"/>
  <c r="H545" i="3"/>
  <c r="F545" i="3"/>
  <c r="E545" i="3"/>
  <c r="D545" i="3"/>
  <c r="C545" i="3"/>
  <c r="B545" i="3"/>
  <c r="A545" i="3"/>
  <c r="AC544" i="3"/>
  <c r="AB544" i="3"/>
  <c r="AA544" i="3"/>
  <c r="Z544" i="3"/>
  <c r="S544" i="3"/>
  <c r="U544" i="3" s="1"/>
  <c r="V544" i="3" s="1"/>
  <c r="R544" i="3"/>
  <c r="T544" i="3" s="1"/>
  <c r="P544" i="3"/>
  <c r="O544" i="3"/>
  <c r="N544" i="3"/>
  <c r="M544" i="3"/>
  <c r="K544" i="3"/>
  <c r="L544" i="3" s="1"/>
  <c r="I544" i="3"/>
  <c r="H544" i="3"/>
  <c r="J544" i="3" s="1"/>
  <c r="D544" i="3"/>
  <c r="F544" i="3" s="1"/>
  <c r="X544" i="3" s="1"/>
  <c r="C544" i="3"/>
  <c r="E544" i="3" s="1"/>
  <c r="W544" i="3" s="1"/>
  <c r="B544" i="3"/>
  <c r="A544" i="3"/>
  <c r="AC543" i="3"/>
  <c r="AB543" i="3"/>
  <c r="AA543" i="3"/>
  <c r="Z543" i="3"/>
  <c r="X543" i="3"/>
  <c r="U543" i="3"/>
  <c r="V543" i="3" s="1"/>
  <c r="T543" i="3"/>
  <c r="S543" i="3"/>
  <c r="R543" i="3"/>
  <c r="P543" i="3"/>
  <c r="N543" i="3"/>
  <c r="M543" i="3"/>
  <c r="O543" i="3" s="1"/>
  <c r="Q543" i="3" s="1"/>
  <c r="I543" i="3"/>
  <c r="K543" i="3" s="1"/>
  <c r="H543" i="3"/>
  <c r="J543" i="3" s="1"/>
  <c r="L543" i="3" s="1"/>
  <c r="E543" i="3"/>
  <c r="D543" i="3"/>
  <c r="F543" i="3" s="1"/>
  <c r="C543" i="3"/>
  <c r="B543" i="3"/>
  <c r="A543" i="3"/>
  <c r="AC542" i="3"/>
  <c r="AB542" i="3"/>
  <c r="AA542" i="3"/>
  <c r="Z542" i="3"/>
  <c r="U542" i="3"/>
  <c r="V542" i="3" s="1"/>
  <c r="S542" i="3"/>
  <c r="R542" i="3"/>
  <c r="T542" i="3" s="1"/>
  <c r="N542" i="3"/>
  <c r="P542" i="3" s="1"/>
  <c r="Q542" i="3" s="1"/>
  <c r="M542" i="3"/>
  <c r="O542" i="3" s="1"/>
  <c r="J542" i="3"/>
  <c r="I542" i="3"/>
  <c r="K542" i="3" s="1"/>
  <c r="H542" i="3"/>
  <c r="F542" i="3"/>
  <c r="E542" i="3"/>
  <c r="D542" i="3"/>
  <c r="C542" i="3"/>
  <c r="B542" i="3"/>
  <c r="A542" i="3"/>
  <c r="AC541" i="3"/>
  <c r="AB541" i="3"/>
  <c r="AA541" i="3"/>
  <c r="Z541" i="3"/>
  <c r="S541" i="3"/>
  <c r="U541" i="3" s="1"/>
  <c r="V541" i="3" s="1"/>
  <c r="R541" i="3"/>
  <c r="T541" i="3" s="1"/>
  <c r="O541" i="3"/>
  <c r="N541" i="3"/>
  <c r="P541" i="3" s="1"/>
  <c r="Q541" i="3" s="1"/>
  <c r="M541" i="3"/>
  <c r="K541" i="3"/>
  <c r="L541" i="3" s="1"/>
  <c r="J541" i="3"/>
  <c r="I541" i="3"/>
  <c r="H541" i="3"/>
  <c r="F541" i="3"/>
  <c r="D541" i="3"/>
  <c r="C541" i="3"/>
  <c r="E541" i="3" s="1"/>
  <c r="G541" i="3" s="1"/>
  <c r="B541" i="3"/>
  <c r="A541" i="3"/>
  <c r="AC540" i="3"/>
  <c r="AB540" i="3"/>
  <c r="AA540" i="3"/>
  <c r="Z540" i="3"/>
  <c r="S540" i="3"/>
  <c r="U540" i="3" s="1"/>
  <c r="V540" i="3" s="1"/>
  <c r="R540" i="3"/>
  <c r="T540" i="3" s="1"/>
  <c r="W540" i="3" s="1"/>
  <c r="O540" i="3"/>
  <c r="N540" i="3"/>
  <c r="P540" i="3" s="1"/>
  <c r="Q540" i="3" s="1"/>
  <c r="M540" i="3"/>
  <c r="K540" i="3"/>
  <c r="J540" i="3"/>
  <c r="L540" i="3" s="1"/>
  <c r="I540" i="3"/>
  <c r="H540" i="3"/>
  <c r="D540" i="3"/>
  <c r="F540" i="3" s="1"/>
  <c r="C540" i="3"/>
  <c r="E540" i="3" s="1"/>
  <c r="B540" i="3"/>
  <c r="A540" i="3"/>
  <c r="AC539" i="3"/>
  <c r="AB539" i="3"/>
  <c r="AA539" i="3"/>
  <c r="Z539" i="3"/>
  <c r="U539" i="3"/>
  <c r="T539" i="3"/>
  <c r="S539" i="3"/>
  <c r="R539" i="3"/>
  <c r="P539" i="3"/>
  <c r="N539" i="3"/>
  <c r="M539" i="3"/>
  <c r="O539" i="3" s="1"/>
  <c r="L539" i="3"/>
  <c r="K539" i="3"/>
  <c r="X539" i="3" s="1"/>
  <c r="I539" i="3"/>
  <c r="H539" i="3"/>
  <c r="J539" i="3" s="1"/>
  <c r="D539" i="3"/>
  <c r="F539" i="3" s="1"/>
  <c r="C539" i="3"/>
  <c r="E539" i="3" s="1"/>
  <c r="B539" i="3"/>
  <c r="A539" i="3"/>
  <c r="AC538" i="3"/>
  <c r="AB538" i="3"/>
  <c r="AA538" i="3"/>
  <c r="Z538" i="3"/>
  <c r="T538" i="3"/>
  <c r="S538" i="3"/>
  <c r="U538" i="3" s="1"/>
  <c r="V538" i="3" s="1"/>
  <c r="R538" i="3"/>
  <c r="P538" i="3"/>
  <c r="Q538" i="3" s="1"/>
  <c r="O538" i="3"/>
  <c r="N538" i="3"/>
  <c r="M538" i="3"/>
  <c r="K538" i="3"/>
  <c r="L538" i="3" s="1"/>
  <c r="I538" i="3"/>
  <c r="H538" i="3"/>
  <c r="J538" i="3" s="1"/>
  <c r="D538" i="3"/>
  <c r="F538" i="3" s="1"/>
  <c r="C538" i="3"/>
  <c r="E538" i="3" s="1"/>
  <c r="W538" i="3" s="1"/>
  <c r="B538" i="3"/>
  <c r="A538" i="3"/>
  <c r="AC537" i="3"/>
  <c r="AB537" i="3"/>
  <c r="AA537" i="3"/>
  <c r="Z537" i="3"/>
  <c r="U537" i="3"/>
  <c r="V537" i="3" s="1"/>
  <c r="T537" i="3"/>
  <c r="S537" i="3"/>
  <c r="R537" i="3"/>
  <c r="P537" i="3"/>
  <c r="Q537" i="3" s="1"/>
  <c r="N537" i="3"/>
  <c r="M537" i="3"/>
  <c r="O537" i="3" s="1"/>
  <c r="I537" i="3"/>
  <c r="K537" i="3" s="1"/>
  <c r="L537" i="3" s="1"/>
  <c r="H537" i="3"/>
  <c r="J537" i="3" s="1"/>
  <c r="E537" i="3"/>
  <c r="W537" i="3" s="1"/>
  <c r="D537" i="3"/>
  <c r="F537" i="3" s="1"/>
  <c r="C537" i="3"/>
  <c r="B537" i="3"/>
  <c r="A537" i="3"/>
  <c r="AC536" i="3"/>
  <c r="AB536" i="3"/>
  <c r="AA536" i="3"/>
  <c r="Z536" i="3"/>
  <c r="U536" i="3"/>
  <c r="S536" i="3"/>
  <c r="R536" i="3"/>
  <c r="T536" i="3" s="1"/>
  <c r="N536" i="3"/>
  <c r="P536" i="3" s="1"/>
  <c r="Q536" i="3" s="1"/>
  <c r="M536" i="3"/>
  <c r="O536" i="3" s="1"/>
  <c r="J536" i="3"/>
  <c r="I536" i="3"/>
  <c r="K536" i="3" s="1"/>
  <c r="L536" i="3" s="1"/>
  <c r="H536" i="3"/>
  <c r="F536" i="3"/>
  <c r="E536" i="3"/>
  <c r="W536" i="3" s="1"/>
  <c r="D536" i="3"/>
  <c r="C536" i="3"/>
  <c r="B536" i="3"/>
  <c r="A536" i="3"/>
  <c r="AC535" i="3"/>
  <c r="AB535" i="3"/>
  <c r="AA535" i="3"/>
  <c r="Z535" i="3"/>
  <c r="S535" i="3"/>
  <c r="U535" i="3" s="1"/>
  <c r="R535" i="3"/>
  <c r="T535" i="3" s="1"/>
  <c r="O535" i="3"/>
  <c r="N535" i="3"/>
  <c r="P535" i="3" s="1"/>
  <c r="Q535" i="3" s="1"/>
  <c r="M535" i="3"/>
  <c r="K535" i="3"/>
  <c r="L535" i="3" s="1"/>
  <c r="J535" i="3"/>
  <c r="I535" i="3"/>
  <c r="H535" i="3"/>
  <c r="F535" i="3"/>
  <c r="G535" i="3" s="1"/>
  <c r="D535" i="3"/>
  <c r="C535" i="3"/>
  <c r="E535" i="3" s="1"/>
  <c r="B535" i="3"/>
  <c r="A535" i="3"/>
  <c r="AC534" i="3"/>
  <c r="AB534" i="3"/>
  <c r="AA534" i="3"/>
  <c r="Z534" i="3"/>
  <c r="T534" i="3"/>
  <c r="S534" i="3"/>
  <c r="U534" i="3" s="1"/>
  <c r="V534" i="3" s="1"/>
  <c r="R534" i="3"/>
  <c r="P534" i="3"/>
  <c r="Q534" i="3" s="1"/>
  <c r="O534" i="3"/>
  <c r="N534" i="3"/>
  <c r="M534" i="3"/>
  <c r="K534" i="3"/>
  <c r="L534" i="3" s="1"/>
  <c r="I534" i="3"/>
  <c r="H534" i="3"/>
  <c r="J534" i="3" s="1"/>
  <c r="D534" i="3"/>
  <c r="F534" i="3" s="1"/>
  <c r="C534" i="3"/>
  <c r="E534" i="3" s="1"/>
  <c r="W534" i="3" s="1"/>
  <c r="B534" i="3"/>
  <c r="A534" i="3"/>
  <c r="AC533" i="3"/>
  <c r="AB533" i="3"/>
  <c r="AA533" i="3"/>
  <c r="Z533" i="3"/>
  <c r="U533" i="3"/>
  <c r="V533" i="3" s="1"/>
  <c r="T533" i="3"/>
  <c r="S533" i="3"/>
  <c r="R533" i="3"/>
  <c r="P533" i="3"/>
  <c r="N533" i="3"/>
  <c r="M533" i="3"/>
  <c r="O533" i="3" s="1"/>
  <c r="I533" i="3"/>
  <c r="K533" i="3" s="1"/>
  <c r="L533" i="3" s="1"/>
  <c r="H533" i="3"/>
  <c r="J533" i="3" s="1"/>
  <c r="E533" i="3"/>
  <c r="W533" i="3" s="1"/>
  <c r="D533" i="3"/>
  <c r="F533" i="3" s="1"/>
  <c r="C533" i="3"/>
  <c r="B533" i="3"/>
  <c r="A533" i="3"/>
  <c r="AC532" i="3"/>
  <c r="AB532" i="3"/>
  <c r="AA532" i="3"/>
  <c r="Z532" i="3"/>
  <c r="U532" i="3"/>
  <c r="S532" i="3"/>
  <c r="R532" i="3"/>
  <c r="T532" i="3" s="1"/>
  <c r="N532" i="3"/>
  <c r="P532" i="3" s="1"/>
  <c r="Q532" i="3" s="1"/>
  <c r="M532" i="3"/>
  <c r="O532" i="3" s="1"/>
  <c r="J532" i="3"/>
  <c r="I532" i="3"/>
  <c r="K532" i="3" s="1"/>
  <c r="L532" i="3" s="1"/>
  <c r="H532" i="3"/>
  <c r="F532" i="3"/>
  <c r="E532" i="3"/>
  <c r="W532" i="3" s="1"/>
  <c r="D532" i="3"/>
  <c r="C532" i="3"/>
  <c r="B532" i="3"/>
  <c r="A532" i="3"/>
  <c r="AC531" i="3"/>
  <c r="AB531" i="3"/>
  <c r="AA531" i="3"/>
  <c r="Z531" i="3"/>
  <c r="S531" i="3"/>
  <c r="U531" i="3" s="1"/>
  <c r="R531" i="3"/>
  <c r="T531" i="3" s="1"/>
  <c r="O531" i="3"/>
  <c r="N531" i="3"/>
  <c r="P531" i="3" s="1"/>
  <c r="Q531" i="3" s="1"/>
  <c r="M531" i="3"/>
  <c r="K531" i="3"/>
  <c r="L531" i="3" s="1"/>
  <c r="J531" i="3"/>
  <c r="I531" i="3"/>
  <c r="H531" i="3"/>
  <c r="F531" i="3"/>
  <c r="G531" i="3" s="1"/>
  <c r="D531" i="3"/>
  <c r="C531" i="3"/>
  <c r="E531" i="3" s="1"/>
  <c r="B531" i="3"/>
  <c r="A531" i="3"/>
  <c r="AC530" i="3"/>
  <c r="AB530" i="3"/>
  <c r="AA530" i="3"/>
  <c r="Z530" i="3"/>
  <c r="T530" i="3"/>
  <c r="S530" i="3"/>
  <c r="U530" i="3" s="1"/>
  <c r="V530" i="3" s="1"/>
  <c r="R530" i="3"/>
  <c r="P530" i="3"/>
  <c r="Q530" i="3" s="1"/>
  <c r="O530" i="3"/>
  <c r="N530" i="3"/>
  <c r="M530" i="3"/>
  <c r="K530" i="3"/>
  <c r="L530" i="3" s="1"/>
  <c r="I530" i="3"/>
  <c r="H530" i="3"/>
  <c r="J530" i="3" s="1"/>
  <c r="D530" i="3"/>
  <c r="F530" i="3" s="1"/>
  <c r="C530" i="3"/>
  <c r="E530" i="3" s="1"/>
  <c r="W530" i="3" s="1"/>
  <c r="B530" i="3"/>
  <c r="A530" i="3"/>
  <c r="AC529" i="3"/>
  <c r="AB529" i="3"/>
  <c r="AA529" i="3"/>
  <c r="Z529" i="3"/>
  <c r="U529" i="3"/>
  <c r="V529" i="3" s="1"/>
  <c r="T529" i="3"/>
  <c r="S529" i="3"/>
  <c r="R529" i="3"/>
  <c r="P529" i="3"/>
  <c r="Q529" i="3" s="1"/>
  <c r="N529" i="3"/>
  <c r="M529" i="3"/>
  <c r="O529" i="3" s="1"/>
  <c r="I529" i="3"/>
  <c r="K529" i="3" s="1"/>
  <c r="L529" i="3" s="1"/>
  <c r="H529" i="3"/>
  <c r="J529" i="3" s="1"/>
  <c r="E529" i="3"/>
  <c r="W529" i="3" s="1"/>
  <c r="D529" i="3"/>
  <c r="F529" i="3" s="1"/>
  <c r="C529" i="3"/>
  <c r="B529" i="3"/>
  <c r="A529" i="3"/>
  <c r="AC528" i="3"/>
  <c r="AB528" i="3"/>
  <c r="AA528" i="3"/>
  <c r="Z528" i="3"/>
  <c r="U528" i="3"/>
  <c r="S528" i="3"/>
  <c r="R528" i="3"/>
  <c r="T528" i="3" s="1"/>
  <c r="N528" i="3"/>
  <c r="P528" i="3" s="1"/>
  <c r="Q528" i="3" s="1"/>
  <c r="M528" i="3"/>
  <c r="O528" i="3" s="1"/>
  <c r="J528" i="3"/>
  <c r="I528" i="3"/>
  <c r="K528" i="3" s="1"/>
  <c r="L528" i="3" s="1"/>
  <c r="H528" i="3"/>
  <c r="F528" i="3"/>
  <c r="E528" i="3"/>
  <c r="W528" i="3" s="1"/>
  <c r="D528" i="3"/>
  <c r="C528" i="3"/>
  <c r="B528" i="3"/>
  <c r="A528" i="3"/>
  <c r="AC527" i="3"/>
  <c r="AB527" i="3"/>
  <c r="AA527" i="3"/>
  <c r="Z527" i="3"/>
  <c r="S527" i="3"/>
  <c r="U527" i="3" s="1"/>
  <c r="R527" i="3"/>
  <c r="T527" i="3" s="1"/>
  <c r="O527" i="3"/>
  <c r="N527" i="3"/>
  <c r="P527" i="3" s="1"/>
  <c r="Q527" i="3" s="1"/>
  <c r="M527" i="3"/>
  <c r="K527" i="3"/>
  <c r="L527" i="3" s="1"/>
  <c r="J527" i="3"/>
  <c r="I527" i="3"/>
  <c r="H527" i="3"/>
  <c r="F527" i="3"/>
  <c r="G527" i="3" s="1"/>
  <c r="D527" i="3"/>
  <c r="C527" i="3"/>
  <c r="E527" i="3" s="1"/>
  <c r="B527" i="3"/>
  <c r="A527" i="3"/>
  <c r="AC526" i="3"/>
  <c r="AB526" i="3"/>
  <c r="AA526" i="3"/>
  <c r="Z526" i="3"/>
  <c r="T526" i="3"/>
  <c r="S526" i="3"/>
  <c r="U526" i="3" s="1"/>
  <c r="V526" i="3" s="1"/>
  <c r="R526" i="3"/>
  <c r="P526" i="3"/>
  <c r="Q526" i="3" s="1"/>
  <c r="O526" i="3"/>
  <c r="N526" i="3"/>
  <c r="M526" i="3"/>
  <c r="K526" i="3"/>
  <c r="L526" i="3" s="1"/>
  <c r="I526" i="3"/>
  <c r="H526" i="3"/>
  <c r="J526" i="3" s="1"/>
  <c r="D526" i="3"/>
  <c r="F526" i="3" s="1"/>
  <c r="C526" i="3"/>
  <c r="E526" i="3" s="1"/>
  <c r="W526" i="3" s="1"/>
  <c r="B526" i="3"/>
  <c r="A526" i="3"/>
  <c r="AC525" i="3"/>
  <c r="AB525" i="3"/>
  <c r="AA525" i="3"/>
  <c r="Z525" i="3"/>
  <c r="U525" i="3"/>
  <c r="V525" i="3" s="1"/>
  <c r="T525" i="3"/>
  <c r="S525" i="3"/>
  <c r="R525" i="3"/>
  <c r="P525" i="3"/>
  <c r="Q525" i="3" s="1"/>
  <c r="N525" i="3"/>
  <c r="M525" i="3"/>
  <c r="O525" i="3" s="1"/>
  <c r="I525" i="3"/>
  <c r="K525" i="3" s="1"/>
  <c r="L525" i="3" s="1"/>
  <c r="H525" i="3"/>
  <c r="J525" i="3" s="1"/>
  <c r="E525" i="3"/>
  <c r="W525" i="3" s="1"/>
  <c r="D525" i="3"/>
  <c r="F525" i="3" s="1"/>
  <c r="C525" i="3"/>
  <c r="B525" i="3"/>
  <c r="A525" i="3"/>
  <c r="AC524" i="3"/>
  <c r="AB524" i="3"/>
  <c r="AA524" i="3"/>
  <c r="Z524" i="3"/>
  <c r="U524" i="3"/>
  <c r="S524" i="3"/>
  <c r="R524" i="3"/>
  <c r="T524" i="3" s="1"/>
  <c r="N524" i="3"/>
  <c r="P524" i="3" s="1"/>
  <c r="Q524" i="3" s="1"/>
  <c r="M524" i="3"/>
  <c r="O524" i="3" s="1"/>
  <c r="J524" i="3"/>
  <c r="I524" i="3"/>
  <c r="K524" i="3" s="1"/>
  <c r="L524" i="3" s="1"/>
  <c r="H524" i="3"/>
  <c r="F524" i="3"/>
  <c r="E524" i="3"/>
  <c r="W524" i="3" s="1"/>
  <c r="D524" i="3"/>
  <c r="C524" i="3"/>
  <c r="B524" i="3"/>
  <c r="A524" i="3"/>
  <c r="AC523" i="3"/>
  <c r="AB523" i="3"/>
  <c r="AA523" i="3"/>
  <c r="Z523" i="3"/>
  <c r="S523" i="3"/>
  <c r="U523" i="3" s="1"/>
  <c r="R523" i="3"/>
  <c r="T523" i="3" s="1"/>
  <c r="O523" i="3"/>
  <c r="N523" i="3"/>
  <c r="P523" i="3" s="1"/>
  <c r="Q523" i="3" s="1"/>
  <c r="M523" i="3"/>
  <c r="K523" i="3"/>
  <c r="L523" i="3" s="1"/>
  <c r="J523" i="3"/>
  <c r="I523" i="3"/>
  <c r="H523" i="3"/>
  <c r="F523" i="3"/>
  <c r="G523" i="3" s="1"/>
  <c r="D523" i="3"/>
  <c r="C523" i="3"/>
  <c r="E523" i="3" s="1"/>
  <c r="B523" i="3"/>
  <c r="A523" i="3"/>
  <c r="AC522" i="3"/>
  <c r="AB522" i="3"/>
  <c r="AA522" i="3"/>
  <c r="Z522" i="3"/>
  <c r="T522" i="3"/>
  <c r="S522" i="3"/>
  <c r="U522" i="3" s="1"/>
  <c r="V522" i="3" s="1"/>
  <c r="R522" i="3"/>
  <c r="P522" i="3"/>
  <c r="Q522" i="3" s="1"/>
  <c r="O522" i="3"/>
  <c r="N522" i="3"/>
  <c r="M522" i="3"/>
  <c r="K522" i="3"/>
  <c r="L522" i="3" s="1"/>
  <c r="I522" i="3"/>
  <c r="H522" i="3"/>
  <c r="J522" i="3" s="1"/>
  <c r="D522" i="3"/>
  <c r="F522" i="3" s="1"/>
  <c r="C522" i="3"/>
  <c r="E522" i="3" s="1"/>
  <c r="W522" i="3" s="1"/>
  <c r="B522" i="3"/>
  <c r="A522" i="3"/>
  <c r="AC521" i="3"/>
  <c r="AB521" i="3"/>
  <c r="AA521" i="3"/>
  <c r="Z521" i="3"/>
  <c r="U521" i="3"/>
  <c r="V521" i="3" s="1"/>
  <c r="T521" i="3"/>
  <c r="S521" i="3"/>
  <c r="R521" i="3"/>
  <c r="P521" i="3"/>
  <c r="Q521" i="3" s="1"/>
  <c r="N521" i="3"/>
  <c r="M521" i="3"/>
  <c r="O521" i="3" s="1"/>
  <c r="I521" i="3"/>
  <c r="K521" i="3" s="1"/>
  <c r="L521" i="3" s="1"/>
  <c r="H521" i="3"/>
  <c r="J521" i="3" s="1"/>
  <c r="E521" i="3"/>
  <c r="W521" i="3" s="1"/>
  <c r="D521" i="3"/>
  <c r="F521" i="3" s="1"/>
  <c r="C521" i="3"/>
  <c r="B521" i="3"/>
  <c r="A521" i="3"/>
  <c r="AC520" i="3"/>
  <c r="AB520" i="3"/>
  <c r="AA520" i="3"/>
  <c r="Z520" i="3"/>
  <c r="U520" i="3"/>
  <c r="S520" i="3"/>
  <c r="R520" i="3"/>
  <c r="T520" i="3" s="1"/>
  <c r="N520" i="3"/>
  <c r="P520" i="3" s="1"/>
  <c r="Q520" i="3" s="1"/>
  <c r="M520" i="3"/>
  <c r="O520" i="3" s="1"/>
  <c r="J520" i="3"/>
  <c r="I520" i="3"/>
  <c r="K520" i="3" s="1"/>
  <c r="L520" i="3" s="1"/>
  <c r="H520" i="3"/>
  <c r="F520" i="3"/>
  <c r="E520" i="3"/>
  <c r="W520" i="3" s="1"/>
  <c r="D520" i="3"/>
  <c r="C520" i="3"/>
  <c r="B520" i="3"/>
  <c r="A520" i="3"/>
  <c r="AC519" i="3"/>
  <c r="AB519" i="3"/>
  <c r="AA519" i="3"/>
  <c r="Z519" i="3"/>
  <c r="S519" i="3"/>
  <c r="U519" i="3" s="1"/>
  <c r="R519" i="3"/>
  <c r="T519" i="3" s="1"/>
  <c r="O519" i="3"/>
  <c r="N519" i="3"/>
  <c r="P519" i="3" s="1"/>
  <c r="Q519" i="3" s="1"/>
  <c r="M519" i="3"/>
  <c r="K519" i="3"/>
  <c r="L519" i="3" s="1"/>
  <c r="J519" i="3"/>
  <c r="I519" i="3"/>
  <c r="H519" i="3"/>
  <c r="F519" i="3"/>
  <c r="G519" i="3" s="1"/>
  <c r="D519" i="3"/>
  <c r="C519" i="3"/>
  <c r="E519" i="3" s="1"/>
  <c r="B519" i="3"/>
  <c r="A519" i="3"/>
  <c r="AC518" i="3"/>
  <c r="AB518" i="3"/>
  <c r="AA518" i="3"/>
  <c r="Z518" i="3"/>
  <c r="T518" i="3"/>
  <c r="S518" i="3"/>
  <c r="U518" i="3" s="1"/>
  <c r="V518" i="3" s="1"/>
  <c r="R518" i="3"/>
  <c r="P518" i="3"/>
  <c r="Q518" i="3" s="1"/>
  <c r="O518" i="3"/>
  <c r="N518" i="3"/>
  <c r="M518" i="3"/>
  <c r="K518" i="3"/>
  <c r="L518" i="3" s="1"/>
  <c r="I518" i="3"/>
  <c r="H518" i="3"/>
  <c r="J518" i="3" s="1"/>
  <c r="D518" i="3"/>
  <c r="F518" i="3" s="1"/>
  <c r="C518" i="3"/>
  <c r="E518" i="3" s="1"/>
  <c r="W518" i="3" s="1"/>
  <c r="B518" i="3"/>
  <c r="A518" i="3"/>
  <c r="AC517" i="3"/>
  <c r="AB517" i="3"/>
  <c r="AA517" i="3"/>
  <c r="Z517" i="3"/>
  <c r="U517" i="3"/>
  <c r="V517" i="3" s="1"/>
  <c r="T517" i="3"/>
  <c r="S517" i="3"/>
  <c r="R517" i="3"/>
  <c r="P517" i="3"/>
  <c r="Q517" i="3" s="1"/>
  <c r="N517" i="3"/>
  <c r="M517" i="3"/>
  <c r="O517" i="3" s="1"/>
  <c r="I517" i="3"/>
  <c r="K517" i="3" s="1"/>
  <c r="L517" i="3" s="1"/>
  <c r="H517" i="3"/>
  <c r="J517" i="3" s="1"/>
  <c r="E517" i="3"/>
  <c r="W517" i="3" s="1"/>
  <c r="D517" i="3"/>
  <c r="F517" i="3" s="1"/>
  <c r="C517" i="3"/>
  <c r="B517" i="3"/>
  <c r="A517" i="3"/>
  <c r="AC516" i="3"/>
  <c r="AB516" i="3"/>
  <c r="AA516" i="3"/>
  <c r="Z516" i="3"/>
  <c r="U516" i="3"/>
  <c r="S516" i="3"/>
  <c r="R516" i="3"/>
  <c r="T516" i="3" s="1"/>
  <c r="N516" i="3"/>
  <c r="P516" i="3" s="1"/>
  <c r="Q516" i="3" s="1"/>
  <c r="M516" i="3"/>
  <c r="O516" i="3" s="1"/>
  <c r="J516" i="3"/>
  <c r="I516" i="3"/>
  <c r="K516" i="3" s="1"/>
  <c r="L516" i="3" s="1"/>
  <c r="H516" i="3"/>
  <c r="F516" i="3"/>
  <c r="E516" i="3"/>
  <c r="W516" i="3" s="1"/>
  <c r="D516" i="3"/>
  <c r="C516" i="3"/>
  <c r="B516" i="3"/>
  <c r="A516" i="3"/>
  <c r="AC515" i="3"/>
  <c r="AB515" i="3"/>
  <c r="AA515" i="3"/>
  <c r="Z515" i="3"/>
  <c r="S515" i="3"/>
  <c r="U515" i="3" s="1"/>
  <c r="R515" i="3"/>
  <c r="T515" i="3" s="1"/>
  <c r="O515" i="3"/>
  <c r="N515" i="3"/>
  <c r="P515" i="3" s="1"/>
  <c r="Q515" i="3" s="1"/>
  <c r="M515" i="3"/>
  <c r="K515" i="3"/>
  <c r="L515" i="3" s="1"/>
  <c r="J515" i="3"/>
  <c r="I515" i="3"/>
  <c r="H515" i="3"/>
  <c r="F515" i="3"/>
  <c r="G515" i="3" s="1"/>
  <c r="D515" i="3"/>
  <c r="C515" i="3"/>
  <c r="E515" i="3" s="1"/>
  <c r="B515" i="3"/>
  <c r="A515" i="3"/>
  <c r="AC514" i="3"/>
  <c r="AB514" i="3"/>
  <c r="AA514" i="3"/>
  <c r="Z514" i="3"/>
  <c r="T514" i="3"/>
  <c r="S514" i="3"/>
  <c r="U514" i="3" s="1"/>
  <c r="V514" i="3" s="1"/>
  <c r="R514" i="3"/>
  <c r="P514" i="3"/>
  <c r="Q514" i="3" s="1"/>
  <c r="O514" i="3"/>
  <c r="N514" i="3"/>
  <c r="M514" i="3"/>
  <c r="K514" i="3"/>
  <c r="L514" i="3" s="1"/>
  <c r="I514" i="3"/>
  <c r="H514" i="3"/>
  <c r="J514" i="3" s="1"/>
  <c r="D514" i="3"/>
  <c r="F514" i="3" s="1"/>
  <c r="C514" i="3"/>
  <c r="E514" i="3" s="1"/>
  <c r="W514" i="3" s="1"/>
  <c r="B514" i="3"/>
  <c r="A514" i="3"/>
  <c r="AC513" i="3"/>
  <c r="AB513" i="3"/>
  <c r="AA513" i="3"/>
  <c r="Z513" i="3"/>
  <c r="U513" i="3"/>
  <c r="V513" i="3" s="1"/>
  <c r="T513" i="3"/>
  <c r="S513" i="3"/>
  <c r="R513" i="3"/>
  <c r="P513" i="3"/>
  <c r="N513" i="3"/>
  <c r="M513" i="3"/>
  <c r="O513" i="3" s="1"/>
  <c r="Q513" i="3" s="1"/>
  <c r="I513" i="3"/>
  <c r="K513" i="3" s="1"/>
  <c r="L513" i="3" s="1"/>
  <c r="H513" i="3"/>
  <c r="J513" i="3" s="1"/>
  <c r="E513" i="3"/>
  <c r="W513" i="3" s="1"/>
  <c r="D513" i="3"/>
  <c r="F513" i="3" s="1"/>
  <c r="C513" i="3"/>
  <c r="B513" i="3"/>
  <c r="A513" i="3"/>
  <c r="AC512" i="3"/>
  <c r="AB512" i="3"/>
  <c r="AA512" i="3"/>
  <c r="Z512" i="3"/>
  <c r="V512" i="3"/>
  <c r="U512" i="3"/>
  <c r="S512" i="3"/>
  <c r="R512" i="3"/>
  <c r="T512" i="3" s="1"/>
  <c r="N512" i="3"/>
  <c r="P512" i="3" s="1"/>
  <c r="M512" i="3"/>
  <c r="O512" i="3" s="1"/>
  <c r="Q512" i="3" s="1"/>
  <c r="J512" i="3"/>
  <c r="I512" i="3"/>
  <c r="K512" i="3" s="1"/>
  <c r="L512" i="3" s="1"/>
  <c r="H512" i="3"/>
  <c r="F512" i="3"/>
  <c r="E512" i="3"/>
  <c r="D512" i="3"/>
  <c r="C512" i="3"/>
  <c r="B512" i="3"/>
  <c r="A512" i="3"/>
  <c r="AC511" i="3"/>
  <c r="AB511" i="3"/>
  <c r="AA511" i="3"/>
  <c r="Z511" i="3"/>
  <c r="S511" i="3"/>
  <c r="U511" i="3" s="1"/>
  <c r="V511" i="3" s="1"/>
  <c r="R511" i="3"/>
  <c r="T511" i="3" s="1"/>
  <c r="O511" i="3"/>
  <c r="N511" i="3"/>
  <c r="P511" i="3" s="1"/>
  <c r="M511" i="3"/>
  <c r="K511" i="3"/>
  <c r="J511" i="3"/>
  <c r="I511" i="3"/>
  <c r="H511" i="3"/>
  <c r="F511" i="3"/>
  <c r="D511" i="3"/>
  <c r="C511" i="3"/>
  <c r="E511" i="3" s="1"/>
  <c r="W511" i="3" s="1"/>
  <c r="B511" i="3"/>
  <c r="A511" i="3"/>
  <c r="AC510" i="3"/>
  <c r="AB510" i="3"/>
  <c r="AA510" i="3"/>
  <c r="Z510" i="3"/>
  <c r="W510" i="3"/>
  <c r="T510" i="3"/>
  <c r="S510" i="3"/>
  <c r="U510" i="3" s="1"/>
  <c r="V510" i="3" s="1"/>
  <c r="R510" i="3"/>
  <c r="P510" i="3"/>
  <c r="Q510" i="3" s="1"/>
  <c r="O510" i="3"/>
  <c r="N510" i="3"/>
  <c r="M510" i="3"/>
  <c r="L510" i="3"/>
  <c r="K510" i="3"/>
  <c r="I510" i="3"/>
  <c r="H510" i="3"/>
  <c r="J510" i="3" s="1"/>
  <c r="G510" i="3"/>
  <c r="D510" i="3"/>
  <c r="F510" i="3" s="1"/>
  <c r="X510" i="3" s="1"/>
  <c r="Y510" i="3" s="1"/>
  <c r="C510" i="3"/>
  <c r="E510" i="3" s="1"/>
  <c r="B510" i="3"/>
  <c r="A510" i="3"/>
  <c r="AC509" i="3"/>
  <c r="AB509" i="3"/>
  <c r="AA509" i="3"/>
  <c r="Z509" i="3"/>
  <c r="U509" i="3"/>
  <c r="T509" i="3"/>
  <c r="S509" i="3"/>
  <c r="R509" i="3"/>
  <c r="P509" i="3"/>
  <c r="Q509" i="3" s="1"/>
  <c r="N509" i="3"/>
  <c r="M509" i="3"/>
  <c r="O509" i="3" s="1"/>
  <c r="I509" i="3"/>
  <c r="K509" i="3" s="1"/>
  <c r="X509" i="3" s="1"/>
  <c r="H509" i="3"/>
  <c r="J509" i="3" s="1"/>
  <c r="E509" i="3"/>
  <c r="D509" i="3"/>
  <c r="F509" i="3" s="1"/>
  <c r="C509" i="3"/>
  <c r="B509" i="3"/>
  <c r="A509" i="3"/>
  <c r="AC508" i="3"/>
  <c r="AB508" i="3"/>
  <c r="AA508" i="3"/>
  <c r="Z508" i="3"/>
  <c r="V508" i="3"/>
  <c r="U508" i="3"/>
  <c r="S508" i="3"/>
  <c r="R508" i="3"/>
  <c r="T508" i="3" s="1"/>
  <c r="Q508" i="3"/>
  <c r="N508" i="3"/>
  <c r="P508" i="3" s="1"/>
  <c r="M508" i="3"/>
  <c r="O508" i="3" s="1"/>
  <c r="J508" i="3"/>
  <c r="I508" i="3"/>
  <c r="K508" i="3" s="1"/>
  <c r="L508" i="3" s="1"/>
  <c r="H508" i="3"/>
  <c r="F508" i="3"/>
  <c r="E508" i="3"/>
  <c r="D508" i="3"/>
  <c r="C508" i="3"/>
  <c r="B508" i="3"/>
  <c r="A508" i="3"/>
  <c r="AC507" i="3"/>
  <c r="AB507" i="3"/>
  <c r="AA507" i="3"/>
  <c r="Z507" i="3"/>
  <c r="S507" i="3"/>
  <c r="U507" i="3" s="1"/>
  <c r="V507" i="3" s="1"/>
  <c r="R507" i="3"/>
  <c r="T507" i="3" s="1"/>
  <c r="O507" i="3"/>
  <c r="N507" i="3"/>
  <c r="P507" i="3" s="1"/>
  <c r="M507" i="3"/>
  <c r="K507" i="3"/>
  <c r="J507" i="3"/>
  <c r="W507" i="3" s="1"/>
  <c r="I507" i="3"/>
  <c r="H507" i="3"/>
  <c r="F507" i="3"/>
  <c r="X507" i="3" s="1"/>
  <c r="D507" i="3"/>
  <c r="C507" i="3"/>
  <c r="E507" i="3" s="1"/>
  <c r="B507" i="3"/>
  <c r="A507" i="3"/>
  <c r="AC506" i="3"/>
  <c r="AB506" i="3"/>
  <c r="AA506" i="3"/>
  <c r="Z506" i="3"/>
  <c r="T506" i="3"/>
  <c r="S506" i="3"/>
  <c r="U506" i="3" s="1"/>
  <c r="V506" i="3" s="1"/>
  <c r="R506" i="3"/>
  <c r="P506" i="3"/>
  <c r="Q506" i="3" s="1"/>
  <c r="O506" i="3"/>
  <c r="N506" i="3"/>
  <c r="M506" i="3"/>
  <c r="L506" i="3"/>
  <c r="K506" i="3"/>
  <c r="I506" i="3"/>
  <c r="H506" i="3"/>
  <c r="J506" i="3" s="1"/>
  <c r="D506" i="3"/>
  <c r="F506" i="3" s="1"/>
  <c r="X506" i="3" s="1"/>
  <c r="C506" i="3"/>
  <c r="E506" i="3" s="1"/>
  <c r="W506" i="3" s="1"/>
  <c r="B506" i="3"/>
  <c r="A506" i="3"/>
  <c r="AC505" i="3"/>
  <c r="AB505" i="3"/>
  <c r="AA505" i="3"/>
  <c r="Z505" i="3"/>
  <c r="X505" i="3"/>
  <c r="Y505" i="3" s="1"/>
  <c r="U505" i="3"/>
  <c r="T505" i="3"/>
  <c r="S505" i="3"/>
  <c r="R505" i="3"/>
  <c r="P505" i="3"/>
  <c r="Q505" i="3" s="1"/>
  <c r="N505" i="3"/>
  <c r="M505" i="3"/>
  <c r="O505" i="3" s="1"/>
  <c r="I505" i="3"/>
  <c r="K505" i="3" s="1"/>
  <c r="L505" i="3" s="1"/>
  <c r="H505" i="3"/>
  <c r="J505" i="3" s="1"/>
  <c r="E505" i="3"/>
  <c r="W505" i="3" s="1"/>
  <c r="D505" i="3"/>
  <c r="F505" i="3" s="1"/>
  <c r="C505" i="3"/>
  <c r="B505" i="3"/>
  <c r="A505" i="3"/>
  <c r="AC504" i="3"/>
  <c r="AB504" i="3"/>
  <c r="AA504" i="3"/>
  <c r="Z504" i="3"/>
  <c r="V504" i="3"/>
  <c r="U504" i="3"/>
  <c r="S504" i="3"/>
  <c r="R504" i="3"/>
  <c r="T504" i="3" s="1"/>
  <c r="N504" i="3"/>
  <c r="P504" i="3" s="1"/>
  <c r="M504" i="3"/>
  <c r="O504" i="3" s="1"/>
  <c r="Q504" i="3" s="1"/>
  <c r="J504" i="3"/>
  <c r="I504" i="3"/>
  <c r="K504" i="3" s="1"/>
  <c r="L504" i="3" s="1"/>
  <c r="H504" i="3"/>
  <c r="F504" i="3"/>
  <c r="E504" i="3"/>
  <c r="D504" i="3"/>
  <c r="C504" i="3"/>
  <c r="B504" i="3"/>
  <c r="A504" i="3"/>
  <c r="AC503" i="3"/>
  <c r="AB503" i="3"/>
  <c r="AA503" i="3"/>
  <c r="Z503" i="3"/>
  <c r="S503" i="3"/>
  <c r="U503" i="3" s="1"/>
  <c r="V503" i="3" s="1"/>
  <c r="R503" i="3"/>
  <c r="T503" i="3" s="1"/>
  <c r="O503" i="3"/>
  <c r="N503" i="3"/>
  <c r="P503" i="3" s="1"/>
  <c r="M503" i="3"/>
  <c r="K503" i="3"/>
  <c r="J503" i="3"/>
  <c r="I503" i="3"/>
  <c r="H503" i="3"/>
  <c r="F503" i="3"/>
  <c r="D503" i="3"/>
  <c r="C503" i="3"/>
  <c r="E503" i="3" s="1"/>
  <c r="W503" i="3" s="1"/>
  <c r="B503" i="3"/>
  <c r="A503" i="3"/>
  <c r="AC502" i="3"/>
  <c r="AB502" i="3"/>
  <c r="AA502" i="3"/>
  <c r="Z502" i="3"/>
  <c r="W502" i="3"/>
  <c r="T502" i="3"/>
  <c r="S502" i="3"/>
  <c r="U502" i="3" s="1"/>
  <c r="V502" i="3" s="1"/>
  <c r="R502" i="3"/>
  <c r="P502" i="3"/>
  <c r="Q502" i="3" s="1"/>
  <c r="O502" i="3"/>
  <c r="N502" i="3"/>
  <c r="M502" i="3"/>
  <c r="L502" i="3"/>
  <c r="K502" i="3"/>
  <c r="I502" i="3"/>
  <c r="H502" i="3"/>
  <c r="J502" i="3" s="1"/>
  <c r="G502" i="3"/>
  <c r="D502" i="3"/>
  <c r="F502" i="3" s="1"/>
  <c r="X502" i="3" s="1"/>
  <c r="Y502" i="3" s="1"/>
  <c r="C502" i="3"/>
  <c r="E502" i="3" s="1"/>
  <c r="B502" i="3"/>
  <c r="A502" i="3"/>
  <c r="AC501" i="3"/>
  <c r="AB501" i="3"/>
  <c r="AA501" i="3"/>
  <c r="Z501" i="3"/>
  <c r="U501" i="3"/>
  <c r="T501" i="3"/>
  <c r="S501" i="3"/>
  <c r="R501" i="3"/>
  <c r="P501" i="3"/>
  <c r="Q501" i="3" s="1"/>
  <c r="N501" i="3"/>
  <c r="M501" i="3"/>
  <c r="O501" i="3" s="1"/>
  <c r="I501" i="3"/>
  <c r="K501" i="3" s="1"/>
  <c r="X501" i="3" s="1"/>
  <c r="H501" i="3"/>
  <c r="J501" i="3" s="1"/>
  <c r="E501" i="3"/>
  <c r="D501" i="3"/>
  <c r="F501" i="3" s="1"/>
  <c r="C501" i="3"/>
  <c r="B501" i="3"/>
  <c r="A501" i="3"/>
  <c r="AC500" i="3"/>
  <c r="AB500" i="3"/>
  <c r="AA500" i="3"/>
  <c r="Z500" i="3"/>
  <c r="V500" i="3"/>
  <c r="U500" i="3"/>
  <c r="S500" i="3"/>
  <c r="R500" i="3"/>
  <c r="T500" i="3" s="1"/>
  <c r="Q500" i="3"/>
  <c r="N500" i="3"/>
  <c r="P500" i="3" s="1"/>
  <c r="M500" i="3"/>
  <c r="O500" i="3" s="1"/>
  <c r="J500" i="3"/>
  <c r="I500" i="3"/>
  <c r="K500" i="3" s="1"/>
  <c r="L500" i="3" s="1"/>
  <c r="H500" i="3"/>
  <c r="F500" i="3"/>
  <c r="E500" i="3"/>
  <c r="D500" i="3"/>
  <c r="C500" i="3"/>
  <c r="B500" i="3"/>
  <c r="A500" i="3"/>
  <c r="AC499" i="3"/>
  <c r="AB499" i="3"/>
  <c r="AA499" i="3"/>
  <c r="Z499" i="3"/>
  <c r="S499" i="3"/>
  <c r="U499" i="3" s="1"/>
  <c r="V499" i="3" s="1"/>
  <c r="R499" i="3"/>
  <c r="T499" i="3" s="1"/>
  <c r="O499" i="3"/>
  <c r="N499" i="3"/>
  <c r="P499" i="3" s="1"/>
  <c r="M499" i="3"/>
  <c r="K499" i="3"/>
  <c r="J499" i="3"/>
  <c r="I499" i="3"/>
  <c r="H499" i="3"/>
  <c r="F499" i="3"/>
  <c r="X499" i="3" s="1"/>
  <c r="D499" i="3"/>
  <c r="C499" i="3"/>
  <c r="E499" i="3" s="1"/>
  <c r="W499" i="3" s="1"/>
  <c r="B499" i="3"/>
  <c r="A499" i="3"/>
  <c r="AC498" i="3"/>
  <c r="AB498" i="3"/>
  <c r="AA498" i="3"/>
  <c r="Z498" i="3"/>
  <c r="T498" i="3"/>
  <c r="S498" i="3"/>
  <c r="U498" i="3" s="1"/>
  <c r="V498" i="3" s="1"/>
  <c r="R498" i="3"/>
  <c r="P498" i="3"/>
  <c r="O498" i="3"/>
  <c r="Q498" i="3" s="1"/>
  <c r="N498" i="3"/>
  <c r="M498" i="3"/>
  <c r="K498" i="3"/>
  <c r="I498" i="3"/>
  <c r="H498" i="3"/>
  <c r="J498" i="3" s="1"/>
  <c r="D498" i="3"/>
  <c r="F498" i="3" s="1"/>
  <c r="C498" i="3"/>
  <c r="E498" i="3" s="1"/>
  <c r="B498" i="3"/>
  <c r="A498" i="3"/>
  <c r="AC497" i="3"/>
  <c r="AB497" i="3"/>
  <c r="AA497" i="3"/>
  <c r="Z497" i="3"/>
  <c r="T497" i="3"/>
  <c r="S497" i="3"/>
  <c r="U497" i="3" s="1"/>
  <c r="V497" i="3" s="1"/>
  <c r="R497" i="3"/>
  <c r="P497" i="3"/>
  <c r="N497" i="3"/>
  <c r="M497" i="3"/>
  <c r="O497" i="3" s="1"/>
  <c r="I497" i="3"/>
  <c r="K497" i="3" s="1"/>
  <c r="H497" i="3"/>
  <c r="J497" i="3" s="1"/>
  <c r="E497" i="3"/>
  <c r="D497" i="3"/>
  <c r="F497" i="3" s="1"/>
  <c r="C497" i="3"/>
  <c r="B497" i="3"/>
  <c r="A497" i="3"/>
  <c r="AC496" i="3"/>
  <c r="AB496" i="3"/>
  <c r="AA496" i="3"/>
  <c r="Z496" i="3"/>
  <c r="U496" i="3"/>
  <c r="S496" i="3"/>
  <c r="R496" i="3"/>
  <c r="T496" i="3" s="1"/>
  <c r="V496" i="3" s="1"/>
  <c r="N496" i="3"/>
  <c r="P496" i="3" s="1"/>
  <c r="M496" i="3"/>
  <c r="O496" i="3" s="1"/>
  <c r="J496" i="3"/>
  <c r="I496" i="3"/>
  <c r="K496" i="3" s="1"/>
  <c r="L496" i="3" s="1"/>
  <c r="H496" i="3"/>
  <c r="F496" i="3"/>
  <c r="E496" i="3"/>
  <c r="D496" i="3"/>
  <c r="C496" i="3"/>
  <c r="B496" i="3"/>
  <c r="A496" i="3"/>
  <c r="AC495" i="3"/>
  <c r="AB495" i="3"/>
  <c r="AA495" i="3"/>
  <c r="Z495" i="3"/>
  <c r="S495" i="3"/>
  <c r="U495" i="3" s="1"/>
  <c r="V495" i="3" s="1"/>
  <c r="R495" i="3"/>
  <c r="T495" i="3" s="1"/>
  <c r="O495" i="3"/>
  <c r="N495" i="3"/>
  <c r="P495" i="3" s="1"/>
  <c r="Q495" i="3" s="1"/>
  <c r="M495" i="3"/>
  <c r="K495" i="3"/>
  <c r="L495" i="3" s="1"/>
  <c r="J495" i="3"/>
  <c r="I495" i="3"/>
  <c r="H495" i="3"/>
  <c r="F495" i="3"/>
  <c r="D495" i="3"/>
  <c r="C495" i="3"/>
  <c r="E495" i="3" s="1"/>
  <c r="B495" i="3"/>
  <c r="A495" i="3"/>
  <c r="AC494" i="3"/>
  <c r="AB494" i="3"/>
  <c r="AA494" i="3"/>
  <c r="Z494" i="3"/>
  <c r="T494" i="3"/>
  <c r="S494" i="3"/>
  <c r="U494" i="3" s="1"/>
  <c r="V494" i="3" s="1"/>
  <c r="R494" i="3"/>
  <c r="P494" i="3"/>
  <c r="Q494" i="3" s="1"/>
  <c r="O494" i="3"/>
  <c r="N494" i="3"/>
  <c r="M494" i="3"/>
  <c r="K494" i="3"/>
  <c r="I494" i="3"/>
  <c r="H494" i="3"/>
  <c r="J494" i="3" s="1"/>
  <c r="L494" i="3" s="1"/>
  <c r="D494" i="3"/>
  <c r="F494" i="3" s="1"/>
  <c r="C494" i="3"/>
  <c r="E494" i="3" s="1"/>
  <c r="W494" i="3" s="1"/>
  <c r="B494" i="3"/>
  <c r="A494" i="3"/>
  <c r="AC493" i="3"/>
  <c r="AB493" i="3"/>
  <c r="AA493" i="3"/>
  <c r="Z493" i="3"/>
  <c r="U493" i="3"/>
  <c r="V493" i="3" s="1"/>
  <c r="T493" i="3"/>
  <c r="S493" i="3"/>
  <c r="R493" i="3"/>
  <c r="P493" i="3"/>
  <c r="N493" i="3"/>
  <c r="M493" i="3"/>
  <c r="O493" i="3" s="1"/>
  <c r="Q493" i="3" s="1"/>
  <c r="I493" i="3"/>
  <c r="K493" i="3" s="1"/>
  <c r="H493" i="3"/>
  <c r="J493" i="3" s="1"/>
  <c r="E493" i="3"/>
  <c r="D493" i="3"/>
  <c r="F493" i="3" s="1"/>
  <c r="C493" i="3"/>
  <c r="B493" i="3"/>
  <c r="A493" i="3"/>
  <c r="AC492" i="3"/>
  <c r="AB492" i="3"/>
  <c r="AA492" i="3"/>
  <c r="Z492" i="3"/>
  <c r="U492" i="3"/>
  <c r="S492" i="3"/>
  <c r="R492" i="3"/>
  <c r="T492" i="3" s="1"/>
  <c r="V492" i="3" s="1"/>
  <c r="N492" i="3"/>
  <c r="P492" i="3" s="1"/>
  <c r="Q492" i="3" s="1"/>
  <c r="M492" i="3"/>
  <c r="O492" i="3" s="1"/>
  <c r="J492" i="3"/>
  <c r="I492" i="3"/>
  <c r="K492" i="3" s="1"/>
  <c r="L492" i="3" s="1"/>
  <c r="H492" i="3"/>
  <c r="F492" i="3"/>
  <c r="E492" i="3"/>
  <c r="D492" i="3"/>
  <c r="C492" i="3"/>
  <c r="B492" i="3"/>
  <c r="A492" i="3"/>
  <c r="AC491" i="3"/>
  <c r="AB491" i="3"/>
  <c r="AA491" i="3"/>
  <c r="Z491" i="3"/>
  <c r="S491" i="3"/>
  <c r="U491" i="3" s="1"/>
  <c r="V491" i="3" s="1"/>
  <c r="R491" i="3"/>
  <c r="T491" i="3" s="1"/>
  <c r="O491" i="3"/>
  <c r="N491" i="3"/>
  <c r="P491" i="3" s="1"/>
  <c r="Q491" i="3" s="1"/>
  <c r="M491" i="3"/>
  <c r="K491" i="3"/>
  <c r="L491" i="3" s="1"/>
  <c r="J491" i="3"/>
  <c r="I491" i="3"/>
  <c r="H491" i="3"/>
  <c r="F491" i="3"/>
  <c r="D491" i="3"/>
  <c r="C491" i="3"/>
  <c r="E491" i="3" s="1"/>
  <c r="B491" i="3"/>
  <c r="A491" i="3"/>
  <c r="AC490" i="3"/>
  <c r="AB490" i="3"/>
  <c r="AA490" i="3"/>
  <c r="Z490" i="3"/>
  <c r="T490" i="3"/>
  <c r="S490" i="3"/>
  <c r="U490" i="3" s="1"/>
  <c r="V490" i="3" s="1"/>
  <c r="R490" i="3"/>
  <c r="P490" i="3"/>
  <c r="Q490" i="3" s="1"/>
  <c r="O490" i="3"/>
  <c r="N490" i="3"/>
  <c r="M490" i="3"/>
  <c r="K490" i="3"/>
  <c r="I490" i="3"/>
  <c r="H490" i="3"/>
  <c r="J490" i="3" s="1"/>
  <c r="L490" i="3" s="1"/>
  <c r="D490" i="3"/>
  <c r="F490" i="3" s="1"/>
  <c r="C490" i="3"/>
  <c r="E490" i="3" s="1"/>
  <c r="W490" i="3" s="1"/>
  <c r="B490" i="3"/>
  <c r="A490" i="3"/>
  <c r="AC489" i="3"/>
  <c r="AB489" i="3"/>
  <c r="AA489" i="3"/>
  <c r="Z489" i="3"/>
  <c r="U489" i="3"/>
  <c r="V489" i="3" s="1"/>
  <c r="T489" i="3"/>
  <c r="S489" i="3"/>
  <c r="R489" i="3"/>
  <c r="P489" i="3"/>
  <c r="N489" i="3"/>
  <c r="M489" i="3"/>
  <c r="O489" i="3" s="1"/>
  <c r="Q489" i="3" s="1"/>
  <c r="I489" i="3"/>
  <c r="K489" i="3" s="1"/>
  <c r="H489" i="3"/>
  <c r="J489" i="3" s="1"/>
  <c r="E489" i="3"/>
  <c r="W489" i="3" s="1"/>
  <c r="D489" i="3"/>
  <c r="F489" i="3" s="1"/>
  <c r="C489" i="3"/>
  <c r="B489" i="3"/>
  <c r="A489" i="3"/>
  <c r="AC488" i="3"/>
  <c r="AB488" i="3"/>
  <c r="AA488" i="3"/>
  <c r="Z488" i="3"/>
  <c r="U488" i="3"/>
  <c r="S488" i="3"/>
  <c r="R488" i="3"/>
  <c r="T488" i="3" s="1"/>
  <c r="V488" i="3" s="1"/>
  <c r="N488" i="3"/>
  <c r="P488" i="3" s="1"/>
  <c r="M488" i="3"/>
  <c r="O488" i="3" s="1"/>
  <c r="J488" i="3"/>
  <c r="I488" i="3"/>
  <c r="K488" i="3" s="1"/>
  <c r="L488" i="3" s="1"/>
  <c r="H488" i="3"/>
  <c r="F488" i="3"/>
  <c r="E488" i="3"/>
  <c r="D488" i="3"/>
  <c r="C488" i="3"/>
  <c r="B488" i="3"/>
  <c r="A488" i="3"/>
  <c r="AC487" i="3"/>
  <c r="AB487" i="3"/>
  <c r="AA487" i="3"/>
  <c r="Z487" i="3"/>
  <c r="W487" i="3"/>
  <c r="S487" i="3"/>
  <c r="U487" i="3" s="1"/>
  <c r="R487" i="3"/>
  <c r="T487" i="3" s="1"/>
  <c r="O487" i="3"/>
  <c r="N487" i="3"/>
  <c r="P487" i="3" s="1"/>
  <c r="Q487" i="3" s="1"/>
  <c r="M487" i="3"/>
  <c r="K487" i="3"/>
  <c r="L487" i="3" s="1"/>
  <c r="J487" i="3"/>
  <c r="I487" i="3"/>
  <c r="H487" i="3"/>
  <c r="G487" i="3"/>
  <c r="F487" i="3"/>
  <c r="D487" i="3"/>
  <c r="C487" i="3"/>
  <c r="E487" i="3" s="1"/>
  <c r="B487" i="3"/>
  <c r="A487" i="3"/>
  <c r="AC486" i="3"/>
  <c r="AB486" i="3"/>
  <c r="AA486" i="3"/>
  <c r="Z486" i="3"/>
  <c r="T486" i="3"/>
  <c r="S486" i="3"/>
  <c r="U486" i="3" s="1"/>
  <c r="V486" i="3" s="1"/>
  <c r="R486" i="3"/>
  <c r="P486" i="3"/>
  <c r="Q486" i="3" s="1"/>
  <c r="O486" i="3"/>
  <c r="N486" i="3"/>
  <c r="M486" i="3"/>
  <c r="L486" i="3"/>
  <c r="K486" i="3"/>
  <c r="I486" i="3"/>
  <c r="H486" i="3"/>
  <c r="J486" i="3" s="1"/>
  <c r="D486" i="3"/>
  <c r="F486" i="3" s="1"/>
  <c r="G486" i="3" s="1"/>
  <c r="C486" i="3"/>
  <c r="E486" i="3" s="1"/>
  <c r="W486" i="3" s="1"/>
  <c r="B486" i="3"/>
  <c r="A486" i="3"/>
  <c r="AC485" i="3"/>
  <c r="AB485" i="3"/>
  <c r="AA485" i="3"/>
  <c r="Z485" i="3"/>
  <c r="U485" i="3"/>
  <c r="V485" i="3" s="1"/>
  <c r="S485" i="3"/>
  <c r="R485" i="3"/>
  <c r="T485" i="3" s="1"/>
  <c r="Q485" i="3"/>
  <c r="N485" i="3"/>
  <c r="P485" i="3" s="1"/>
  <c r="M485" i="3"/>
  <c r="O485" i="3" s="1"/>
  <c r="J485" i="3"/>
  <c r="I485" i="3"/>
  <c r="K485" i="3" s="1"/>
  <c r="L485" i="3" s="1"/>
  <c r="H485" i="3"/>
  <c r="F485" i="3"/>
  <c r="G485" i="3" s="1"/>
  <c r="E485" i="3"/>
  <c r="D485" i="3"/>
  <c r="C485" i="3"/>
  <c r="B485" i="3"/>
  <c r="A485" i="3"/>
  <c r="AC484" i="3"/>
  <c r="AB484" i="3"/>
  <c r="AA484" i="3"/>
  <c r="Z484" i="3"/>
  <c r="V484" i="3"/>
  <c r="S484" i="3"/>
  <c r="U484" i="3" s="1"/>
  <c r="R484" i="3"/>
  <c r="T484" i="3" s="1"/>
  <c r="O484" i="3"/>
  <c r="N484" i="3"/>
  <c r="P484" i="3" s="1"/>
  <c r="Q484" i="3" s="1"/>
  <c r="M484" i="3"/>
  <c r="K484" i="3"/>
  <c r="J484" i="3"/>
  <c r="I484" i="3"/>
  <c r="H484" i="3"/>
  <c r="F484" i="3"/>
  <c r="D484" i="3"/>
  <c r="C484" i="3"/>
  <c r="E484" i="3" s="1"/>
  <c r="W484" i="3" s="1"/>
  <c r="B484" i="3"/>
  <c r="A484" i="3"/>
  <c r="AC483" i="3"/>
  <c r="AB483" i="3"/>
  <c r="AA483" i="3"/>
  <c r="Z483" i="3"/>
  <c r="T483" i="3"/>
  <c r="S483" i="3"/>
  <c r="U483" i="3" s="1"/>
  <c r="V483" i="3" s="1"/>
  <c r="R483" i="3"/>
  <c r="P483" i="3"/>
  <c r="O483" i="3"/>
  <c r="N483" i="3"/>
  <c r="M483" i="3"/>
  <c r="K483" i="3"/>
  <c r="I483" i="3"/>
  <c r="H483" i="3"/>
  <c r="J483" i="3" s="1"/>
  <c r="D483" i="3"/>
  <c r="F483" i="3" s="1"/>
  <c r="X483" i="3" s="1"/>
  <c r="C483" i="3"/>
  <c r="E483" i="3" s="1"/>
  <c r="W483" i="3" s="1"/>
  <c r="B483" i="3"/>
  <c r="A483" i="3"/>
  <c r="AC482" i="3"/>
  <c r="AB482" i="3"/>
  <c r="AA482" i="3"/>
  <c r="Z482" i="3"/>
  <c r="U482" i="3"/>
  <c r="V482" i="3" s="1"/>
  <c r="T482" i="3"/>
  <c r="S482" i="3"/>
  <c r="R482" i="3"/>
  <c r="P482" i="3"/>
  <c r="Q482" i="3" s="1"/>
  <c r="N482" i="3"/>
  <c r="M482" i="3"/>
  <c r="O482" i="3" s="1"/>
  <c r="I482" i="3"/>
  <c r="K482" i="3" s="1"/>
  <c r="L482" i="3" s="1"/>
  <c r="H482" i="3"/>
  <c r="J482" i="3" s="1"/>
  <c r="E482" i="3"/>
  <c r="D482" i="3"/>
  <c r="F482" i="3" s="1"/>
  <c r="G482" i="3" s="1"/>
  <c r="C482" i="3"/>
  <c r="B482" i="3"/>
  <c r="A482" i="3"/>
  <c r="AC481" i="3"/>
  <c r="AB481" i="3"/>
  <c r="AA481" i="3"/>
  <c r="Z481" i="3"/>
  <c r="U481" i="3"/>
  <c r="V481" i="3" s="1"/>
  <c r="S481" i="3"/>
  <c r="R481" i="3"/>
  <c r="T481" i="3" s="1"/>
  <c r="N481" i="3"/>
  <c r="P481" i="3" s="1"/>
  <c r="Q481" i="3" s="1"/>
  <c r="M481" i="3"/>
  <c r="O481" i="3" s="1"/>
  <c r="J481" i="3"/>
  <c r="I481" i="3"/>
  <c r="K481" i="3" s="1"/>
  <c r="L481" i="3" s="1"/>
  <c r="H481" i="3"/>
  <c r="F481" i="3"/>
  <c r="G481" i="3" s="1"/>
  <c r="E481" i="3"/>
  <c r="D481" i="3"/>
  <c r="C481" i="3"/>
  <c r="B481" i="3"/>
  <c r="A481" i="3"/>
  <c r="AC480" i="3"/>
  <c r="AB480" i="3"/>
  <c r="AA480" i="3"/>
  <c r="Z480" i="3"/>
  <c r="S480" i="3"/>
  <c r="U480" i="3" s="1"/>
  <c r="V480" i="3" s="1"/>
  <c r="R480" i="3"/>
  <c r="T480" i="3" s="1"/>
  <c r="O480" i="3"/>
  <c r="N480" i="3"/>
  <c r="P480" i="3" s="1"/>
  <c r="Q480" i="3" s="1"/>
  <c r="M480" i="3"/>
  <c r="K480" i="3"/>
  <c r="L480" i="3" s="1"/>
  <c r="J480" i="3"/>
  <c r="I480" i="3"/>
  <c r="H480" i="3"/>
  <c r="F480" i="3"/>
  <c r="D480" i="3"/>
  <c r="C480" i="3"/>
  <c r="E480" i="3" s="1"/>
  <c r="W480" i="3" s="1"/>
  <c r="B480" i="3"/>
  <c r="A480" i="3"/>
  <c r="AC479" i="3"/>
  <c r="AB479" i="3"/>
  <c r="AA479" i="3"/>
  <c r="Z479" i="3"/>
  <c r="T479" i="3"/>
  <c r="S479" i="3"/>
  <c r="U479" i="3" s="1"/>
  <c r="V479" i="3" s="1"/>
  <c r="R479" i="3"/>
  <c r="P479" i="3"/>
  <c r="O479" i="3"/>
  <c r="N479" i="3"/>
  <c r="M479" i="3"/>
  <c r="K479" i="3"/>
  <c r="I479" i="3"/>
  <c r="H479" i="3"/>
  <c r="J479" i="3" s="1"/>
  <c r="D479" i="3"/>
  <c r="F479" i="3" s="1"/>
  <c r="C479" i="3"/>
  <c r="E479" i="3" s="1"/>
  <c r="G479" i="3" s="1"/>
  <c r="B479" i="3"/>
  <c r="A479" i="3"/>
  <c r="AC478" i="3"/>
  <c r="AB478" i="3"/>
  <c r="AA478" i="3"/>
  <c r="Z478" i="3"/>
  <c r="U478" i="3"/>
  <c r="T478" i="3"/>
  <c r="S478" i="3"/>
  <c r="R478" i="3"/>
  <c r="P478" i="3"/>
  <c r="Q478" i="3" s="1"/>
  <c r="N478" i="3"/>
  <c r="M478" i="3"/>
  <c r="O478" i="3" s="1"/>
  <c r="I478" i="3"/>
  <c r="K478" i="3" s="1"/>
  <c r="L478" i="3" s="1"/>
  <c r="H478" i="3"/>
  <c r="J478" i="3" s="1"/>
  <c r="E478" i="3"/>
  <c r="D478" i="3"/>
  <c r="F478" i="3" s="1"/>
  <c r="G478" i="3" s="1"/>
  <c r="C478" i="3"/>
  <c r="B478" i="3"/>
  <c r="A478" i="3"/>
  <c r="AC477" i="3"/>
  <c r="AB477" i="3"/>
  <c r="AA477" i="3"/>
  <c r="Z477" i="3"/>
  <c r="U477" i="3"/>
  <c r="V477" i="3" s="1"/>
  <c r="S477" i="3"/>
  <c r="R477" i="3"/>
  <c r="T477" i="3" s="1"/>
  <c r="N477" i="3"/>
  <c r="P477" i="3" s="1"/>
  <c r="Q477" i="3" s="1"/>
  <c r="M477" i="3"/>
  <c r="O477" i="3" s="1"/>
  <c r="J477" i="3"/>
  <c r="I477" i="3"/>
  <c r="K477" i="3" s="1"/>
  <c r="L477" i="3" s="1"/>
  <c r="H477" i="3"/>
  <c r="F477" i="3"/>
  <c r="G477" i="3" s="1"/>
  <c r="E477" i="3"/>
  <c r="D477" i="3"/>
  <c r="C477" i="3"/>
  <c r="B477" i="3"/>
  <c r="A477" i="3"/>
  <c r="AC476" i="3"/>
  <c r="AB476" i="3"/>
  <c r="AA476" i="3"/>
  <c r="Z476" i="3"/>
  <c r="S476" i="3"/>
  <c r="U476" i="3" s="1"/>
  <c r="V476" i="3" s="1"/>
  <c r="R476" i="3"/>
  <c r="T476" i="3" s="1"/>
  <c r="O476" i="3"/>
  <c r="N476" i="3"/>
  <c r="P476" i="3" s="1"/>
  <c r="Q476" i="3" s="1"/>
  <c r="M476" i="3"/>
  <c r="K476" i="3"/>
  <c r="L476" i="3" s="1"/>
  <c r="J476" i="3"/>
  <c r="I476" i="3"/>
  <c r="H476" i="3"/>
  <c r="F476" i="3"/>
  <c r="D476" i="3"/>
  <c r="C476" i="3"/>
  <c r="E476" i="3" s="1"/>
  <c r="B476" i="3"/>
  <c r="A476" i="3"/>
  <c r="AC475" i="3"/>
  <c r="AB475" i="3"/>
  <c r="AA475" i="3"/>
  <c r="Z475" i="3"/>
  <c r="T475" i="3"/>
  <c r="S475" i="3"/>
  <c r="U475" i="3" s="1"/>
  <c r="V475" i="3" s="1"/>
  <c r="R475" i="3"/>
  <c r="P475" i="3"/>
  <c r="O475" i="3"/>
  <c r="N475" i="3"/>
  <c r="M475" i="3"/>
  <c r="K475" i="3"/>
  <c r="L475" i="3" s="1"/>
  <c r="I475" i="3"/>
  <c r="H475" i="3"/>
  <c r="J475" i="3" s="1"/>
  <c r="D475" i="3"/>
  <c r="F475" i="3" s="1"/>
  <c r="X475" i="3" s="1"/>
  <c r="C475" i="3"/>
  <c r="E475" i="3" s="1"/>
  <c r="W475" i="3" s="1"/>
  <c r="B475" i="3"/>
  <c r="A475" i="3"/>
  <c r="AC474" i="3"/>
  <c r="AB474" i="3"/>
  <c r="AA474" i="3"/>
  <c r="Z474" i="3"/>
  <c r="X474" i="3"/>
  <c r="Y474" i="3" s="1"/>
  <c r="U474" i="3"/>
  <c r="T474" i="3"/>
  <c r="S474" i="3"/>
  <c r="R474" i="3"/>
  <c r="P474" i="3"/>
  <c r="Q474" i="3" s="1"/>
  <c r="N474" i="3"/>
  <c r="M474" i="3"/>
  <c r="O474" i="3" s="1"/>
  <c r="I474" i="3"/>
  <c r="K474" i="3" s="1"/>
  <c r="L474" i="3" s="1"/>
  <c r="H474" i="3"/>
  <c r="J474" i="3" s="1"/>
  <c r="E474" i="3"/>
  <c r="W474" i="3" s="1"/>
  <c r="D474" i="3"/>
  <c r="F474" i="3" s="1"/>
  <c r="C474" i="3"/>
  <c r="B474" i="3"/>
  <c r="A474" i="3"/>
  <c r="AC473" i="3"/>
  <c r="AB473" i="3"/>
  <c r="AA473" i="3"/>
  <c r="Z473" i="3"/>
  <c r="U473" i="3"/>
  <c r="V473" i="3" s="1"/>
  <c r="S473" i="3"/>
  <c r="R473" i="3"/>
  <c r="T473" i="3" s="1"/>
  <c r="N473" i="3"/>
  <c r="P473" i="3" s="1"/>
  <c r="Q473" i="3" s="1"/>
  <c r="M473" i="3"/>
  <c r="O473" i="3" s="1"/>
  <c r="J473" i="3"/>
  <c r="I473" i="3"/>
  <c r="K473" i="3" s="1"/>
  <c r="L473" i="3" s="1"/>
  <c r="H473" i="3"/>
  <c r="F473" i="3"/>
  <c r="E473" i="3"/>
  <c r="D473" i="3"/>
  <c r="C473" i="3"/>
  <c r="B473" i="3"/>
  <c r="A473" i="3"/>
  <c r="AC472" i="3"/>
  <c r="AB472" i="3"/>
  <c r="AA472" i="3"/>
  <c r="Z472" i="3"/>
  <c r="S472" i="3"/>
  <c r="U472" i="3" s="1"/>
  <c r="V472" i="3" s="1"/>
  <c r="R472" i="3"/>
  <c r="T472" i="3" s="1"/>
  <c r="O472" i="3"/>
  <c r="N472" i="3"/>
  <c r="P472" i="3" s="1"/>
  <c r="Q472" i="3" s="1"/>
  <c r="M472" i="3"/>
  <c r="K472" i="3"/>
  <c r="L472" i="3" s="1"/>
  <c r="J472" i="3"/>
  <c r="I472" i="3"/>
  <c r="H472" i="3"/>
  <c r="F472" i="3"/>
  <c r="D472" i="3"/>
  <c r="C472" i="3"/>
  <c r="E472" i="3" s="1"/>
  <c r="G472" i="3" s="1"/>
  <c r="B472" i="3"/>
  <c r="A472" i="3"/>
  <c r="AC471" i="3"/>
  <c r="AB471" i="3"/>
  <c r="AA471" i="3"/>
  <c r="Z471" i="3"/>
  <c r="X471" i="3"/>
  <c r="T471" i="3"/>
  <c r="S471" i="3"/>
  <c r="U471" i="3" s="1"/>
  <c r="V471" i="3" s="1"/>
  <c r="R471" i="3"/>
  <c r="P471" i="3"/>
  <c r="Q471" i="3" s="1"/>
  <c r="O471" i="3"/>
  <c r="N471" i="3"/>
  <c r="M471" i="3"/>
  <c r="K471" i="3"/>
  <c r="I471" i="3"/>
  <c r="H471" i="3"/>
  <c r="J471" i="3" s="1"/>
  <c r="W471" i="3" s="1"/>
  <c r="G471" i="3"/>
  <c r="D471" i="3"/>
  <c r="F471" i="3" s="1"/>
  <c r="C471" i="3"/>
  <c r="E471" i="3" s="1"/>
  <c r="B471" i="3"/>
  <c r="A471" i="3"/>
  <c r="AC470" i="3"/>
  <c r="AB470" i="3"/>
  <c r="AA470" i="3"/>
  <c r="Z470" i="3"/>
  <c r="U470" i="3"/>
  <c r="V470" i="3" s="1"/>
  <c r="T470" i="3"/>
  <c r="S470" i="3"/>
  <c r="R470" i="3"/>
  <c r="Q470" i="3"/>
  <c r="P470" i="3"/>
  <c r="N470" i="3"/>
  <c r="M470" i="3"/>
  <c r="O470" i="3" s="1"/>
  <c r="L470" i="3"/>
  <c r="I470" i="3"/>
  <c r="K470" i="3" s="1"/>
  <c r="H470" i="3"/>
  <c r="J470" i="3" s="1"/>
  <c r="E470" i="3"/>
  <c r="D470" i="3"/>
  <c r="F470" i="3" s="1"/>
  <c r="G470" i="3" s="1"/>
  <c r="C470" i="3"/>
  <c r="B470" i="3"/>
  <c r="A470" i="3"/>
  <c r="AC469" i="3"/>
  <c r="AB469" i="3"/>
  <c r="AA469" i="3"/>
  <c r="Z469" i="3"/>
  <c r="U469" i="3"/>
  <c r="S469" i="3"/>
  <c r="R469" i="3"/>
  <c r="T469" i="3" s="1"/>
  <c r="V469" i="3" s="1"/>
  <c r="Q469" i="3"/>
  <c r="N469" i="3"/>
  <c r="P469" i="3" s="1"/>
  <c r="M469" i="3"/>
  <c r="O469" i="3" s="1"/>
  <c r="J469" i="3"/>
  <c r="I469" i="3"/>
  <c r="K469" i="3" s="1"/>
  <c r="H469" i="3"/>
  <c r="F469" i="3"/>
  <c r="E469" i="3"/>
  <c r="W469" i="3" s="1"/>
  <c r="D469" i="3"/>
  <c r="C469" i="3"/>
  <c r="B469" i="3"/>
  <c r="A469" i="3"/>
  <c r="AC468" i="3"/>
  <c r="AB468" i="3"/>
  <c r="AA468" i="3"/>
  <c r="Z468" i="3"/>
  <c r="S468" i="3"/>
  <c r="U468" i="3" s="1"/>
  <c r="V468" i="3" s="1"/>
  <c r="R468" i="3"/>
  <c r="T468" i="3" s="1"/>
  <c r="O468" i="3"/>
  <c r="N468" i="3"/>
  <c r="P468" i="3" s="1"/>
  <c r="M468" i="3"/>
  <c r="K468" i="3"/>
  <c r="L468" i="3" s="1"/>
  <c r="J468" i="3"/>
  <c r="W468" i="3" s="1"/>
  <c r="I468" i="3"/>
  <c r="H468" i="3"/>
  <c r="G468" i="3"/>
  <c r="F468" i="3"/>
  <c r="D468" i="3"/>
  <c r="C468" i="3"/>
  <c r="E468" i="3" s="1"/>
  <c r="B468" i="3"/>
  <c r="A468" i="3"/>
  <c r="AC467" i="3"/>
  <c r="AB467" i="3"/>
  <c r="AA467" i="3"/>
  <c r="Z467" i="3"/>
  <c r="T467" i="3"/>
  <c r="S467" i="3"/>
  <c r="U467" i="3" s="1"/>
  <c r="R467" i="3"/>
  <c r="P467" i="3"/>
  <c r="O467" i="3"/>
  <c r="N467" i="3"/>
  <c r="M467" i="3"/>
  <c r="K467" i="3"/>
  <c r="L467" i="3" s="1"/>
  <c r="I467" i="3"/>
  <c r="H467" i="3"/>
  <c r="J467" i="3" s="1"/>
  <c r="D467" i="3"/>
  <c r="F467" i="3" s="1"/>
  <c r="X467" i="3" s="1"/>
  <c r="C467" i="3"/>
  <c r="E467" i="3" s="1"/>
  <c r="W467" i="3" s="1"/>
  <c r="B467" i="3"/>
  <c r="A467" i="3"/>
  <c r="AC466" i="3"/>
  <c r="AB466" i="3"/>
  <c r="AA466" i="3"/>
  <c r="Z466" i="3"/>
  <c r="X466" i="3"/>
  <c r="U466" i="3"/>
  <c r="T466" i="3"/>
  <c r="S466" i="3"/>
  <c r="R466" i="3"/>
  <c r="P466" i="3"/>
  <c r="Q466" i="3" s="1"/>
  <c r="N466" i="3"/>
  <c r="M466" i="3"/>
  <c r="O466" i="3" s="1"/>
  <c r="I466" i="3"/>
  <c r="K466" i="3" s="1"/>
  <c r="L466" i="3" s="1"/>
  <c r="H466" i="3"/>
  <c r="J466" i="3" s="1"/>
  <c r="E466" i="3"/>
  <c r="D466" i="3"/>
  <c r="F466" i="3" s="1"/>
  <c r="C466" i="3"/>
  <c r="B466" i="3"/>
  <c r="A466" i="3"/>
  <c r="AC465" i="3"/>
  <c r="AB465" i="3"/>
  <c r="AA465" i="3"/>
  <c r="Z465" i="3"/>
  <c r="U465" i="3"/>
  <c r="V465" i="3" s="1"/>
  <c r="S465" i="3"/>
  <c r="R465" i="3"/>
  <c r="T465" i="3" s="1"/>
  <c r="N465" i="3"/>
  <c r="P465" i="3" s="1"/>
  <c r="Q465" i="3" s="1"/>
  <c r="M465" i="3"/>
  <c r="O465" i="3" s="1"/>
  <c r="J465" i="3"/>
  <c r="I465" i="3"/>
  <c r="K465" i="3" s="1"/>
  <c r="L465" i="3" s="1"/>
  <c r="H465" i="3"/>
  <c r="F465" i="3"/>
  <c r="E465" i="3"/>
  <c r="D465" i="3"/>
  <c r="C465" i="3"/>
  <c r="B465" i="3"/>
  <c r="A465" i="3"/>
  <c r="AC464" i="3"/>
  <c r="AB464" i="3"/>
  <c r="AA464" i="3"/>
  <c r="Z464" i="3"/>
  <c r="V464" i="3"/>
  <c r="S464" i="3"/>
  <c r="U464" i="3" s="1"/>
  <c r="R464" i="3"/>
  <c r="T464" i="3" s="1"/>
  <c r="O464" i="3"/>
  <c r="N464" i="3"/>
  <c r="P464" i="3" s="1"/>
  <c r="Q464" i="3" s="1"/>
  <c r="M464" i="3"/>
  <c r="K464" i="3"/>
  <c r="J464" i="3"/>
  <c r="I464" i="3"/>
  <c r="H464" i="3"/>
  <c r="F464" i="3"/>
  <c r="D464" i="3"/>
  <c r="C464" i="3"/>
  <c r="E464" i="3" s="1"/>
  <c r="W464" i="3" s="1"/>
  <c r="B464" i="3"/>
  <c r="A464" i="3"/>
  <c r="AC463" i="3"/>
  <c r="AB463" i="3"/>
  <c r="AA463" i="3"/>
  <c r="Z463" i="3"/>
  <c r="X463" i="3"/>
  <c r="T463" i="3"/>
  <c r="S463" i="3"/>
  <c r="U463" i="3" s="1"/>
  <c r="V463" i="3" s="1"/>
  <c r="R463" i="3"/>
  <c r="P463" i="3"/>
  <c r="Q463" i="3" s="1"/>
  <c r="O463" i="3"/>
  <c r="N463" i="3"/>
  <c r="M463" i="3"/>
  <c r="K463" i="3"/>
  <c r="I463" i="3"/>
  <c r="H463" i="3"/>
  <c r="J463" i="3" s="1"/>
  <c r="W463" i="3" s="1"/>
  <c r="G463" i="3"/>
  <c r="D463" i="3"/>
  <c r="F463" i="3" s="1"/>
  <c r="C463" i="3"/>
  <c r="E463" i="3" s="1"/>
  <c r="B463" i="3"/>
  <c r="A463" i="3"/>
  <c r="AC462" i="3"/>
  <c r="AB462" i="3"/>
  <c r="AA462" i="3"/>
  <c r="Z462" i="3"/>
  <c r="U462" i="3"/>
  <c r="V462" i="3" s="1"/>
  <c r="T462" i="3"/>
  <c r="S462" i="3"/>
  <c r="R462" i="3"/>
  <c r="P462" i="3"/>
  <c r="N462" i="3"/>
  <c r="M462" i="3"/>
  <c r="O462" i="3" s="1"/>
  <c r="Q462" i="3" s="1"/>
  <c r="I462" i="3"/>
  <c r="K462" i="3" s="1"/>
  <c r="L462" i="3" s="1"/>
  <c r="H462" i="3"/>
  <c r="J462" i="3" s="1"/>
  <c r="E462" i="3"/>
  <c r="D462" i="3"/>
  <c r="F462" i="3" s="1"/>
  <c r="C462" i="3"/>
  <c r="B462" i="3"/>
  <c r="A462" i="3"/>
  <c r="AC461" i="3"/>
  <c r="AB461" i="3"/>
  <c r="AA461" i="3"/>
  <c r="Z461" i="3"/>
  <c r="U461" i="3"/>
  <c r="S461" i="3"/>
  <c r="R461" i="3"/>
  <c r="T461" i="3" s="1"/>
  <c r="V461" i="3" s="1"/>
  <c r="N461" i="3"/>
  <c r="P461" i="3" s="1"/>
  <c r="M461" i="3"/>
  <c r="O461" i="3" s="1"/>
  <c r="J461" i="3"/>
  <c r="I461" i="3"/>
  <c r="K461" i="3" s="1"/>
  <c r="L461" i="3" s="1"/>
  <c r="H461" i="3"/>
  <c r="F461" i="3"/>
  <c r="X461" i="3" s="1"/>
  <c r="E461" i="3"/>
  <c r="D461" i="3"/>
  <c r="C461" i="3"/>
  <c r="B461" i="3"/>
  <c r="A461" i="3"/>
  <c r="AC460" i="3"/>
  <c r="AB460" i="3"/>
  <c r="AA460" i="3"/>
  <c r="Z460" i="3"/>
  <c r="S460" i="3"/>
  <c r="U460" i="3" s="1"/>
  <c r="R460" i="3"/>
  <c r="T460" i="3" s="1"/>
  <c r="O460" i="3"/>
  <c r="N460" i="3"/>
  <c r="P460" i="3" s="1"/>
  <c r="Q460" i="3" s="1"/>
  <c r="M460" i="3"/>
  <c r="K460" i="3"/>
  <c r="L460" i="3" s="1"/>
  <c r="J460" i="3"/>
  <c r="I460" i="3"/>
  <c r="H460" i="3"/>
  <c r="F460" i="3"/>
  <c r="D460" i="3"/>
  <c r="C460" i="3"/>
  <c r="E460" i="3" s="1"/>
  <c r="B460" i="3"/>
  <c r="A460" i="3"/>
  <c r="AC459" i="3"/>
  <c r="AB459" i="3"/>
  <c r="AA459" i="3"/>
  <c r="Z459" i="3"/>
  <c r="T459" i="3"/>
  <c r="S459" i="3"/>
  <c r="U459" i="3" s="1"/>
  <c r="V459" i="3" s="1"/>
  <c r="R459" i="3"/>
  <c r="P459" i="3"/>
  <c r="Q459" i="3" s="1"/>
  <c r="O459" i="3"/>
  <c r="N459" i="3"/>
  <c r="M459" i="3"/>
  <c r="K459" i="3"/>
  <c r="I459" i="3"/>
  <c r="H459" i="3"/>
  <c r="J459" i="3" s="1"/>
  <c r="L459" i="3" s="1"/>
  <c r="D459" i="3"/>
  <c r="F459" i="3" s="1"/>
  <c r="C459" i="3"/>
  <c r="E459" i="3" s="1"/>
  <c r="B459" i="3"/>
  <c r="A459" i="3"/>
  <c r="AC458" i="3"/>
  <c r="AB458" i="3"/>
  <c r="AA458" i="3"/>
  <c r="Z458" i="3"/>
  <c r="U458" i="3"/>
  <c r="V458" i="3" s="1"/>
  <c r="T458" i="3"/>
  <c r="S458" i="3"/>
  <c r="R458" i="3"/>
  <c r="P458" i="3"/>
  <c r="N458" i="3"/>
  <c r="M458" i="3"/>
  <c r="O458" i="3" s="1"/>
  <c r="Q458" i="3" s="1"/>
  <c r="I458" i="3"/>
  <c r="K458" i="3" s="1"/>
  <c r="L458" i="3" s="1"/>
  <c r="H458" i="3"/>
  <c r="J458" i="3" s="1"/>
  <c r="E458" i="3"/>
  <c r="D458" i="3"/>
  <c r="F458" i="3" s="1"/>
  <c r="C458" i="3"/>
  <c r="B458" i="3"/>
  <c r="A458" i="3"/>
  <c r="AC457" i="3"/>
  <c r="AB457" i="3"/>
  <c r="AA457" i="3"/>
  <c r="Z457" i="3"/>
  <c r="U457" i="3"/>
  <c r="S457" i="3"/>
  <c r="R457" i="3"/>
  <c r="T457" i="3" s="1"/>
  <c r="V457" i="3" s="1"/>
  <c r="N457" i="3"/>
  <c r="P457" i="3" s="1"/>
  <c r="Q457" i="3" s="1"/>
  <c r="M457" i="3"/>
  <c r="O457" i="3" s="1"/>
  <c r="J457" i="3"/>
  <c r="I457" i="3"/>
  <c r="K457" i="3" s="1"/>
  <c r="L457" i="3" s="1"/>
  <c r="H457" i="3"/>
  <c r="F457" i="3"/>
  <c r="E457" i="3"/>
  <c r="D457" i="3"/>
  <c r="C457" i="3"/>
  <c r="B457" i="3"/>
  <c r="A457" i="3"/>
  <c r="AC456" i="3"/>
  <c r="AB456" i="3"/>
  <c r="AA456" i="3"/>
  <c r="Z456" i="3"/>
  <c r="S456" i="3"/>
  <c r="U456" i="3" s="1"/>
  <c r="V456" i="3" s="1"/>
  <c r="R456" i="3"/>
  <c r="T456" i="3" s="1"/>
  <c r="O456" i="3"/>
  <c r="N456" i="3"/>
  <c r="P456" i="3" s="1"/>
  <c r="Q456" i="3" s="1"/>
  <c r="M456" i="3"/>
  <c r="K456" i="3"/>
  <c r="L456" i="3" s="1"/>
  <c r="J456" i="3"/>
  <c r="I456" i="3"/>
  <c r="H456" i="3"/>
  <c r="F456" i="3"/>
  <c r="D456" i="3"/>
  <c r="C456" i="3"/>
  <c r="E456" i="3" s="1"/>
  <c r="G456" i="3" s="1"/>
  <c r="B456" i="3"/>
  <c r="A456" i="3"/>
  <c r="AC455" i="3"/>
  <c r="AB455" i="3"/>
  <c r="AA455" i="3"/>
  <c r="Z455" i="3"/>
  <c r="T455" i="3"/>
  <c r="S455" i="3"/>
  <c r="U455" i="3" s="1"/>
  <c r="R455" i="3"/>
  <c r="P455" i="3"/>
  <c r="Q455" i="3" s="1"/>
  <c r="O455" i="3"/>
  <c r="N455" i="3"/>
  <c r="M455" i="3"/>
  <c r="L455" i="3"/>
  <c r="K455" i="3"/>
  <c r="I455" i="3"/>
  <c r="H455" i="3"/>
  <c r="J455" i="3" s="1"/>
  <c r="D455" i="3"/>
  <c r="F455" i="3" s="1"/>
  <c r="C455" i="3"/>
  <c r="E455" i="3" s="1"/>
  <c r="W455" i="3" s="1"/>
  <c r="B455" i="3"/>
  <c r="A455" i="3"/>
  <c r="AC454" i="3"/>
  <c r="AB454" i="3"/>
  <c r="AA454" i="3"/>
  <c r="Z454" i="3"/>
  <c r="U454" i="3"/>
  <c r="V454" i="3" s="1"/>
  <c r="T454" i="3"/>
  <c r="S454" i="3"/>
  <c r="R454" i="3"/>
  <c r="Q454" i="3"/>
  <c r="P454" i="3"/>
  <c r="N454" i="3"/>
  <c r="M454" i="3"/>
  <c r="O454" i="3" s="1"/>
  <c r="I454" i="3"/>
  <c r="K454" i="3" s="1"/>
  <c r="L454" i="3" s="1"/>
  <c r="H454" i="3"/>
  <c r="J454" i="3" s="1"/>
  <c r="E454" i="3"/>
  <c r="D454" i="3"/>
  <c r="F454" i="3" s="1"/>
  <c r="C454" i="3"/>
  <c r="B454" i="3"/>
  <c r="A454" i="3"/>
  <c r="AC453" i="3"/>
  <c r="AB453" i="3"/>
  <c r="AA453" i="3"/>
  <c r="Z453" i="3"/>
  <c r="V453" i="3"/>
  <c r="U453" i="3"/>
  <c r="S453" i="3"/>
  <c r="R453" i="3"/>
  <c r="T453" i="3" s="1"/>
  <c r="N453" i="3"/>
  <c r="P453" i="3" s="1"/>
  <c r="M453" i="3"/>
  <c r="O453" i="3" s="1"/>
  <c r="J453" i="3"/>
  <c r="I453" i="3"/>
  <c r="K453" i="3" s="1"/>
  <c r="H453" i="3"/>
  <c r="F453" i="3"/>
  <c r="E453" i="3"/>
  <c r="D453" i="3"/>
  <c r="C453" i="3"/>
  <c r="B453" i="3"/>
  <c r="A453" i="3"/>
  <c r="AC452" i="3"/>
  <c r="AB452" i="3"/>
  <c r="AA452" i="3"/>
  <c r="Z452" i="3"/>
  <c r="S452" i="3"/>
  <c r="U452" i="3" s="1"/>
  <c r="R452" i="3"/>
  <c r="T452" i="3" s="1"/>
  <c r="O452" i="3"/>
  <c r="N452" i="3"/>
  <c r="P452" i="3" s="1"/>
  <c r="M452" i="3"/>
  <c r="K452" i="3"/>
  <c r="L452" i="3" s="1"/>
  <c r="J452" i="3"/>
  <c r="I452" i="3"/>
  <c r="H452" i="3"/>
  <c r="G452" i="3"/>
  <c r="F452" i="3"/>
  <c r="D452" i="3"/>
  <c r="C452" i="3"/>
  <c r="E452" i="3" s="1"/>
  <c r="W452" i="3" s="1"/>
  <c r="B452" i="3"/>
  <c r="A452" i="3"/>
  <c r="AC451" i="3"/>
  <c r="AB451" i="3"/>
  <c r="AA451" i="3"/>
  <c r="Z451" i="3"/>
  <c r="T451" i="3"/>
  <c r="S451" i="3"/>
  <c r="U451" i="3" s="1"/>
  <c r="V451" i="3" s="1"/>
  <c r="R451" i="3"/>
  <c r="P451" i="3"/>
  <c r="Q451" i="3" s="1"/>
  <c r="O451" i="3"/>
  <c r="N451" i="3"/>
  <c r="M451" i="3"/>
  <c r="K451" i="3"/>
  <c r="I451" i="3"/>
  <c r="H451" i="3"/>
  <c r="J451" i="3" s="1"/>
  <c r="L451" i="3" s="1"/>
  <c r="D451" i="3"/>
  <c r="F451" i="3" s="1"/>
  <c r="C451" i="3"/>
  <c r="E451" i="3" s="1"/>
  <c r="W451" i="3" s="1"/>
  <c r="B451" i="3"/>
  <c r="A451" i="3"/>
  <c r="AC450" i="3"/>
  <c r="AB450" i="3"/>
  <c r="AA450" i="3"/>
  <c r="Z450" i="3"/>
  <c r="U450" i="3"/>
  <c r="V450" i="3" s="1"/>
  <c r="T450" i="3"/>
  <c r="S450" i="3"/>
  <c r="R450" i="3"/>
  <c r="Q450" i="3"/>
  <c r="P450" i="3"/>
  <c r="N450" i="3"/>
  <c r="M450" i="3"/>
  <c r="O450" i="3" s="1"/>
  <c r="I450" i="3"/>
  <c r="K450" i="3" s="1"/>
  <c r="L450" i="3" s="1"/>
  <c r="H450" i="3"/>
  <c r="J450" i="3" s="1"/>
  <c r="E450" i="3"/>
  <c r="D450" i="3"/>
  <c r="F450" i="3" s="1"/>
  <c r="C450" i="3"/>
  <c r="B450" i="3"/>
  <c r="A450" i="3"/>
  <c r="AC449" i="3"/>
  <c r="AB449" i="3"/>
  <c r="AA449" i="3"/>
  <c r="Z449" i="3"/>
  <c r="U449" i="3"/>
  <c r="S449" i="3"/>
  <c r="R449" i="3"/>
  <c r="T449" i="3" s="1"/>
  <c r="V449" i="3" s="1"/>
  <c r="N449" i="3"/>
  <c r="P449" i="3" s="1"/>
  <c r="M449" i="3"/>
  <c r="O449" i="3" s="1"/>
  <c r="J449" i="3"/>
  <c r="I449" i="3"/>
  <c r="K449" i="3" s="1"/>
  <c r="H449" i="3"/>
  <c r="F449" i="3"/>
  <c r="E449" i="3"/>
  <c r="D449" i="3"/>
  <c r="C449" i="3"/>
  <c r="B449" i="3"/>
  <c r="A449" i="3"/>
  <c r="AC448" i="3"/>
  <c r="AB448" i="3"/>
  <c r="AA448" i="3"/>
  <c r="Z448" i="3"/>
  <c r="S448" i="3"/>
  <c r="U448" i="3" s="1"/>
  <c r="R448" i="3"/>
  <c r="T448" i="3" s="1"/>
  <c r="O448" i="3"/>
  <c r="N448" i="3"/>
  <c r="P448" i="3" s="1"/>
  <c r="M448" i="3"/>
  <c r="K448" i="3"/>
  <c r="L448" i="3" s="1"/>
  <c r="J448" i="3"/>
  <c r="I448" i="3"/>
  <c r="H448" i="3"/>
  <c r="G448" i="3"/>
  <c r="F448" i="3"/>
  <c r="D448" i="3"/>
  <c r="C448" i="3"/>
  <c r="E448" i="3" s="1"/>
  <c r="W448" i="3" s="1"/>
  <c r="B448" i="3"/>
  <c r="A448" i="3"/>
  <c r="AC447" i="3"/>
  <c r="AB447" i="3"/>
  <c r="AA447" i="3"/>
  <c r="Z447" i="3"/>
  <c r="T447" i="3"/>
  <c r="S447" i="3"/>
  <c r="U447" i="3" s="1"/>
  <c r="V447" i="3" s="1"/>
  <c r="R447" i="3"/>
  <c r="P447" i="3"/>
  <c r="Q447" i="3" s="1"/>
  <c r="O447" i="3"/>
  <c r="N447" i="3"/>
  <c r="M447" i="3"/>
  <c r="K447" i="3"/>
  <c r="I447" i="3"/>
  <c r="H447" i="3"/>
  <c r="J447" i="3" s="1"/>
  <c r="L447" i="3" s="1"/>
  <c r="D447" i="3"/>
  <c r="F447" i="3" s="1"/>
  <c r="G447" i="3" s="1"/>
  <c r="C447" i="3"/>
  <c r="E447" i="3" s="1"/>
  <c r="B447" i="3"/>
  <c r="A447" i="3"/>
  <c r="AC446" i="3"/>
  <c r="AB446" i="3"/>
  <c r="AA446" i="3"/>
  <c r="Z446" i="3"/>
  <c r="U446" i="3"/>
  <c r="V446" i="3" s="1"/>
  <c r="T446" i="3"/>
  <c r="S446" i="3"/>
  <c r="R446" i="3"/>
  <c r="P446" i="3"/>
  <c r="N446" i="3"/>
  <c r="M446" i="3"/>
  <c r="O446" i="3" s="1"/>
  <c r="Q446" i="3" s="1"/>
  <c r="I446" i="3"/>
  <c r="K446" i="3" s="1"/>
  <c r="H446" i="3"/>
  <c r="J446" i="3" s="1"/>
  <c r="E446" i="3"/>
  <c r="D446" i="3"/>
  <c r="F446" i="3" s="1"/>
  <c r="C446" i="3"/>
  <c r="B446" i="3"/>
  <c r="A446" i="3"/>
  <c r="AC445" i="3"/>
  <c r="AB445" i="3"/>
  <c r="AA445" i="3"/>
  <c r="Z445" i="3"/>
  <c r="U445" i="3"/>
  <c r="V445" i="3" s="1"/>
  <c r="S445" i="3"/>
  <c r="R445" i="3"/>
  <c r="T445" i="3" s="1"/>
  <c r="N445" i="3"/>
  <c r="P445" i="3" s="1"/>
  <c r="Q445" i="3" s="1"/>
  <c r="M445" i="3"/>
  <c r="O445" i="3" s="1"/>
  <c r="J445" i="3"/>
  <c r="I445" i="3"/>
  <c r="K445" i="3" s="1"/>
  <c r="H445" i="3"/>
  <c r="F445" i="3"/>
  <c r="E445" i="3"/>
  <c r="W445" i="3" s="1"/>
  <c r="D445" i="3"/>
  <c r="C445" i="3"/>
  <c r="B445" i="3"/>
  <c r="A445" i="3"/>
  <c r="AC444" i="3"/>
  <c r="AB444" i="3"/>
  <c r="AA444" i="3"/>
  <c r="Z444" i="3"/>
  <c r="S444" i="3"/>
  <c r="U444" i="3" s="1"/>
  <c r="V444" i="3" s="1"/>
  <c r="R444" i="3"/>
  <c r="T444" i="3" s="1"/>
  <c r="O444" i="3"/>
  <c r="N444" i="3"/>
  <c r="P444" i="3" s="1"/>
  <c r="Q444" i="3" s="1"/>
  <c r="M444" i="3"/>
  <c r="K444" i="3"/>
  <c r="L444" i="3" s="1"/>
  <c r="J444" i="3"/>
  <c r="I444" i="3"/>
  <c r="H444" i="3"/>
  <c r="F444" i="3"/>
  <c r="D444" i="3"/>
  <c r="C444" i="3"/>
  <c r="E444" i="3" s="1"/>
  <c r="G444" i="3" s="1"/>
  <c r="B444" i="3"/>
  <c r="A444" i="3"/>
  <c r="AC443" i="3"/>
  <c r="AB443" i="3"/>
  <c r="AA443" i="3"/>
  <c r="Z443" i="3"/>
  <c r="W443" i="3"/>
  <c r="T443" i="3"/>
  <c r="S443" i="3"/>
  <c r="U443" i="3" s="1"/>
  <c r="R443" i="3"/>
  <c r="P443" i="3"/>
  <c r="Q443" i="3" s="1"/>
  <c r="O443" i="3"/>
  <c r="N443" i="3"/>
  <c r="M443" i="3"/>
  <c r="L443" i="3"/>
  <c r="K443" i="3"/>
  <c r="I443" i="3"/>
  <c r="H443" i="3"/>
  <c r="J443" i="3" s="1"/>
  <c r="G443" i="3"/>
  <c r="D443" i="3"/>
  <c r="F443" i="3" s="1"/>
  <c r="X443" i="3" s="1"/>
  <c r="Y443" i="3" s="1"/>
  <c r="C443" i="3"/>
  <c r="E443" i="3" s="1"/>
  <c r="B443" i="3"/>
  <c r="A443" i="3"/>
  <c r="AC442" i="3"/>
  <c r="AB442" i="3"/>
  <c r="AA442" i="3"/>
  <c r="Z442" i="3"/>
  <c r="U442" i="3"/>
  <c r="T442" i="3"/>
  <c r="S442" i="3"/>
  <c r="R442" i="3"/>
  <c r="P442" i="3"/>
  <c r="Q442" i="3" s="1"/>
  <c r="N442" i="3"/>
  <c r="M442" i="3"/>
  <c r="O442" i="3" s="1"/>
  <c r="I442" i="3"/>
  <c r="K442" i="3" s="1"/>
  <c r="L442" i="3" s="1"/>
  <c r="H442" i="3"/>
  <c r="J442" i="3" s="1"/>
  <c r="E442" i="3"/>
  <c r="D442" i="3"/>
  <c r="F442" i="3" s="1"/>
  <c r="G442" i="3" s="1"/>
  <c r="C442" i="3"/>
  <c r="B442" i="3"/>
  <c r="A442" i="3"/>
  <c r="AC441" i="3"/>
  <c r="AB441" i="3"/>
  <c r="AA441" i="3"/>
  <c r="Z441" i="3"/>
  <c r="V441" i="3"/>
  <c r="U441" i="3"/>
  <c r="S441" i="3"/>
  <c r="R441" i="3"/>
  <c r="T441" i="3" s="1"/>
  <c r="Q441" i="3"/>
  <c r="N441" i="3"/>
  <c r="P441" i="3" s="1"/>
  <c r="M441" i="3"/>
  <c r="O441" i="3" s="1"/>
  <c r="J441" i="3"/>
  <c r="I441" i="3"/>
  <c r="K441" i="3" s="1"/>
  <c r="L441" i="3" s="1"/>
  <c r="H441" i="3"/>
  <c r="F441" i="3"/>
  <c r="E441" i="3"/>
  <c r="W441" i="3" s="1"/>
  <c r="D441" i="3"/>
  <c r="C441" i="3"/>
  <c r="B441" i="3"/>
  <c r="A441" i="3"/>
  <c r="AC440" i="3"/>
  <c r="AB440" i="3"/>
  <c r="AA440" i="3"/>
  <c r="Z440" i="3"/>
  <c r="V440" i="3"/>
  <c r="S440" i="3"/>
  <c r="U440" i="3" s="1"/>
  <c r="R440" i="3"/>
  <c r="T440" i="3" s="1"/>
  <c r="O440" i="3"/>
  <c r="N440" i="3"/>
  <c r="P440" i="3" s="1"/>
  <c r="M440" i="3"/>
  <c r="K440" i="3"/>
  <c r="J440" i="3"/>
  <c r="W440" i="3" s="1"/>
  <c r="I440" i="3"/>
  <c r="H440" i="3"/>
  <c r="F440" i="3"/>
  <c r="X440" i="3" s="1"/>
  <c r="D440" i="3"/>
  <c r="C440" i="3"/>
  <c r="E440" i="3" s="1"/>
  <c r="B440" i="3"/>
  <c r="A440" i="3"/>
  <c r="AC439" i="3"/>
  <c r="AB439" i="3"/>
  <c r="AA439" i="3"/>
  <c r="Z439" i="3"/>
  <c r="T439" i="3"/>
  <c r="S439" i="3"/>
  <c r="U439" i="3" s="1"/>
  <c r="V439" i="3" s="1"/>
  <c r="R439" i="3"/>
  <c r="P439" i="3"/>
  <c r="O439" i="3"/>
  <c r="N439" i="3"/>
  <c r="M439" i="3"/>
  <c r="K439" i="3"/>
  <c r="L439" i="3" s="1"/>
  <c r="I439" i="3"/>
  <c r="H439" i="3"/>
  <c r="J439" i="3" s="1"/>
  <c r="D439" i="3"/>
  <c r="F439" i="3" s="1"/>
  <c r="G439" i="3" s="1"/>
  <c r="C439" i="3"/>
  <c r="E439" i="3" s="1"/>
  <c r="W439" i="3" s="1"/>
  <c r="B439" i="3"/>
  <c r="A439" i="3"/>
  <c r="AC438" i="3"/>
  <c r="AB438" i="3"/>
  <c r="AA438" i="3"/>
  <c r="Z438" i="3"/>
  <c r="X438" i="3"/>
  <c r="Y438" i="3" s="1"/>
  <c r="U438" i="3"/>
  <c r="V438" i="3" s="1"/>
  <c r="T438" i="3"/>
  <c r="S438" i="3"/>
  <c r="R438" i="3"/>
  <c r="P438" i="3"/>
  <c r="N438" i="3"/>
  <c r="M438" i="3"/>
  <c r="O438" i="3" s="1"/>
  <c r="Q438" i="3" s="1"/>
  <c r="L438" i="3"/>
  <c r="I438" i="3"/>
  <c r="K438" i="3" s="1"/>
  <c r="H438" i="3"/>
  <c r="J438" i="3" s="1"/>
  <c r="E438" i="3"/>
  <c r="W438" i="3" s="1"/>
  <c r="D438" i="3"/>
  <c r="F438" i="3" s="1"/>
  <c r="C438" i="3"/>
  <c r="B438" i="3"/>
  <c r="A438" i="3"/>
  <c r="AC437" i="3"/>
  <c r="AB437" i="3"/>
  <c r="AA437" i="3"/>
  <c r="Z437" i="3"/>
  <c r="U437" i="3"/>
  <c r="V437" i="3" s="1"/>
  <c r="S437" i="3"/>
  <c r="R437" i="3"/>
  <c r="T437" i="3" s="1"/>
  <c r="N437" i="3"/>
  <c r="P437" i="3" s="1"/>
  <c r="Q437" i="3" s="1"/>
  <c r="M437" i="3"/>
  <c r="O437" i="3" s="1"/>
  <c r="J437" i="3"/>
  <c r="I437" i="3"/>
  <c r="K437" i="3" s="1"/>
  <c r="H437" i="3"/>
  <c r="F437" i="3"/>
  <c r="E437" i="3"/>
  <c r="D437" i="3"/>
  <c r="C437" i="3"/>
  <c r="B437" i="3"/>
  <c r="A437" i="3"/>
  <c r="AC436" i="3"/>
  <c r="AB436" i="3"/>
  <c r="AA436" i="3"/>
  <c r="Z436" i="3"/>
  <c r="S436" i="3"/>
  <c r="U436" i="3" s="1"/>
  <c r="V436" i="3" s="1"/>
  <c r="R436" i="3"/>
  <c r="T436" i="3" s="1"/>
  <c r="O436" i="3"/>
  <c r="N436" i="3"/>
  <c r="P436" i="3" s="1"/>
  <c r="Q436" i="3" s="1"/>
  <c r="M436" i="3"/>
  <c r="K436" i="3"/>
  <c r="L436" i="3" s="1"/>
  <c r="J436" i="3"/>
  <c r="I436" i="3"/>
  <c r="H436" i="3"/>
  <c r="F436" i="3"/>
  <c r="D436" i="3"/>
  <c r="C436" i="3"/>
  <c r="E436" i="3" s="1"/>
  <c r="G436" i="3" s="1"/>
  <c r="B436" i="3"/>
  <c r="A436" i="3"/>
  <c r="AC435" i="3"/>
  <c r="AB435" i="3"/>
  <c r="AA435" i="3"/>
  <c r="Z435" i="3"/>
  <c r="W435" i="3"/>
  <c r="T435" i="3"/>
  <c r="S435" i="3"/>
  <c r="U435" i="3" s="1"/>
  <c r="R435" i="3"/>
  <c r="P435" i="3"/>
  <c r="Q435" i="3" s="1"/>
  <c r="O435" i="3"/>
  <c r="N435" i="3"/>
  <c r="M435" i="3"/>
  <c r="L435" i="3"/>
  <c r="K435" i="3"/>
  <c r="I435" i="3"/>
  <c r="H435" i="3"/>
  <c r="J435" i="3" s="1"/>
  <c r="G435" i="3"/>
  <c r="D435" i="3"/>
  <c r="F435" i="3" s="1"/>
  <c r="X435" i="3" s="1"/>
  <c r="Y435" i="3" s="1"/>
  <c r="C435" i="3"/>
  <c r="E435" i="3" s="1"/>
  <c r="B435" i="3"/>
  <c r="A435" i="3"/>
  <c r="AC434" i="3"/>
  <c r="AB434" i="3"/>
  <c r="AA434" i="3"/>
  <c r="Z434" i="3"/>
  <c r="U434" i="3"/>
  <c r="T434" i="3"/>
  <c r="S434" i="3"/>
  <c r="R434" i="3"/>
  <c r="P434" i="3"/>
  <c r="Q434" i="3" s="1"/>
  <c r="N434" i="3"/>
  <c r="M434" i="3"/>
  <c r="O434" i="3" s="1"/>
  <c r="I434" i="3"/>
  <c r="K434" i="3" s="1"/>
  <c r="L434" i="3" s="1"/>
  <c r="H434" i="3"/>
  <c r="J434" i="3" s="1"/>
  <c r="E434" i="3"/>
  <c r="D434" i="3"/>
  <c r="F434" i="3" s="1"/>
  <c r="G434" i="3" s="1"/>
  <c r="C434" i="3"/>
  <c r="B434" i="3"/>
  <c r="A434" i="3"/>
  <c r="AC433" i="3"/>
  <c r="AB433" i="3"/>
  <c r="AA433" i="3"/>
  <c r="Z433" i="3"/>
  <c r="V433" i="3"/>
  <c r="U433" i="3"/>
  <c r="S433" i="3"/>
  <c r="R433" i="3"/>
  <c r="T433" i="3" s="1"/>
  <c r="Q433" i="3"/>
  <c r="N433" i="3"/>
  <c r="P433" i="3" s="1"/>
  <c r="M433" i="3"/>
  <c r="O433" i="3" s="1"/>
  <c r="J433" i="3"/>
  <c r="I433" i="3"/>
  <c r="K433" i="3" s="1"/>
  <c r="L433" i="3" s="1"/>
  <c r="H433" i="3"/>
  <c r="F433" i="3"/>
  <c r="E433" i="3"/>
  <c r="W433" i="3" s="1"/>
  <c r="D433" i="3"/>
  <c r="C433" i="3"/>
  <c r="B433" i="3"/>
  <c r="A433" i="3"/>
  <c r="AC432" i="3"/>
  <c r="AB432" i="3"/>
  <c r="AA432" i="3"/>
  <c r="Z432" i="3"/>
  <c r="V432" i="3"/>
  <c r="S432" i="3"/>
  <c r="U432" i="3" s="1"/>
  <c r="R432" i="3"/>
  <c r="T432" i="3" s="1"/>
  <c r="O432" i="3"/>
  <c r="N432" i="3"/>
  <c r="P432" i="3" s="1"/>
  <c r="M432" i="3"/>
  <c r="K432" i="3"/>
  <c r="J432" i="3"/>
  <c r="W432" i="3" s="1"/>
  <c r="I432" i="3"/>
  <c r="H432" i="3"/>
  <c r="F432" i="3"/>
  <c r="X432" i="3" s="1"/>
  <c r="D432" i="3"/>
  <c r="C432" i="3"/>
  <c r="E432" i="3" s="1"/>
  <c r="B432" i="3"/>
  <c r="A432" i="3"/>
  <c r="AC431" i="3"/>
  <c r="AB431" i="3"/>
  <c r="AA431" i="3"/>
  <c r="Z431" i="3"/>
  <c r="T431" i="3"/>
  <c r="S431" i="3"/>
  <c r="U431" i="3" s="1"/>
  <c r="V431" i="3" s="1"/>
  <c r="R431" i="3"/>
  <c r="P431" i="3"/>
  <c r="O431" i="3"/>
  <c r="N431" i="3"/>
  <c r="M431" i="3"/>
  <c r="K431" i="3"/>
  <c r="L431" i="3" s="1"/>
  <c r="I431" i="3"/>
  <c r="H431" i="3"/>
  <c r="J431" i="3" s="1"/>
  <c r="D431" i="3"/>
  <c r="F431" i="3" s="1"/>
  <c r="G431" i="3" s="1"/>
  <c r="C431" i="3"/>
  <c r="E431" i="3" s="1"/>
  <c r="W431" i="3" s="1"/>
  <c r="B431" i="3"/>
  <c r="A431" i="3"/>
  <c r="AC430" i="3"/>
  <c r="AB430" i="3"/>
  <c r="AA430" i="3"/>
  <c r="Z430" i="3"/>
  <c r="X430" i="3"/>
  <c r="Y430" i="3" s="1"/>
  <c r="U430" i="3"/>
  <c r="V430" i="3" s="1"/>
  <c r="T430" i="3"/>
  <c r="S430" i="3"/>
  <c r="R430" i="3"/>
  <c r="P430" i="3"/>
  <c r="N430" i="3"/>
  <c r="M430" i="3"/>
  <c r="O430" i="3" s="1"/>
  <c r="Q430" i="3" s="1"/>
  <c r="L430" i="3"/>
  <c r="I430" i="3"/>
  <c r="K430" i="3" s="1"/>
  <c r="H430" i="3"/>
  <c r="J430" i="3" s="1"/>
  <c r="E430" i="3"/>
  <c r="W430" i="3" s="1"/>
  <c r="D430" i="3"/>
  <c r="F430" i="3" s="1"/>
  <c r="C430" i="3"/>
  <c r="B430" i="3"/>
  <c r="A430" i="3"/>
  <c r="AC429" i="3"/>
  <c r="AB429" i="3"/>
  <c r="AA429" i="3"/>
  <c r="Z429" i="3"/>
  <c r="U429" i="3"/>
  <c r="V429" i="3" s="1"/>
  <c r="S429" i="3"/>
  <c r="R429" i="3"/>
  <c r="T429" i="3" s="1"/>
  <c r="N429" i="3"/>
  <c r="P429" i="3" s="1"/>
  <c r="Q429" i="3" s="1"/>
  <c r="M429" i="3"/>
  <c r="O429" i="3" s="1"/>
  <c r="J429" i="3"/>
  <c r="I429" i="3"/>
  <c r="K429" i="3" s="1"/>
  <c r="H429" i="3"/>
  <c r="F429" i="3"/>
  <c r="E429" i="3"/>
  <c r="D429" i="3"/>
  <c r="C429" i="3"/>
  <c r="B429" i="3"/>
  <c r="A429" i="3"/>
  <c r="AC428" i="3"/>
  <c r="AB428" i="3"/>
  <c r="AA428" i="3"/>
  <c r="Z428" i="3"/>
  <c r="S428" i="3"/>
  <c r="U428" i="3" s="1"/>
  <c r="V428" i="3" s="1"/>
  <c r="R428" i="3"/>
  <c r="T428" i="3" s="1"/>
  <c r="O428" i="3"/>
  <c r="N428" i="3"/>
  <c r="P428" i="3" s="1"/>
  <c r="Q428" i="3" s="1"/>
  <c r="M428" i="3"/>
  <c r="K428" i="3"/>
  <c r="L428" i="3" s="1"/>
  <c r="J428" i="3"/>
  <c r="I428" i="3"/>
  <c r="H428" i="3"/>
  <c r="F428" i="3"/>
  <c r="D428" i="3"/>
  <c r="C428" i="3"/>
  <c r="E428" i="3" s="1"/>
  <c r="G428" i="3" s="1"/>
  <c r="B428" i="3"/>
  <c r="A428" i="3"/>
  <c r="AC427" i="3"/>
  <c r="AB427" i="3"/>
  <c r="AA427" i="3"/>
  <c r="Z427" i="3"/>
  <c r="S427" i="3"/>
  <c r="U427" i="3" s="1"/>
  <c r="R427" i="3"/>
  <c r="T427" i="3" s="1"/>
  <c r="O427" i="3"/>
  <c r="N427" i="3"/>
  <c r="P427" i="3" s="1"/>
  <c r="Q427" i="3" s="1"/>
  <c r="M427" i="3"/>
  <c r="K427" i="3"/>
  <c r="L427" i="3" s="1"/>
  <c r="J427" i="3"/>
  <c r="I427" i="3"/>
  <c r="H427" i="3"/>
  <c r="F427" i="3"/>
  <c r="X427" i="3" s="1"/>
  <c r="D427" i="3"/>
  <c r="C427" i="3"/>
  <c r="E427" i="3" s="1"/>
  <c r="B427" i="3"/>
  <c r="A427" i="3"/>
  <c r="AC426" i="3"/>
  <c r="AB426" i="3"/>
  <c r="AA426" i="3"/>
  <c r="Z426" i="3"/>
  <c r="T426" i="3"/>
  <c r="S426" i="3"/>
  <c r="U426" i="3" s="1"/>
  <c r="V426" i="3" s="1"/>
  <c r="R426" i="3"/>
  <c r="P426" i="3"/>
  <c r="Q426" i="3" s="1"/>
  <c r="O426" i="3"/>
  <c r="N426" i="3"/>
  <c r="M426" i="3"/>
  <c r="L426" i="3"/>
  <c r="K426" i="3"/>
  <c r="I426" i="3"/>
  <c r="H426" i="3"/>
  <c r="J426" i="3" s="1"/>
  <c r="D426" i="3"/>
  <c r="F426" i="3" s="1"/>
  <c r="C426" i="3"/>
  <c r="E426" i="3" s="1"/>
  <c r="B426" i="3"/>
  <c r="A426" i="3"/>
  <c r="AC425" i="3"/>
  <c r="AB425" i="3"/>
  <c r="AA425" i="3"/>
  <c r="Z425" i="3"/>
  <c r="U425" i="3"/>
  <c r="V425" i="3" s="1"/>
  <c r="T425" i="3"/>
  <c r="S425" i="3"/>
  <c r="R425" i="3"/>
  <c r="P425" i="3"/>
  <c r="N425" i="3"/>
  <c r="M425" i="3"/>
  <c r="O425" i="3" s="1"/>
  <c r="Q425" i="3" s="1"/>
  <c r="I425" i="3"/>
  <c r="K425" i="3" s="1"/>
  <c r="H425" i="3"/>
  <c r="J425" i="3" s="1"/>
  <c r="E425" i="3"/>
  <c r="D425" i="3"/>
  <c r="F425" i="3" s="1"/>
  <c r="C425" i="3"/>
  <c r="B425" i="3"/>
  <c r="A425" i="3"/>
  <c r="AC424" i="3"/>
  <c r="AB424" i="3"/>
  <c r="AA424" i="3"/>
  <c r="Z424" i="3"/>
  <c r="V424" i="3"/>
  <c r="U424" i="3"/>
  <c r="S424" i="3"/>
  <c r="R424" i="3"/>
  <c r="T424" i="3" s="1"/>
  <c r="N424" i="3"/>
  <c r="P424" i="3" s="1"/>
  <c r="Q424" i="3" s="1"/>
  <c r="M424" i="3"/>
  <c r="O424" i="3" s="1"/>
  <c r="J424" i="3"/>
  <c r="I424" i="3"/>
  <c r="K424" i="3" s="1"/>
  <c r="L424" i="3" s="1"/>
  <c r="H424" i="3"/>
  <c r="F424" i="3"/>
  <c r="E424" i="3"/>
  <c r="D424" i="3"/>
  <c r="C424" i="3"/>
  <c r="B424" i="3"/>
  <c r="A424" i="3"/>
  <c r="AC423" i="3"/>
  <c r="AB423" i="3"/>
  <c r="AA423" i="3"/>
  <c r="Z423" i="3"/>
  <c r="S423" i="3"/>
  <c r="U423" i="3" s="1"/>
  <c r="V423" i="3" s="1"/>
  <c r="R423" i="3"/>
  <c r="T423" i="3" s="1"/>
  <c r="O423" i="3"/>
  <c r="N423" i="3"/>
  <c r="P423" i="3" s="1"/>
  <c r="Q423" i="3" s="1"/>
  <c r="M423" i="3"/>
  <c r="K423" i="3"/>
  <c r="L423" i="3" s="1"/>
  <c r="J423" i="3"/>
  <c r="I423" i="3"/>
  <c r="H423" i="3"/>
  <c r="F423" i="3"/>
  <c r="D423" i="3"/>
  <c r="C423" i="3"/>
  <c r="E423" i="3" s="1"/>
  <c r="W423" i="3" s="1"/>
  <c r="B423" i="3"/>
  <c r="A423" i="3"/>
  <c r="AC422" i="3"/>
  <c r="AB422" i="3"/>
  <c r="AA422" i="3"/>
  <c r="Z422" i="3"/>
  <c r="T422" i="3"/>
  <c r="S422" i="3"/>
  <c r="U422" i="3" s="1"/>
  <c r="R422" i="3"/>
  <c r="P422" i="3"/>
  <c r="Q422" i="3" s="1"/>
  <c r="O422" i="3"/>
  <c r="N422" i="3"/>
  <c r="M422" i="3"/>
  <c r="L422" i="3"/>
  <c r="K422" i="3"/>
  <c r="I422" i="3"/>
  <c r="H422" i="3"/>
  <c r="J422" i="3" s="1"/>
  <c r="D422" i="3"/>
  <c r="F422" i="3" s="1"/>
  <c r="C422" i="3"/>
  <c r="E422" i="3" s="1"/>
  <c r="W422" i="3" s="1"/>
  <c r="B422" i="3"/>
  <c r="A422" i="3"/>
  <c r="AC421" i="3"/>
  <c r="AB421" i="3"/>
  <c r="AA421" i="3"/>
  <c r="Z421" i="3"/>
  <c r="U421" i="3"/>
  <c r="V421" i="3" s="1"/>
  <c r="T421" i="3"/>
  <c r="S421" i="3"/>
  <c r="R421" i="3"/>
  <c r="Q421" i="3"/>
  <c r="P421" i="3"/>
  <c r="N421" i="3"/>
  <c r="M421" i="3"/>
  <c r="O421" i="3" s="1"/>
  <c r="I421" i="3"/>
  <c r="K421" i="3" s="1"/>
  <c r="L421" i="3" s="1"/>
  <c r="H421" i="3"/>
  <c r="J421" i="3" s="1"/>
  <c r="E421" i="3"/>
  <c r="D421" i="3"/>
  <c r="F421" i="3" s="1"/>
  <c r="C421" i="3"/>
  <c r="B421" i="3"/>
  <c r="A421" i="3"/>
  <c r="AC420" i="3"/>
  <c r="AB420" i="3"/>
  <c r="AA420" i="3"/>
  <c r="Z420" i="3"/>
  <c r="U420" i="3"/>
  <c r="S420" i="3"/>
  <c r="R420" i="3"/>
  <c r="T420" i="3" s="1"/>
  <c r="V420" i="3" s="1"/>
  <c r="N420" i="3"/>
  <c r="P420" i="3" s="1"/>
  <c r="M420" i="3"/>
  <c r="O420" i="3" s="1"/>
  <c r="J420" i="3"/>
  <c r="I420" i="3"/>
  <c r="K420" i="3" s="1"/>
  <c r="L420" i="3" s="1"/>
  <c r="H420" i="3"/>
  <c r="F420" i="3"/>
  <c r="E420" i="3"/>
  <c r="D420" i="3"/>
  <c r="C420" i="3"/>
  <c r="B420" i="3"/>
  <c r="A420" i="3"/>
  <c r="AC419" i="3"/>
  <c r="AB419" i="3"/>
  <c r="AA419" i="3"/>
  <c r="Z419" i="3"/>
  <c r="W419" i="3"/>
  <c r="S419" i="3"/>
  <c r="U419" i="3" s="1"/>
  <c r="R419" i="3"/>
  <c r="T419" i="3" s="1"/>
  <c r="O419" i="3"/>
  <c r="N419" i="3"/>
  <c r="P419" i="3" s="1"/>
  <c r="Q419" i="3" s="1"/>
  <c r="M419" i="3"/>
  <c r="K419" i="3"/>
  <c r="L419" i="3" s="1"/>
  <c r="J419" i="3"/>
  <c r="I419" i="3"/>
  <c r="H419" i="3"/>
  <c r="G419" i="3"/>
  <c r="F419" i="3"/>
  <c r="D419" i="3"/>
  <c r="C419" i="3"/>
  <c r="E419" i="3" s="1"/>
  <c r="B419" i="3"/>
  <c r="A419" i="3"/>
  <c r="AC418" i="3"/>
  <c r="AB418" i="3"/>
  <c r="AA418" i="3"/>
  <c r="Z418" i="3"/>
  <c r="T418" i="3"/>
  <c r="S418" i="3"/>
  <c r="U418" i="3" s="1"/>
  <c r="V418" i="3" s="1"/>
  <c r="R418" i="3"/>
  <c r="P418" i="3"/>
  <c r="Q418" i="3" s="1"/>
  <c r="O418" i="3"/>
  <c r="N418" i="3"/>
  <c r="M418" i="3"/>
  <c r="L418" i="3"/>
  <c r="K418" i="3"/>
  <c r="I418" i="3"/>
  <c r="H418" i="3"/>
  <c r="J418" i="3" s="1"/>
  <c r="D418" i="3"/>
  <c r="F418" i="3" s="1"/>
  <c r="G418" i="3" s="1"/>
  <c r="C418" i="3"/>
  <c r="E418" i="3" s="1"/>
  <c r="W418" i="3" s="1"/>
  <c r="B418" i="3"/>
  <c r="A418" i="3"/>
  <c r="AC417" i="3"/>
  <c r="AB417" i="3"/>
  <c r="AA417" i="3"/>
  <c r="Z417" i="3"/>
  <c r="U417" i="3"/>
  <c r="V417" i="3" s="1"/>
  <c r="T417" i="3"/>
  <c r="S417" i="3"/>
  <c r="R417" i="3"/>
  <c r="P417" i="3"/>
  <c r="N417" i="3"/>
  <c r="M417" i="3"/>
  <c r="O417" i="3" s="1"/>
  <c r="Q417" i="3" s="1"/>
  <c r="I417" i="3"/>
  <c r="K417" i="3" s="1"/>
  <c r="H417" i="3"/>
  <c r="J417" i="3" s="1"/>
  <c r="E417" i="3"/>
  <c r="D417" i="3"/>
  <c r="F417" i="3" s="1"/>
  <c r="C417" i="3"/>
  <c r="B417" i="3"/>
  <c r="A417" i="3"/>
  <c r="AC416" i="3"/>
  <c r="AB416" i="3"/>
  <c r="AA416" i="3"/>
  <c r="Z416" i="3"/>
  <c r="V416" i="3"/>
  <c r="U416" i="3"/>
  <c r="S416" i="3"/>
  <c r="R416" i="3"/>
  <c r="T416" i="3" s="1"/>
  <c r="N416" i="3"/>
  <c r="P416" i="3" s="1"/>
  <c r="Q416" i="3" s="1"/>
  <c r="M416" i="3"/>
  <c r="O416" i="3" s="1"/>
  <c r="J416" i="3"/>
  <c r="I416" i="3"/>
  <c r="K416" i="3" s="1"/>
  <c r="H416" i="3"/>
  <c r="F416" i="3"/>
  <c r="E416" i="3"/>
  <c r="W416" i="3" s="1"/>
  <c r="D416" i="3"/>
  <c r="C416" i="3"/>
  <c r="B416" i="3"/>
  <c r="A416" i="3"/>
  <c r="AC415" i="3"/>
  <c r="AB415" i="3"/>
  <c r="AA415" i="3"/>
  <c r="Z415" i="3"/>
  <c r="S415" i="3"/>
  <c r="U415" i="3" s="1"/>
  <c r="V415" i="3" s="1"/>
  <c r="R415" i="3"/>
  <c r="T415" i="3" s="1"/>
  <c r="O415" i="3"/>
  <c r="N415" i="3"/>
  <c r="P415" i="3" s="1"/>
  <c r="M415" i="3"/>
  <c r="K415" i="3"/>
  <c r="L415" i="3" s="1"/>
  <c r="J415" i="3"/>
  <c r="I415" i="3"/>
  <c r="H415" i="3"/>
  <c r="F415" i="3"/>
  <c r="D415" i="3"/>
  <c r="C415" i="3"/>
  <c r="E415" i="3" s="1"/>
  <c r="G415" i="3" s="1"/>
  <c r="B415" i="3"/>
  <c r="A415" i="3"/>
  <c r="AC414" i="3"/>
  <c r="AB414" i="3"/>
  <c r="AA414" i="3"/>
  <c r="Z414" i="3"/>
  <c r="T414" i="3"/>
  <c r="S414" i="3"/>
  <c r="U414" i="3" s="1"/>
  <c r="R414" i="3"/>
  <c r="P414" i="3"/>
  <c r="Q414" i="3" s="1"/>
  <c r="O414" i="3"/>
  <c r="N414" i="3"/>
  <c r="M414" i="3"/>
  <c r="K414" i="3"/>
  <c r="I414" i="3"/>
  <c r="H414" i="3"/>
  <c r="J414" i="3" s="1"/>
  <c r="L414" i="3" s="1"/>
  <c r="D414" i="3"/>
  <c r="F414" i="3" s="1"/>
  <c r="C414" i="3"/>
  <c r="E414" i="3" s="1"/>
  <c r="W414" i="3" s="1"/>
  <c r="B414" i="3"/>
  <c r="A414" i="3"/>
  <c r="AC413" i="3"/>
  <c r="AB413" i="3"/>
  <c r="AA413" i="3"/>
  <c r="Z413" i="3"/>
  <c r="U413" i="3"/>
  <c r="V413" i="3" s="1"/>
  <c r="T413" i="3"/>
  <c r="S413" i="3"/>
  <c r="R413" i="3"/>
  <c r="Q413" i="3"/>
  <c r="P413" i="3"/>
  <c r="N413" i="3"/>
  <c r="M413" i="3"/>
  <c r="O413" i="3" s="1"/>
  <c r="L413" i="3"/>
  <c r="I413" i="3"/>
  <c r="K413" i="3" s="1"/>
  <c r="H413" i="3"/>
  <c r="J413" i="3" s="1"/>
  <c r="E413" i="3"/>
  <c r="D413" i="3"/>
  <c r="F413" i="3" s="1"/>
  <c r="C413" i="3"/>
  <c r="B413" i="3"/>
  <c r="A413" i="3"/>
  <c r="AC412" i="3"/>
  <c r="AB412" i="3"/>
  <c r="AA412" i="3"/>
  <c r="Z412" i="3"/>
  <c r="U412" i="3"/>
  <c r="V412" i="3" s="1"/>
  <c r="S412" i="3"/>
  <c r="R412" i="3"/>
  <c r="T412" i="3" s="1"/>
  <c r="N412" i="3"/>
  <c r="P412" i="3" s="1"/>
  <c r="Q412" i="3" s="1"/>
  <c r="M412" i="3"/>
  <c r="O412" i="3" s="1"/>
  <c r="J412" i="3"/>
  <c r="I412" i="3"/>
  <c r="K412" i="3" s="1"/>
  <c r="H412" i="3"/>
  <c r="F412" i="3"/>
  <c r="E412" i="3"/>
  <c r="W412" i="3" s="1"/>
  <c r="D412" i="3"/>
  <c r="C412" i="3"/>
  <c r="B412" i="3"/>
  <c r="A412" i="3"/>
  <c r="AC411" i="3"/>
  <c r="AB411" i="3"/>
  <c r="AA411" i="3"/>
  <c r="Z411" i="3"/>
  <c r="S411" i="3"/>
  <c r="U411" i="3" s="1"/>
  <c r="R411" i="3"/>
  <c r="T411" i="3" s="1"/>
  <c r="V411" i="3" s="1"/>
  <c r="O411" i="3"/>
  <c r="N411" i="3"/>
  <c r="P411" i="3" s="1"/>
  <c r="Q411" i="3" s="1"/>
  <c r="M411" i="3"/>
  <c r="K411" i="3"/>
  <c r="L411" i="3" s="1"/>
  <c r="J411" i="3"/>
  <c r="W411" i="3" s="1"/>
  <c r="I411" i="3"/>
  <c r="H411" i="3"/>
  <c r="G411" i="3"/>
  <c r="F411" i="3"/>
  <c r="D411" i="3"/>
  <c r="C411" i="3"/>
  <c r="E411" i="3" s="1"/>
  <c r="B411" i="3"/>
  <c r="A411" i="3"/>
  <c r="AC410" i="3"/>
  <c r="AB410" i="3"/>
  <c r="AA410" i="3"/>
  <c r="Z410" i="3"/>
  <c r="T410" i="3"/>
  <c r="S410" i="3"/>
  <c r="U410" i="3" s="1"/>
  <c r="R410" i="3"/>
  <c r="P410" i="3"/>
  <c r="O410" i="3"/>
  <c r="N410" i="3"/>
  <c r="M410" i="3"/>
  <c r="K410" i="3"/>
  <c r="L410" i="3" s="1"/>
  <c r="I410" i="3"/>
  <c r="H410" i="3"/>
  <c r="J410" i="3" s="1"/>
  <c r="D410" i="3"/>
  <c r="F410" i="3" s="1"/>
  <c r="X410" i="3" s="1"/>
  <c r="Y410" i="3" s="1"/>
  <c r="C410" i="3"/>
  <c r="E410" i="3" s="1"/>
  <c r="W410" i="3" s="1"/>
  <c r="B410" i="3"/>
  <c r="A410" i="3"/>
  <c r="AC409" i="3"/>
  <c r="AB409" i="3"/>
  <c r="AA409" i="3"/>
  <c r="Z409" i="3"/>
  <c r="U409" i="3"/>
  <c r="V409" i="3" s="1"/>
  <c r="T409" i="3"/>
  <c r="S409" i="3"/>
  <c r="R409" i="3"/>
  <c r="Q409" i="3"/>
  <c r="P409" i="3"/>
  <c r="N409" i="3"/>
  <c r="M409" i="3"/>
  <c r="O409" i="3" s="1"/>
  <c r="I409" i="3"/>
  <c r="K409" i="3" s="1"/>
  <c r="H409" i="3"/>
  <c r="J409" i="3" s="1"/>
  <c r="L409" i="3" s="1"/>
  <c r="E409" i="3"/>
  <c r="D409" i="3"/>
  <c r="F409" i="3" s="1"/>
  <c r="G409" i="3" s="1"/>
  <c r="C409" i="3"/>
  <c r="B409" i="3"/>
  <c r="A409" i="3"/>
  <c r="AC408" i="3"/>
  <c r="AB408" i="3"/>
  <c r="AA408" i="3"/>
  <c r="Z408" i="3"/>
  <c r="U408" i="3"/>
  <c r="V408" i="3" s="1"/>
  <c r="S408" i="3"/>
  <c r="R408" i="3"/>
  <c r="T408" i="3" s="1"/>
  <c r="N408" i="3"/>
  <c r="P408" i="3" s="1"/>
  <c r="Q408" i="3" s="1"/>
  <c r="M408" i="3"/>
  <c r="O408" i="3" s="1"/>
  <c r="J408" i="3"/>
  <c r="I408" i="3"/>
  <c r="K408" i="3" s="1"/>
  <c r="H408" i="3"/>
  <c r="F408" i="3"/>
  <c r="E408" i="3"/>
  <c r="W408" i="3" s="1"/>
  <c r="D408" i="3"/>
  <c r="C408" i="3"/>
  <c r="B408" i="3"/>
  <c r="A408" i="3"/>
  <c r="AC407" i="3"/>
  <c r="AB407" i="3"/>
  <c r="AA407" i="3"/>
  <c r="Z407" i="3"/>
  <c r="V407" i="3"/>
  <c r="S407" i="3"/>
  <c r="U407" i="3" s="1"/>
  <c r="R407" i="3"/>
  <c r="T407" i="3" s="1"/>
  <c r="O407" i="3"/>
  <c r="N407" i="3"/>
  <c r="P407" i="3" s="1"/>
  <c r="Q407" i="3" s="1"/>
  <c r="M407" i="3"/>
  <c r="K407" i="3"/>
  <c r="L407" i="3" s="1"/>
  <c r="J407" i="3"/>
  <c r="I407" i="3"/>
  <c r="H407" i="3"/>
  <c r="G407" i="3"/>
  <c r="F407" i="3"/>
  <c r="D407" i="3"/>
  <c r="C407" i="3"/>
  <c r="E407" i="3" s="1"/>
  <c r="W407" i="3" s="1"/>
  <c r="B407" i="3"/>
  <c r="A407" i="3"/>
  <c r="AC406" i="3"/>
  <c r="AB406" i="3"/>
  <c r="AA406" i="3"/>
  <c r="Z406" i="3"/>
  <c r="X406" i="3"/>
  <c r="T406" i="3"/>
  <c r="S406" i="3"/>
  <c r="U406" i="3" s="1"/>
  <c r="R406" i="3"/>
  <c r="P406" i="3"/>
  <c r="O406" i="3"/>
  <c r="N406" i="3"/>
  <c r="M406" i="3"/>
  <c r="K406" i="3"/>
  <c r="L406" i="3" s="1"/>
  <c r="I406" i="3"/>
  <c r="H406" i="3"/>
  <c r="J406" i="3" s="1"/>
  <c r="W406" i="3" s="1"/>
  <c r="D406" i="3"/>
  <c r="F406" i="3" s="1"/>
  <c r="G406" i="3" s="1"/>
  <c r="C406" i="3"/>
  <c r="E406" i="3" s="1"/>
  <c r="B406" i="3"/>
  <c r="A406" i="3"/>
  <c r="AC405" i="3"/>
  <c r="AB405" i="3"/>
  <c r="AA405" i="3"/>
  <c r="Z405" i="3"/>
  <c r="U405" i="3"/>
  <c r="V405" i="3" s="1"/>
  <c r="T405" i="3"/>
  <c r="S405" i="3"/>
  <c r="R405" i="3"/>
  <c r="Q405" i="3"/>
  <c r="P405" i="3"/>
  <c r="N405" i="3"/>
  <c r="M405" i="3"/>
  <c r="O405" i="3" s="1"/>
  <c r="L405" i="3"/>
  <c r="I405" i="3"/>
  <c r="K405" i="3" s="1"/>
  <c r="H405" i="3"/>
  <c r="J405" i="3" s="1"/>
  <c r="E405" i="3"/>
  <c r="D405" i="3"/>
  <c r="F405" i="3" s="1"/>
  <c r="G405" i="3" s="1"/>
  <c r="C405" i="3"/>
  <c r="B405" i="3"/>
  <c r="A405" i="3"/>
  <c r="AC404" i="3"/>
  <c r="AB404" i="3"/>
  <c r="AA404" i="3"/>
  <c r="Z404" i="3"/>
  <c r="U404" i="3"/>
  <c r="V404" i="3" s="1"/>
  <c r="S404" i="3"/>
  <c r="R404" i="3"/>
  <c r="T404" i="3" s="1"/>
  <c r="N404" i="3"/>
  <c r="P404" i="3" s="1"/>
  <c r="Q404" i="3" s="1"/>
  <c r="M404" i="3"/>
  <c r="O404" i="3" s="1"/>
  <c r="J404" i="3"/>
  <c r="I404" i="3"/>
  <c r="K404" i="3" s="1"/>
  <c r="H404" i="3"/>
  <c r="F404" i="3"/>
  <c r="E404" i="3"/>
  <c r="W404" i="3" s="1"/>
  <c r="D404" i="3"/>
  <c r="C404" i="3"/>
  <c r="B404" i="3"/>
  <c r="A404" i="3"/>
  <c r="AC403" i="3"/>
  <c r="AB403" i="3"/>
  <c r="AA403" i="3"/>
  <c r="Z403" i="3"/>
  <c r="S403" i="3"/>
  <c r="U403" i="3" s="1"/>
  <c r="R403" i="3"/>
  <c r="T403" i="3" s="1"/>
  <c r="V403" i="3" s="1"/>
  <c r="O403" i="3"/>
  <c r="N403" i="3"/>
  <c r="P403" i="3" s="1"/>
  <c r="Q403" i="3" s="1"/>
  <c r="M403" i="3"/>
  <c r="K403" i="3"/>
  <c r="L403" i="3" s="1"/>
  <c r="J403" i="3"/>
  <c r="W403" i="3" s="1"/>
  <c r="I403" i="3"/>
  <c r="H403" i="3"/>
  <c r="G403" i="3"/>
  <c r="F403" i="3"/>
  <c r="D403" i="3"/>
  <c r="C403" i="3"/>
  <c r="E403" i="3" s="1"/>
  <c r="B403" i="3"/>
  <c r="A403" i="3"/>
  <c r="AC402" i="3"/>
  <c r="AB402" i="3"/>
  <c r="AA402" i="3"/>
  <c r="Z402" i="3"/>
  <c r="T402" i="3"/>
  <c r="S402" i="3"/>
  <c r="U402" i="3" s="1"/>
  <c r="R402" i="3"/>
  <c r="P402" i="3"/>
  <c r="O402" i="3"/>
  <c r="N402" i="3"/>
  <c r="M402" i="3"/>
  <c r="K402" i="3"/>
  <c r="L402" i="3" s="1"/>
  <c r="I402" i="3"/>
  <c r="H402" i="3"/>
  <c r="J402" i="3" s="1"/>
  <c r="D402" i="3"/>
  <c r="F402" i="3" s="1"/>
  <c r="X402" i="3" s="1"/>
  <c r="C402" i="3"/>
  <c r="E402" i="3" s="1"/>
  <c r="W402" i="3" s="1"/>
  <c r="B402" i="3"/>
  <c r="A402" i="3"/>
  <c r="AC401" i="3"/>
  <c r="AB401" i="3"/>
  <c r="AA401" i="3"/>
  <c r="Z401" i="3"/>
  <c r="U401" i="3"/>
  <c r="V401" i="3" s="1"/>
  <c r="T401" i="3"/>
  <c r="S401" i="3"/>
  <c r="R401" i="3"/>
  <c r="Q401" i="3"/>
  <c r="P401" i="3"/>
  <c r="N401" i="3"/>
  <c r="M401" i="3"/>
  <c r="O401" i="3" s="1"/>
  <c r="I401" i="3"/>
  <c r="K401" i="3" s="1"/>
  <c r="H401" i="3"/>
  <c r="J401" i="3" s="1"/>
  <c r="L401" i="3" s="1"/>
  <c r="E401" i="3"/>
  <c r="D401" i="3"/>
  <c r="F401" i="3" s="1"/>
  <c r="G401" i="3" s="1"/>
  <c r="C401" i="3"/>
  <c r="B401" i="3"/>
  <c r="A401" i="3"/>
  <c r="AC400" i="3"/>
  <c r="AB400" i="3"/>
  <c r="AA400" i="3"/>
  <c r="Z400" i="3"/>
  <c r="U400" i="3"/>
  <c r="V400" i="3" s="1"/>
  <c r="S400" i="3"/>
  <c r="R400" i="3"/>
  <c r="T400" i="3" s="1"/>
  <c r="N400" i="3"/>
  <c r="P400" i="3" s="1"/>
  <c r="Q400" i="3" s="1"/>
  <c r="M400" i="3"/>
  <c r="O400" i="3" s="1"/>
  <c r="J400" i="3"/>
  <c r="I400" i="3"/>
  <c r="K400" i="3" s="1"/>
  <c r="H400" i="3"/>
  <c r="F400" i="3"/>
  <c r="E400" i="3"/>
  <c r="W400" i="3" s="1"/>
  <c r="D400" i="3"/>
  <c r="C400" i="3"/>
  <c r="B400" i="3"/>
  <c r="A400" i="3"/>
  <c r="AC399" i="3"/>
  <c r="AB399" i="3"/>
  <c r="AA399" i="3"/>
  <c r="Z399" i="3"/>
  <c r="V399" i="3"/>
  <c r="S399" i="3"/>
  <c r="U399" i="3" s="1"/>
  <c r="R399" i="3"/>
  <c r="T399" i="3" s="1"/>
  <c r="O399" i="3"/>
  <c r="N399" i="3"/>
  <c r="P399" i="3" s="1"/>
  <c r="Q399" i="3" s="1"/>
  <c r="M399" i="3"/>
  <c r="K399" i="3"/>
  <c r="L399" i="3" s="1"/>
  <c r="J399" i="3"/>
  <c r="I399" i="3"/>
  <c r="H399" i="3"/>
  <c r="G399" i="3"/>
  <c r="F399" i="3"/>
  <c r="D399" i="3"/>
  <c r="C399" i="3"/>
  <c r="E399" i="3" s="1"/>
  <c r="W399" i="3" s="1"/>
  <c r="B399" i="3"/>
  <c r="A399" i="3"/>
  <c r="AC398" i="3"/>
  <c r="AB398" i="3"/>
  <c r="AA398" i="3"/>
  <c r="Z398" i="3"/>
  <c r="X398" i="3"/>
  <c r="T398" i="3"/>
  <c r="S398" i="3"/>
  <c r="U398" i="3" s="1"/>
  <c r="R398" i="3"/>
  <c r="P398" i="3"/>
  <c r="O398" i="3"/>
  <c r="N398" i="3"/>
  <c r="M398" i="3"/>
  <c r="K398" i="3"/>
  <c r="L398" i="3" s="1"/>
  <c r="I398" i="3"/>
  <c r="H398" i="3"/>
  <c r="J398" i="3" s="1"/>
  <c r="W398" i="3" s="1"/>
  <c r="D398" i="3"/>
  <c r="F398" i="3" s="1"/>
  <c r="G398" i="3" s="1"/>
  <c r="C398" i="3"/>
  <c r="E398" i="3" s="1"/>
  <c r="B398" i="3"/>
  <c r="A398" i="3"/>
  <c r="AC397" i="3"/>
  <c r="AB397" i="3"/>
  <c r="AA397" i="3"/>
  <c r="Z397" i="3"/>
  <c r="U397" i="3"/>
  <c r="V397" i="3" s="1"/>
  <c r="T397" i="3"/>
  <c r="S397" i="3"/>
  <c r="R397" i="3"/>
  <c r="Q397" i="3"/>
  <c r="P397" i="3"/>
  <c r="N397" i="3"/>
  <c r="M397" i="3"/>
  <c r="O397" i="3" s="1"/>
  <c r="L397" i="3"/>
  <c r="I397" i="3"/>
  <c r="K397" i="3" s="1"/>
  <c r="H397" i="3"/>
  <c r="J397" i="3" s="1"/>
  <c r="E397" i="3"/>
  <c r="D397" i="3"/>
  <c r="F397" i="3" s="1"/>
  <c r="G397" i="3" s="1"/>
  <c r="C397" i="3"/>
  <c r="B397" i="3"/>
  <c r="A397" i="3"/>
  <c r="AC396" i="3"/>
  <c r="AB396" i="3"/>
  <c r="AA396" i="3"/>
  <c r="Z396" i="3"/>
  <c r="U396" i="3"/>
  <c r="V396" i="3" s="1"/>
  <c r="S396" i="3"/>
  <c r="R396" i="3"/>
  <c r="T396" i="3" s="1"/>
  <c r="N396" i="3"/>
  <c r="P396" i="3" s="1"/>
  <c r="Q396" i="3" s="1"/>
  <c r="M396" i="3"/>
  <c r="O396" i="3" s="1"/>
  <c r="J396" i="3"/>
  <c r="I396" i="3"/>
  <c r="K396" i="3" s="1"/>
  <c r="H396" i="3"/>
  <c r="F396" i="3"/>
  <c r="E396" i="3"/>
  <c r="W396" i="3" s="1"/>
  <c r="D396" i="3"/>
  <c r="C396" i="3"/>
  <c r="B396" i="3"/>
  <c r="A396" i="3"/>
  <c r="AC395" i="3"/>
  <c r="AB395" i="3"/>
  <c r="AA395" i="3"/>
  <c r="Z395" i="3"/>
  <c r="S395" i="3"/>
  <c r="U395" i="3" s="1"/>
  <c r="R395" i="3"/>
  <c r="T395" i="3" s="1"/>
  <c r="V395" i="3" s="1"/>
  <c r="O395" i="3"/>
  <c r="N395" i="3"/>
  <c r="P395" i="3" s="1"/>
  <c r="Q395" i="3" s="1"/>
  <c r="M395" i="3"/>
  <c r="K395" i="3"/>
  <c r="I395" i="3"/>
  <c r="H395" i="3"/>
  <c r="J395" i="3" s="1"/>
  <c r="D395" i="3"/>
  <c r="F395" i="3" s="1"/>
  <c r="C395" i="3"/>
  <c r="E395" i="3" s="1"/>
  <c r="B395" i="3"/>
  <c r="A395" i="3"/>
  <c r="AC394" i="3"/>
  <c r="AB394" i="3"/>
  <c r="AA394" i="3"/>
  <c r="Z394" i="3"/>
  <c r="T394" i="3"/>
  <c r="S394" i="3"/>
  <c r="U394" i="3" s="1"/>
  <c r="V394" i="3" s="1"/>
  <c r="R394" i="3"/>
  <c r="P394" i="3"/>
  <c r="Q394" i="3" s="1"/>
  <c r="O394" i="3"/>
  <c r="N394" i="3"/>
  <c r="M394" i="3"/>
  <c r="I394" i="3"/>
  <c r="K394" i="3" s="1"/>
  <c r="L394" i="3" s="1"/>
  <c r="H394" i="3"/>
  <c r="J394" i="3" s="1"/>
  <c r="D394" i="3"/>
  <c r="F394" i="3" s="1"/>
  <c r="C394" i="3"/>
  <c r="E394" i="3" s="1"/>
  <c r="W394" i="3" s="1"/>
  <c r="B394" i="3"/>
  <c r="A394" i="3"/>
  <c r="AC393" i="3"/>
  <c r="AB393" i="3"/>
  <c r="AA393" i="3"/>
  <c r="Z393" i="3"/>
  <c r="U393" i="3"/>
  <c r="S393" i="3"/>
  <c r="R393" i="3"/>
  <c r="T393" i="3" s="1"/>
  <c r="N393" i="3"/>
  <c r="P393" i="3" s="1"/>
  <c r="M393" i="3"/>
  <c r="O393" i="3" s="1"/>
  <c r="J393" i="3"/>
  <c r="I393" i="3"/>
  <c r="K393" i="3" s="1"/>
  <c r="L393" i="3" s="1"/>
  <c r="H393" i="3"/>
  <c r="E393" i="3"/>
  <c r="D393" i="3"/>
  <c r="F393" i="3" s="1"/>
  <c r="C393" i="3"/>
  <c r="B393" i="3"/>
  <c r="A393" i="3"/>
  <c r="AC392" i="3"/>
  <c r="AB392" i="3"/>
  <c r="AA392" i="3"/>
  <c r="Z392" i="3"/>
  <c r="S392" i="3"/>
  <c r="U392" i="3" s="1"/>
  <c r="R392" i="3"/>
  <c r="T392" i="3" s="1"/>
  <c r="O392" i="3"/>
  <c r="N392" i="3"/>
  <c r="P392" i="3" s="1"/>
  <c r="Q392" i="3" s="1"/>
  <c r="M392" i="3"/>
  <c r="J392" i="3"/>
  <c r="I392" i="3"/>
  <c r="K392" i="3" s="1"/>
  <c r="L392" i="3" s="1"/>
  <c r="H392" i="3"/>
  <c r="F392" i="3"/>
  <c r="X392" i="3" s="1"/>
  <c r="D392" i="3"/>
  <c r="C392" i="3"/>
  <c r="E392" i="3" s="1"/>
  <c r="B392" i="3"/>
  <c r="A392" i="3"/>
  <c r="AC391" i="3"/>
  <c r="AB391" i="3"/>
  <c r="AA391" i="3"/>
  <c r="Z391" i="3"/>
  <c r="S391" i="3"/>
  <c r="U391" i="3" s="1"/>
  <c r="V391" i="3" s="1"/>
  <c r="R391" i="3"/>
  <c r="T391" i="3" s="1"/>
  <c r="O391" i="3"/>
  <c r="N391" i="3"/>
  <c r="P391" i="3" s="1"/>
  <c r="Q391" i="3" s="1"/>
  <c r="M391" i="3"/>
  <c r="K391" i="3"/>
  <c r="I391" i="3"/>
  <c r="H391" i="3"/>
  <c r="J391" i="3" s="1"/>
  <c r="D391" i="3"/>
  <c r="F391" i="3" s="1"/>
  <c r="C391" i="3"/>
  <c r="E391" i="3" s="1"/>
  <c r="B391" i="3"/>
  <c r="A391" i="3"/>
  <c r="AC390" i="3"/>
  <c r="AB390" i="3"/>
  <c r="AA390" i="3"/>
  <c r="Z390" i="3"/>
  <c r="T390" i="3"/>
  <c r="S390" i="3"/>
  <c r="U390" i="3" s="1"/>
  <c r="V390" i="3" s="1"/>
  <c r="R390" i="3"/>
  <c r="P390" i="3"/>
  <c r="Q390" i="3" s="1"/>
  <c r="N390" i="3"/>
  <c r="M390" i="3"/>
  <c r="O390" i="3" s="1"/>
  <c r="I390" i="3"/>
  <c r="K390" i="3" s="1"/>
  <c r="H390" i="3"/>
  <c r="J390" i="3" s="1"/>
  <c r="D390" i="3"/>
  <c r="F390" i="3" s="1"/>
  <c r="C390" i="3"/>
  <c r="E390" i="3" s="1"/>
  <c r="B390" i="3"/>
  <c r="A390" i="3"/>
  <c r="AC389" i="3"/>
  <c r="AB389" i="3"/>
  <c r="AA389" i="3"/>
  <c r="Z389" i="3"/>
  <c r="U389" i="3"/>
  <c r="V389" i="3" s="1"/>
  <c r="S389" i="3"/>
  <c r="R389" i="3"/>
  <c r="T389" i="3" s="1"/>
  <c r="N389" i="3"/>
  <c r="P389" i="3" s="1"/>
  <c r="M389" i="3"/>
  <c r="O389" i="3" s="1"/>
  <c r="I389" i="3"/>
  <c r="K389" i="3" s="1"/>
  <c r="L389" i="3" s="1"/>
  <c r="H389" i="3"/>
  <c r="J389" i="3" s="1"/>
  <c r="E389" i="3"/>
  <c r="W389" i="3" s="1"/>
  <c r="D389" i="3"/>
  <c r="F389" i="3" s="1"/>
  <c r="C389" i="3"/>
  <c r="B389" i="3"/>
  <c r="A389" i="3"/>
  <c r="AC388" i="3"/>
  <c r="AB388" i="3"/>
  <c r="AA388" i="3"/>
  <c r="Z388" i="3"/>
  <c r="S388" i="3"/>
  <c r="U388" i="3" s="1"/>
  <c r="V388" i="3" s="1"/>
  <c r="R388" i="3"/>
  <c r="T388" i="3" s="1"/>
  <c r="N388" i="3"/>
  <c r="P388" i="3" s="1"/>
  <c r="M388" i="3"/>
  <c r="O388" i="3" s="1"/>
  <c r="J388" i="3"/>
  <c r="I388" i="3"/>
  <c r="K388" i="3" s="1"/>
  <c r="L388" i="3" s="1"/>
  <c r="H388" i="3"/>
  <c r="F388" i="3"/>
  <c r="X388" i="3" s="1"/>
  <c r="E388" i="3"/>
  <c r="W388" i="3" s="1"/>
  <c r="D388" i="3"/>
  <c r="C388" i="3"/>
  <c r="B388" i="3"/>
  <c r="A388" i="3"/>
  <c r="AC387" i="3"/>
  <c r="AB387" i="3"/>
  <c r="AA387" i="3"/>
  <c r="Z387" i="3"/>
  <c r="S387" i="3"/>
  <c r="U387" i="3" s="1"/>
  <c r="V387" i="3" s="1"/>
  <c r="R387" i="3"/>
  <c r="T387" i="3" s="1"/>
  <c r="O387" i="3"/>
  <c r="N387" i="3"/>
  <c r="P387" i="3" s="1"/>
  <c r="Q387" i="3" s="1"/>
  <c r="M387" i="3"/>
  <c r="K387" i="3"/>
  <c r="L387" i="3" s="1"/>
  <c r="J387" i="3"/>
  <c r="I387" i="3"/>
  <c r="H387" i="3"/>
  <c r="F387" i="3"/>
  <c r="D387" i="3"/>
  <c r="C387" i="3"/>
  <c r="E387" i="3" s="1"/>
  <c r="B387" i="3"/>
  <c r="A387" i="3"/>
  <c r="AC386" i="3"/>
  <c r="AB386" i="3"/>
  <c r="AA386" i="3"/>
  <c r="Z386" i="3"/>
  <c r="T386" i="3"/>
  <c r="S386" i="3"/>
  <c r="U386" i="3" s="1"/>
  <c r="V386" i="3" s="1"/>
  <c r="R386" i="3"/>
  <c r="P386" i="3"/>
  <c r="Q386" i="3" s="1"/>
  <c r="O386" i="3"/>
  <c r="N386" i="3"/>
  <c r="M386" i="3"/>
  <c r="K386" i="3"/>
  <c r="I386" i="3"/>
  <c r="H386" i="3"/>
  <c r="J386" i="3" s="1"/>
  <c r="L386" i="3" s="1"/>
  <c r="D386" i="3"/>
  <c r="F386" i="3" s="1"/>
  <c r="C386" i="3"/>
  <c r="E386" i="3" s="1"/>
  <c r="B386" i="3"/>
  <c r="A386" i="3"/>
  <c r="AC385" i="3"/>
  <c r="AB385" i="3"/>
  <c r="AA385" i="3"/>
  <c r="Z385" i="3"/>
  <c r="U385" i="3"/>
  <c r="V385" i="3" s="1"/>
  <c r="T385" i="3"/>
  <c r="S385" i="3"/>
  <c r="R385" i="3"/>
  <c r="N385" i="3"/>
  <c r="P385" i="3" s="1"/>
  <c r="Q385" i="3" s="1"/>
  <c r="M385" i="3"/>
  <c r="O385" i="3" s="1"/>
  <c r="I385" i="3"/>
  <c r="K385" i="3" s="1"/>
  <c r="H385" i="3"/>
  <c r="J385" i="3" s="1"/>
  <c r="E385" i="3"/>
  <c r="D385" i="3"/>
  <c r="F385" i="3" s="1"/>
  <c r="C385" i="3"/>
  <c r="B385" i="3"/>
  <c r="A385" i="3"/>
  <c r="AC384" i="3"/>
  <c r="AB384" i="3"/>
  <c r="AA384" i="3"/>
  <c r="Z384" i="3"/>
  <c r="S384" i="3"/>
  <c r="U384" i="3" s="1"/>
  <c r="R384" i="3"/>
  <c r="T384" i="3" s="1"/>
  <c r="N384" i="3"/>
  <c r="P384" i="3" s="1"/>
  <c r="Q384" i="3" s="1"/>
  <c r="M384" i="3"/>
  <c r="O384" i="3" s="1"/>
  <c r="J384" i="3"/>
  <c r="I384" i="3"/>
  <c r="K384" i="3" s="1"/>
  <c r="L384" i="3" s="1"/>
  <c r="H384" i="3"/>
  <c r="F384" i="3"/>
  <c r="D384" i="3"/>
  <c r="C384" i="3"/>
  <c r="E384" i="3" s="1"/>
  <c r="W384" i="3" s="1"/>
  <c r="B384" i="3"/>
  <c r="A384" i="3"/>
  <c r="AC383" i="3"/>
  <c r="AB383" i="3"/>
  <c r="AA383" i="3"/>
  <c r="Z383" i="3"/>
  <c r="S383" i="3"/>
  <c r="U383" i="3" s="1"/>
  <c r="R383" i="3"/>
  <c r="T383" i="3" s="1"/>
  <c r="O383" i="3"/>
  <c r="N383" i="3"/>
  <c r="P383" i="3" s="1"/>
  <c r="Q383" i="3" s="1"/>
  <c r="M383" i="3"/>
  <c r="K383" i="3"/>
  <c r="L383" i="3" s="1"/>
  <c r="J383" i="3"/>
  <c r="I383" i="3"/>
  <c r="H383" i="3"/>
  <c r="D383" i="3"/>
  <c r="F383" i="3" s="1"/>
  <c r="C383" i="3"/>
  <c r="E383" i="3" s="1"/>
  <c r="W383" i="3" s="1"/>
  <c r="B383" i="3"/>
  <c r="A383" i="3"/>
  <c r="AC382" i="3"/>
  <c r="AB382" i="3"/>
  <c r="AA382" i="3"/>
  <c r="Z382" i="3"/>
  <c r="T382" i="3"/>
  <c r="S382" i="3"/>
  <c r="U382" i="3" s="1"/>
  <c r="V382" i="3" s="1"/>
  <c r="R382" i="3"/>
  <c r="P382" i="3"/>
  <c r="Q382" i="3" s="1"/>
  <c r="O382" i="3"/>
  <c r="N382" i="3"/>
  <c r="M382" i="3"/>
  <c r="I382" i="3"/>
  <c r="K382" i="3" s="1"/>
  <c r="H382" i="3"/>
  <c r="J382" i="3" s="1"/>
  <c r="D382" i="3"/>
  <c r="F382" i="3" s="1"/>
  <c r="C382" i="3"/>
  <c r="E382" i="3" s="1"/>
  <c r="B382" i="3"/>
  <c r="A382" i="3"/>
  <c r="AC381" i="3"/>
  <c r="AB381" i="3"/>
  <c r="AA381" i="3"/>
  <c r="Z381" i="3"/>
  <c r="U381" i="3"/>
  <c r="V381" i="3" s="1"/>
  <c r="S381" i="3"/>
  <c r="R381" i="3"/>
  <c r="T381" i="3" s="1"/>
  <c r="N381" i="3"/>
  <c r="P381" i="3" s="1"/>
  <c r="M381" i="3"/>
  <c r="O381" i="3" s="1"/>
  <c r="I381" i="3"/>
  <c r="K381" i="3" s="1"/>
  <c r="L381" i="3" s="1"/>
  <c r="H381" i="3"/>
  <c r="J381" i="3" s="1"/>
  <c r="E381" i="3"/>
  <c r="D381" i="3"/>
  <c r="F381" i="3" s="1"/>
  <c r="C381" i="3"/>
  <c r="B381" i="3"/>
  <c r="A381" i="3"/>
  <c r="AC380" i="3"/>
  <c r="AB380" i="3"/>
  <c r="AA380" i="3"/>
  <c r="Z380" i="3"/>
  <c r="S380" i="3"/>
  <c r="U380" i="3" s="1"/>
  <c r="V380" i="3" s="1"/>
  <c r="R380" i="3"/>
  <c r="T380" i="3" s="1"/>
  <c r="O380" i="3"/>
  <c r="N380" i="3"/>
  <c r="P380" i="3" s="1"/>
  <c r="Q380" i="3" s="1"/>
  <c r="M380" i="3"/>
  <c r="J380" i="3"/>
  <c r="I380" i="3"/>
  <c r="K380" i="3" s="1"/>
  <c r="L380" i="3" s="1"/>
  <c r="H380" i="3"/>
  <c r="F380" i="3"/>
  <c r="X380" i="3" s="1"/>
  <c r="D380" i="3"/>
  <c r="C380" i="3"/>
  <c r="E380" i="3" s="1"/>
  <c r="B380" i="3"/>
  <c r="A380" i="3"/>
  <c r="AC379" i="3"/>
  <c r="AB379" i="3"/>
  <c r="AA379" i="3"/>
  <c r="Z379" i="3"/>
  <c r="S379" i="3"/>
  <c r="U379" i="3" s="1"/>
  <c r="V379" i="3" s="1"/>
  <c r="R379" i="3"/>
  <c r="T379" i="3" s="1"/>
  <c r="O379" i="3"/>
  <c r="N379" i="3"/>
  <c r="P379" i="3" s="1"/>
  <c r="Q379" i="3" s="1"/>
  <c r="M379" i="3"/>
  <c r="K379" i="3"/>
  <c r="I379" i="3"/>
  <c r="H379" i="3"/>
  <c r="J379" i="3" s="1"/>
  <c r="D379" i="3"/>
  <c r="F379" i="3" s="1"/>
  <c r="C379" i="3"/>
  <c r="E379" i="3" s="1"/>
  <c r="B379" i="3"/>
  <c r="A379" i="3"/>
  <c r="AC378" i="3"/>
  <c r="AB378" i="3"/>
  <c r="AA378" i="3"/>
  <c r="Z378" i="3"/>
  <c r="T378" i="3"/>
  <c r="S378" i="3"/>
  <c r="U378" i="3" s="1"/>
  <c r="V378" i="3" s="1"/>
  <c r="R378" i="3"/>
  <c r="P378" i="3"/>
  <c r="Q378" i="3" s="1"/>
  <c r="O378" i="3"/>
  <c r="N378" i="3"/>
  <c r="M378" i="3"/>
  <c r="I378" i="3"/>
  <c r="K378" i="3" s="1"/>
  <c r="L378" i="3" s="1"/>
  <c r="H378" i="3"/>
  <c r="J378" i="3" s="1"/>
  <c r="D378" i="3"/>
  <c r="F378" i="3" s="1"/>
  <c r="C378" i="3"/>
  <c r="E378" i="3" s="1"/>
  <c r="W378" i="3" s="1"/>
  <c r="B378" i="3"/>
  <c r="A378" i="3"/>
  <c r="AC377" i="3"/>
  <c r="AB377" i="3"/>
  <c r="AA377" i="3"/>
  <c r="Z377" i="3"/>
  <c r="U377" i="3"/>
  <c r="S377" i="3"/>
  <c r="R377" i="3"/>
  <c r="T377" i="3" s="1"/>
  <c r="N377" i="3"/>
  <c r="P377" i="3" s="1"/>
  <c r="M377" i="3"/>
  <c r="O377" i="3" s="1"/>
  <c r="I377" i="3"/>
  <c r="K377" i="3" s="1"/>
  <c r="H377" i="3"/>
  <c r="J377" i="3" s="1"/>
  <c r="E377" i="3"/>
  <c r="D377" i="3"/>
  <c r="F377" i="3" s="1"/>
  <c r="C377" i="3"/>
  <c r="B377" i="3"/>
  <c r="A377" i="3"/>
  <c r="AC376" i="3"/>
  <c r="AB376" i="3"/>
  <c r="AA376" i="3"/>
  <c r="Z376" i="3"/>
  <c r="S376" i="3"/>
  <c r="U376" i="3" s="1"/>
  <c r="R376" i="3"/>
  <c r="T376" i="3" s="1"/>
  <c r="O376" i="3"/>
  <c r="N376" i="3"/>
  <c r="P376" i="3" s="1"/>
  <c r="Q376" i="3" s="1"/>
  <c r="M376" i="3"/>
  <c r="J376" i="3"/>
  <c r="I376" i="3"/>
  <c r="K376" i="3" s="1"/>
  <c r="L376" i="3" s="1"/>
  <c r="H376" i="3"/>
  <c r="F376" i="3"/>
  <c r="D376" i="3"/>
  <c r="C376" i="3"/>
  <c r="E376" i="3" s="1"/>
  <c r="W376" i="3" s="1"/>
  <c r="B376" i="3"/>
  <c r="A376" i="3"/>
  <c r="AC375" i="3"/>
  <c r="AB375" i="3"/>
  <c r="AA375" i="3"/>
  <c r="Z375" i="3"/>
  <c r="S375" i="3"/>
  <c r="U375" i="3" s="1"/>
  <c r="R375" i="3"/>
  <c r="T375" i="3" s="1"/>
  <c r="O375" i="3"/>
  <c r="N375" i="3"/>
  <c r="P375" i="3" s="1"/>
  <c r="Q375" i="3" s="1"/>
  <c r="M375" i="3"/>
  <c r="K375" i="3"/>
  <c r="L375" i="3" s="1"/>
  <c r="I375" i="3"/>
  <c r="H375" i="3"/>
  <c r="J375" i="3" s="1"/>
  <c r="D375" i="3"/>
  <c r="F375" i="3" s="1"/>
  <c r="C375" i="3"/>
  <c r="E375" i="3" s="1"/>
  <c r="W375" i="3" s="1"/>
  <c r="B375" i="3"/>
  <c r="A375" i="3"/>
  <c r="AC374" i="3"/>
  <c r="AB374" i="3"/>
  <c r="AA374" i="3"/>
  <c r="Z374" i="3"/>
  <c r="T374" i="3"/>
  <c r="S374" i="3"/>
  <c r="U374" i="3" s="1"/>
  <c r="V374" i="3" s="1"/>
  <c r="R374" i="3"/>
  <c r="P374" i="3"/>
  <c r="Q374" i="3" s="1"/>
  <c r="O374" i="3"/>
  <c r="N374" i="3"/>
  <c r="M374" i="3"/>
  <c r="I374" i="3"/>
  <c r="K374" i="3" s="1"/>
  <c r="L374" i="3" s="1"/>
  <c r="H374" i="3"/>
  <c r="J374" i="3" s="1"/>
  <c r="D374" i="3"/>
  <c r="F374" i="3" s="1"/>
  <c r="C374" i="3"/>
  <c r="E374" i="3" s="1"/>
  <c r="B374" i="3"/>
  <c r="A374" i="3"/>
  <c r="AC373" i="3"/>
  <c r="AB373" i="3"/>
  <c r="AA373" i="3"/>
  <c r="Z373" i="3"/>
  <c r="U373" i="3"/>
  <c r="V373" i="3" s="1"/>
  <c r="S373" i="3"/>
  <c r="R373" i="3"/>
  <c r="T373" i="3" s="1"/>
  <c r="N373" i="3"/>
  <c r="P373" i="3" s="1"/>
  <c r="M373" i="3"/>
  <c r="O373" i="3" s="1"/>
  <c r="J373" i="3"/>
  <c r="I373" i="3"/>
  <c r="K373" i="3" s="1"/>
  <c r="L373" i="3" s="1"/>
  <c r="H373" i="3"/>
  <c r="E373" i="3"/>
  <c r="W373" i="3" s="1"/>
  <c r="D373" i="3"/>
  <c r="F373" i="3" s="1"/>
  <c r="C373" i="3"/>
  <c r="B373" i="3"/>
  <c r="A373" i="3"/>
  <c r="AC372" i="3"/>
  <c r="AB372" i="3"/>
  <c r="AA372" i="3"/>
  <c r="Z372" i="3"/>
  <c r="S372" i="3"/>
  <c r="U372" i="3" s="1"/>
  <c r="R372" i="3"/>
  <c r="T372" i="3" s="1"/>
  <c r="O372" i="3"/>
  <c r="N372" i="3"/>
  <c r="P372" i="3" s="1"/>
  <c r="Q372" i="3" s="1"/>
  <c r="M372" i="3"/>
  <c r="J372" i="3"/>
  <c r="I372" i="3"/>
  <c r="K372" i="3" s="1"/>
  <c r="L372" i="3" s="1"/>
  <c r="H372" i="3"/>
  <c r="F372" i="3"/>
  <c r="D372" i="3"/>
  <c r="C372" i="3"/>
  <c r="E372" i="3" s="1"/>
  <c r="W372" i="3" s="1"/>
  <c r="B372" i="3"/>
  <c r="A372" i="3"/>
  <c r="AC371" i="3"/>
  <c r="AB371" i="3"/>
  <c r="AA371" i="3"/>
  <c r="Z371" i="3"/>
  <c r="S371" i="3"/>
  <c r="U371" i="3" s="1"/>
  <c r="V371" i="3" s="1"/>
  <c r="R371" i="3"/>
  <c r="T371" i="3" s="1"/>
  <c r="O371" i="3"/>
  <c r="N371" i="3"/>
  <c r="P371" i="3" s="1"/>
  <c r="Q371" i="3" s="1"/>
  <c r="M371" i="3"/>
  <c r="K371" i="3"/>
  <c r="L371" i="3" s="1"/>
  <c r="I371" i="3"/>
  <c r="H371" i="3"/>
  <c r="J371" i="3" s="1"/>
  <c r="D371" i="3"/>
  <c r="F371" i="3" s="1"/>
  <c r="C371" i="3"/>
  <c r="E371" i="3" s="1"/>
  <c r="W371" i="3" s="1"/>
  <c r="B371" i="3"/>
  <c r="A371" i="3"/>
  <c r="AC370" i="3"/>
  <c r="AB370" i="3"/>
  <c r="AA370" i="3"/>
  <c r="Z370" i="3"/>
  <c r="T370" i="3"/>
  <c r="S370" i="3"/>
  <c r="U370" i="3" s="1"/>
  <c r="V370" i="3" s="1"/>
  <c r="R370" i="3"/>
  <c r="P370" i="3"/>
  <c r="N370" i="3"/>
  <c r="M370" i="3"/>
  <c r="O370" i="3" s="1"/>
  <c r="I370" i="3"/>
  <c r="K370" i="3" s="1"/>
  <c r="L370" i="3" s="1"/>
  <c r="H370" i="3"/>
  <c r="J370" i="3" s="1"/>
  <c r="D370" i="3"/>
  <c r="F370" i="3" s="1"/>
  <c r="C370" i="3"/>
  <c r="E370" i="3" s="1"/>
  <c r="W370" i="3" s="1"/>
  <c r="B370" i="3"/>
  <c r="A370" i="3"/>
  <c r="AC369" i="3"/>
  <c r="AB369" i="3"/>
  <c r="AA369" i="3"/>
  <c r="Z369" i="3"/>
  <c r="U369" i="3"/>
  <c r="S369" i="3"/>
  <c r="R369" i="3"/>
  <c r="T369" i="3" s="1"/>
  <c r="N369" i="3"/>
  <c r="P369" i="3" s="1"/>
  <c r="M369" i="3"/>
  <c r="O369" i="3" s="1"/>
  <c r="J369" i="3"/>
  <c r="I369" i="3"/>
  <c r="K369" i="3" s="1"/>
  <c r="L369" i="3" s="1"/>
  <c r="H369" i="3"/>
  <c r="E369" i="3"/>
  <c r="D369" i="3"/>
  <c r="F369" i="3" s="1"/>
  <c r="C369" i="3"/>
  <c r="B369" i="3"/>
  <c r="A369" i="3"/>
  <c r="AC368" i="3"/>
  <c r="AB368" i="3"/>
  <c r="AA368" i="3"/>
  <c r="Z368" i="3"/>
  <c r="S368" i="3"/>
  <c r="U368" i="3" s="1"/>
  <c r="R368" i="3"/>
  <c r="T368" i="3" s="1"/>
  <c r="O368" i="3"/>
  <c r="N368" i="3"/>
  <c r="P368" i="3" s="1"/>
  <c r="Q368" i="3" s="1"/>
  <c r="M368" i="3"/>
  <c r="K368" i="3"/>
  <c r="J368" i="3"/>
  <c r="L368" i="3" s="1"/>
  <c r="I368" i="3"/>
  <c r="H368" i="3"/>
  <c r="F368" i="3"/>
  <c r="X368" i="3" s="1"/>
  <c r="D368" i="3"/>
  <c r="C368" i="3"/>
  <c r="E368" i="3" s="1"/>
  <c r="B368" i="3"/>
  <c r="A368" i="3"/>
  <c r="AC367" i="3"/>
  <c r="AB367" i="3"/>
  <c r="AA367" i="3"/>
  <c r="Z367" i="3"/>
  <c r="T367" i="3"/>
  <c r="S367" i="3"/>
  <c r="U367" i="3" s="1"/>
  <c r="V367" i="3" s="1"/>
  <c r="R367" i="3"/>
  <c r="O367" i="3"/>
  <c r="N367" i="3"/>
  <c r="P367" i="3" s="1"/>
  <c r="Q367" i="3" s="1"/>
  <c r="M367" i="3"/>
  <c r="K367" i="3"/>
  <c r="L367" i="3" s="1"/>
  <c r="I367" i="3"/>
  <c r="H367" i="3"/>
  <c r="J367" i="3" s="1"/>
  <c r="D367" i="3"/>
  <c r="F367" i="3" s="1"/>
  <c r="C367" i="3"/>
  <c r="E367" i="3" s="1"/>
  <c r="W367" i="3" s="1"/>
  <c r="B367" i="3"/>
  <c r="A367" i="3"/>
  <c r="AC366" i="3"/>
  <c r="AB366" i="3"/>
  <c r="AA366" i="3"/>
  <c r="Z366" i="3"/>
  <c r="T366" i="3"/>
  <c r="S366" i="3"/>
  <c r="U366" i="3" s="1"/>
  <c r="V366" i="3" s="1"/>
  <c r="R366" i="3"/>
  <c r="P366" i="3"/>
  <c r="N366" i="3"/>
  <c r="M366" i="3"/>
  <c r="O366" i="3" s="1"/>
  <c r="I366" i="3"/>
  <c r="K366" i="3" s="1"/>
  <c r="L366" i="3" s="1"/>
  <c r="H366" i="3"/>
  <c r="J366" i="3" s="1"/>
  <c r="E366" i="3"/>
  <c r="D366" i="3"/>
  <c r="F366" i="3" s="1"/>
  <c r="C366" i="3"/>
  <c r="B366" i="3"/>
  <c r="A366" i="3"/>
  <c r="AC365" i="3"/>
  <c r="AB365" i="3"/>
  <c r="AA365" i="3"/>
  <c r="Z365" i="3"/>
  <c r="U365" i="3"/>
  <c r="V365" i="3" s="1"/>
  <c r="S365" i="3"/>
  <c r="R365" i="3"/>
  <c r="T365" i="3" s="1"/>
  <c r="N365" i="3"/>
  <c r="P365" i="3" s="1"/>
  <c r="M365" i="3"/>
  <c r="O365" i="3" s="1"/>
  <c r="J365" i="3"/>
  <c r="I365" i="3"/>
  <c r="K365" i="3" s="1"/>
  <c r="L365" i="3" s="1"/>
  <c r="H365" i="3"/>
  <c r="E365" i="3"/>
  <c r="W365" i="3" s="1"/>
  <c r="D365" i="3"/>
  <c r="F365" i="3" s="1"/>
  <c r="C365" i="3"/>
  <c r="B365" i="3"/>
  <c r="A365" i="3"/>
  <c r="AC364" i="3"/>
  <c r="AB364" i="3"/>
  <c r="AA364" i="3"/>
  <c r="Z364" i="3"/>
  <c r="S364" i="3"/>
  <c r="U364" i="3" s="1"/>
  <c r="V364" i="3" s="1"/>
  <c r="R364" i="3"/>
  <c r="T364" i="3" s="1"/>
  <c r="O364" i="3"/>
  <c r="N364" i="3"/>
  <c r="P364" i="3" s="1"/>
  <c r="Q364" i="3" s="1"/>
  <c r="M364" i="3"/>
  <c r="J364" i="3"/>
  <c r="I364" i="3"/>
  <c r="K364" i="3" s="1"/>
  <c r="L364" i="3" s="1"/>
  <c r="H364" i="3"/>
  <c r="F364" i="3"/>
  <c r="X364" i="3" s="1"/>
  <c r="Y364" i="3" s="1"/>
  <c r="D364" i="3"/>
  <c r="C364" i="3"/>
  <c r="E364" i="3" s="1"/>
  <c r="W364" i="3" s="1"/>
  <c r="B364" i="3"/>
  <c r="A364" i="3"/>
  <c r="AC363" i="3"/>
  <c r="AB363" i="3"/>
  <c r="AA363" i="3"/>
  <c r="Z363" i="3"/>
  <c r="S363" i="3"/>
  <c r="U363" i="3" s="1"/>
  <c r="R363" i="3"/>
  <c r="T363" i="3" s="1"/>
  <c r="O363" i="3"/>
  <c r="N363" i="3"/>
  <c r="P363" i="3" s="1"/>
  <c r="Q363" i="3" s="1"/>
  <c r="M363" i="3"/>
  <c r="K363" i="3"/>
  <c r="I363" i="3"/>
  <c r="H363" i="3"/>
  <c r="J363" i="3" s="1"/>
  <c r="D363" i="3"/>
  <c r="F363" i="3" s="1"/>
  <c r="C363" i="3"/>
  <c r="E363" i="3" s="1"/>
  <c r="B363" i="3"/>
  <c r="A363" i="3"/>
  <c r="AC362" i="3"/>
  <c r="AB362" i="3"/>
  <c r="AA362" i="3"/>
  <c r="Z362" i="3"/>
  <c r="T362" i="3"/>
  <c r="S362" i="3"/>
  <c r="U362" i="3" s="1"/>
  <c r="V362" i="3" s="1"/>
  <c r="R362" i="3"/>
  <c r="P362" i="3"/>
  <c r="Q362" i="3" s="1"/>
  <c r="N362" i="3"/>
  <c r="M362" i="3"/>
  <c r="O362" i="3" s="1"/>
  <c r="I362" i="3"/>
  <c r="K362" i="3" s="1"/>
  <c r="L362" i="3" s="1"/>
  <c r="H362" i="3"/>
  <c r="J362" i="3" s="1"/>
  <c r="D362" i="3"/>
  <c r="F362" i="3" s="1"/>
  <c r="C362" i="3"/>
  <c r="E362" i="3" s="1"/>
  <c r="W362" i="3" s="1"/>
  <c r="B362" i="3"/>
  <c r="A362" i="3"/>
  <c r="AC361" i="3"/>
  <c r="AB361" i="3"/>
  <c r="AA361" i="3"/>
  <c r="Z361" i="3"/>
  <c r="U361" i="3"/>
  <c r="V361" i="3" s="1"/>
  <c r="S361" i="3"/>
  <c r="R361" i="3"/>
  <c r="T361" i="3" s="1"/>
  <c r="N361" i="3"/>
  <c r="P361" i="3" s="1"/>
  <c r="Q361" i="3" s="1"/>
  <c r="M361" i="3"/>
  <c r="O361" i="3" s="1"/>
  <c r="J361" i="3"/>
  <c r="I361" i="3"/>
  <c r="K361" i="3" s="1"/>
  <c r="L361" i="3" s="1"/>
  <c r="H361" i="3"/>
  <c r="E361" i="3"/>
  <c r="W361" i="3" s="1"/>
  <c r="D361" i="3"/>
  <c r="F361" i="3" s="1"/>
  <c r="C361" i="3"/>
  <c r="B361" i="3"/>
  <c r="A361" i="3"/>
  <c r="AC360" i="3"/>
  <c r="AB360" i="3"/>
  <c r="AA360" i="3"/>
  <c r="Z360" i="3"/>
  <c r="S360" i="3"/>
  <c r="U360" i="3" s="1"/>
  <c r="V360" i="3" s="1"/>
  <c r="R360" i="3"/>
  <c r="T360" i="3" s="1"/>
  <c r="O360" i="3"/>
  <c r="N360" i="3"/>
  <c r="P360" i="3" s="1"/>
  <c r="Q360" i="3" s="1"/>
  <c r="M360" i="3"/>
  <c r="J360" i="3"/>
  <c r="I360" i="3"/>
  <c r="K360" i="3" s="1"/>
  <c r="L360" i="3" s="1"/>
  <c r="H360" i="3"/>
  <c r="F360" i="3"/>
  <c r="D360" i="3"/>
  <c r="C360" i="3"/>
  <c r="E360" i="3" s="1"/>
  <c r="W360" i="3" s="1"/>
  <c r="B360" i="3"/>
  <c r="A360" i="3"/>
  <c r="AC359" i="3"/>
  <c r="AB359" i="3"/>
  <c r="AA359" i="3"/>
  <c r="Z359" i="3"/>
  <c r="S359" i="3"/>
  <c r="U359" i="3" s="1"/>
  <c r="V359" i="3" s="1"/>
  <c r="R359" i="3"/>
  <c r="T359" i="3" s="1"/>
  <c r="O359" i="3"/>
  <c r="N359" i="3"/>
  <c r="P359" i="3" s="1"/>
  <c r="Q359" i="3" s="1"/>
  <c r="M359" i="3"/>
  <c r="K359" i="3"/>
  <c r="I359" i="3"/>
  <c r="H359" i="3"/>
  <c r="J359" i="3" s="1"/>
  <c r="W359" i="3" s="1"/>
  <c r="G359" i="3"/>
  <c r="D359" i="3"/>
  <c r="F359" i="3" s="1"/>
  <c r="C359" i="3"/>
  <c r="E359" i="3" s="1"/>
  <c r="B359" i="3"/>
  <c r="A359" i="3"/>
  <c r="AC358" i="3"/>
  <c r="AB358" i="3"/>
  <c r="AA358" i="3"/>
  <c r="Z358" i="3"/>
  <c r="T358" i="3"/>
  <c r="S358" i="3"/>
  <c r="U358" i="3" s="1"/>
  <c r="V358" i="3" s="1"/>
  <c r="R358" i="3"/>
  <c r="P358" i="3"/>
  <c r="N358" i="3"/>
  <c r="M358" i="3"/>
  <c r="O358" i="3" s="1"/>
  <c r="L358" i="3"/>
  <c r="I358" i="3"/>
  <c r="K358" i="3" s="1"/>
  <c r="H358" i="3"/>
  <c r="J358" i="3" s="1"/>
  <c r="D358" i="3"/>
  <c r="F358" i="3" s="1"/>
  <c r="C358" i="3"/>
  <c r="E358" i="3" s="1"/>
  <c r="W358" i="3" s="1"/>
  <c r="B358" i="3"/>
  <c r="A358" i="3"/>
  <c r="AC357" i="3"/>
  <c r="AB357" i="3"/>
  <c r="AA357" i="3"/>
  <c r="Z357" i="3"/>
  <c r="S357" i="3"/>
  <c r="U357" i="3" s="1"/>
  <c r="V357" i="3" s="1"/>
  <c r="R357" i="3"/>
  <c r="T357" i="3" s="1"/>
  <c r="N357" i="3"/>
  <c r="P357" i="3" s="1"/>
  <c r="M357" i="3"/>
  <c r="O357" i="3" s="1"/>
  <c r="Q357" i="3" s="1"/>
  <c r="K357" i="3"/>
  <c r="L357" i="3" s="1"/>
  <c r="I357" i="3"/>
  <c r="H357" i="3"/>
  <c r="J357" i="3" s="1"/>
  <c r="E357" i="3"/>
  <c r="W357" i="3" s="1"/>
  <c r="D357" i="3"/>
  <c r="F357" i="3" s="1"/>
  <c r="C357" i="3"/>
  <c r="B357" i="3"/>
  <c r="A357" i="3"/>
  <c r="AC356" i="3"/>
  <c r="AB356" i="3"/>
  <c r="AA356" i="3"/>
  <c r="Z356" i="3"/>
  <c r="T356" i="3"/>
  <c r="S356" i="3"/>
  <c r="U356" i="3" s="1"/>
  <c r="V356" i="3" s="1"/>
  <c r="R356" i="3"/>
  <c r="O356" i="3"/>
  <c r="N356" i="3"/>
  <c r="P356" i="3" s="1"/>
  <c r="Q356" i="3" s="1"/>
  <c r="M356" i="3"/>
  <c r="J356" i="3"/>
  <c r="I356" i="3"/>
  <c r="K356" i="3" s="1"/>
  <c r="L356" i="3" s="1"/>
  <c r="H356" i="3"/>
  <c r="D356" i="3"/>
  <c r="F356" i="3" s="1"/>
  <c r="C356" i="3"/>
  <c r="E356" i="3" s="1"/>
  <c r="W356" i="3" s="1"/>
  <c r="B356" i="3"/>
  <c r="A356" i="3"/>
  <c r="AC355" i="3"/>
  <c r="AB355" i="3"/>
  <c r="AA355" i="3"/>
  <c r="Z355" i="3"/>
  <c r="S355" i="3"/>
  <c r="U355" i="3" s="1"/>
  <c r="V355" i="3" s="1"/>
  <c r="R355" i="3"/>
  <c r="T355" i="3" s="1"/>
  <c r="N355" i="3"/>
  <c r="P355" i="3" s="1"/>
  <c r="M355" i="3"/>
  <c r="O355" i="3" s="1"/>
  <c r="Q355" i="3" s="1"/>
  <c r="K355" i="3"/>
  <c r="L355" i="3" s="1"/>
  <c r="I355" i="3"/>
  <c r="H355" i="3"/>
  <c r="J355" i="3" s="1"/>
  <c r="E355" i="3"/>
  <c r="W355" i="3" s="1"/>
  <c r="D355" i="3"/>
  <c r="F355" i="3" s="1"/>
  <c r="C355" i="3"/>
  <c r="B355" i="3"/>
  <c r="A355" i="3"/>
  <c r="AC354" i="3"/>
  <c r="AB354" i="3"/>
  <c r="AA354" i="3"/>
  <c r="Z354" i="3"/>
  <c r="T354" i="3"/>
  <c r="S354" i="3"/>
  <c r="U354" i="3" s="1"/>
  <c r="V354" i="3" s="1"/>
  <c r="R354" i="3"/>
  <c r="O354" i="3"/>
  <c r="N354" i="3"/>
  <c r="P354" i="3" s="1"/>
  <c r="Q354" i="3" s="1"/>
  <c r="M354" i="3"/>
  <c r="J354" i="3"/>
  <c r="I354" i="3"/>
  <c r="K354" i="3" s="1"/>
  <c r="L354" i="3" s="1"/>
  <c r="H354" i="3"/>
  <c r="D354" i="3"/>
  <c r="F354" i="3" s="1"/>
  <c r="C354" i="3"/>
  <c r="E354" i="3" s="1"/>
  <c r="W354" i="3" s="1"/>
  <c r="B354" i="3"/>
  <c r="A354" i="3"/>
  <c r="AC353" i="3"/>
  <c r="AB353" i="3"/>
  <c r="AA353" i="3"/>
  <c r="Z353" i="3"/>
  <c r="S353" i="3"/>
  <c r="U353" i="3" s="1"/>
  <c r="V353" i="3" s="1"/>
  <c r="R353" i="3"/>
  <c r="T353" i="3" s="1"/>
  <c r="N353" i="3"/>
  <c r="P353" i="3" s="1"/>
  <c r="M353" i="3"/>
  <c r="O353" i="3" s="1"/>
  <c r="Q353" i="3" s="1"/>
  <c r="K353" i="3"/>
  <c r="L353" i="3" s="1"/>
  <c r="J353" i="3"/>
  <c r="I353" i="3"/>
  <c r="H353" i="3"/>
  <c r="D353" i="3"/>
  <c r="F353" i="3" s="1"/>
  <c r="C353" i="3"/>
  <c r="E353" i="3" s="1"/>
  <c r="B353" i="3"/>
  <c r="A353" i="3"/>
  <c r="AC352" i="3"/>
  <c r="AB352" i="3"/>
  <c r="AA352" i="3"/>
  <c r="Z352" i="3"/>
  <c r="T352" i="3"/>
  <c r="V352" i="3" s="1"/>
  <c r="S352" i="3"/>
  <c r="U352" i="3" s="1"/>
  <c r="R352" i="3"/>
  <c r="P352" i="3"/>
  <c r="Q352" i="3" s="1"/>
  <c r="O352" i="3"/>
  <c r="N352" i="3"/>
  <c r="M352" i="3"/>
  <c r="J352" i="3"/>
  <c r="L352" i="3" s="1"/>
  <c r="I352" i="3"/>
  <c r="K352" i="3" s="1"/>
  <c r="H352" i="3"/>
  <c r="D352" i="3"/>
  <c r="F352" i="3" s="1"/>
  <c r="C352" i="3"/>
  <c r="E352" i="3" s="1"/>
  <c r="B352" i="3"/>
  <c r="A352" i="3"/>
  <c r="AC351" i="3"/>
  <c r="AB351" i="3"/>
  <c r="AA351" i="3"/>
  <c r="Z351" i="3"/>
  <c r="S351" i="3"/>
  <c r="U351" i="3" s="1"/>
  <c r="V351" i="3" s="1"/>
  <c r="R351" i="3"/>
  <c r="T351" i="3" s="1"/>
  <c r="N351" i="3"/>
  <c r="P351" i="3" s="1"/>
  <c r="M351" i="3"/>
  <c r="O351" i="3" s="1"/>
  <c r="I351" i="3"/>
  <c r="K351" i="3" s="1"/>
  <c r="L351" i="3" s="1"/>
  <c r="H351" i="3"/>
  <c r="J351" i="3" s="1"/>
  <c r="D351" i="3"/>
  <c r="F351" i="3" s="1"/>
  <c r="C351" i="3"/>
  <c r="E351" i="3" s="1"/>
  <c r="B351" i="3"/>
  <c r="A351" i="3"/>
  <c r="AC350" i="3"/>
  <c r="AB350" i="3"/>
  <c r="AA350" i="3"/>
  <c r="Z350" i="3"/>
  <c r="T350" i="3"/>
  <c r="V350" i="3" s="1"/>
  <c r="S350" i="3"/>
  <c r="U350" i="3" s="1"/>
  <c r="R350" i="3"/>
  <c r="N350" i="3"/>
  <c r="P350" i="3" s="1"/>
  <c r="Q350" i="3" s="1"/>
  <c r="M350" i="3"/>
  <c r="O350" i="3" s="1"/>
  <c r="J350" i="3"/>
  <c r="I350" i="3"/>
  <c r="K350" i="3" s="1"/>
  <c r="L350" i="3" s="1"/>
  <c r="H350" i="3"/>
  <c r="E350" i="3"/>
  <c r="D350" i="3"/>
  <c r="F350" i="3" s="1"/>
  <c r="C350" i="3"/>
  <c r="B350" i="3"/>
  <c r="A350" i="3"/>
  <c r="AC349" i="3"/>
  <c r="AB349" i="3"/>
  <c r="AA349" i="3"/>
  <c r="Z349" i="3"/>
  <c r="S349" i="3"/>
  <c r="U349" i="3" s="1"/>
  <c r="V349" i="3" s="1"/>
  <c r="R349" i="3"/>
  <c r="T349" i="3" s="1"/>
  <c r="N349" i="3"/>
  <c r="P349" i="3" s="1"/>
  <c r="M349" i="3"/>
  <c r="O349" i="3" s="1"/>
  <c r="J349" i="3"/>
  <c r="I349" i="3"/>
  <c r="K349" i="3" s="1"/>
  <c r="L349" i="3" s="1"/>
  <c r="H349" i="3"/>
  <c r="D349" i="3"/>
  <c r="F349" i="3" s="1"/>
  <c r="C349" i="3"/>
  <c r="E349" i="3" s="1"/>
  <c r="W349" i="3" s="1"/>
  <c r="B349" i="3"/>
  <c r="A349" i="3"/>
  <c r="AC348" i="3"/>
  <c r="AB348" i="3"/>
  <c r="AA348" i="3"/>
  <c r="Z348" i="3"/>
  <c r="S348" i="3"/>
  <c r="U348" i="3" s="1"/>
  <c r="R348" i="3"/>
  <c r="T348" i="3" s="1"/>
  <c r="V348" i="3" s="1"/>
  <c r="P348" i="3"/>
  <c r="Q348" i="3" s="1"/>
  <c r="O348" i="3"/>
  <c r="N348" i="3"/>
  <c r="M348" i="3"/>
  <c r="K348" i="3"/>
  <c r="I348" i="3"/>
  <c r="H348" i="3"/>
  <c r="J348" i="3" s="1"/>
  <c r="L348" i="3" s="1"/>
  <c r="D348" i="3"/>
  <c r="F348" i="3" s="1"/>
  <c r="C348" i="3"/>
  <c r="E348" i="3" s="1"/>
  <c r="B348" i="3"/>
  <c r="A348" i="3"/>
  <c r="AC347" i="3"/>
  <c r="AB347" i="3"/>
  <c r="AA347" i="3"/>
  <c r="Z347" i="3"/>
  <c r="U347" i="3"/>
  <c r="V347" i="3" s="1"/>
  <c r="T347" i="3"/>
  <c r="S347" i="3"/>
  <c r="R347" i="3"/>
  <c r="N347" i="3"/>
  <c r="P347" i="3" s="1"/>
  <c r="M347" i="3"/>
  <c r="O347" i="3" s="1"/>
  <c r="Q347" i="3" s="1"/>
  <c r="K347" i="3"/>
  <c r="L347" i="3" s="1"/>
  <c r="I347" i="3"/>
  <c r="H347" i="3"/>
  <c r="J347" i="3" s="1"/>
  <c r="E347" i="3"/>
  <c r="W347" i="3" s="1"/>
  <c r="D347" i="3"/>
  <c r="F347" i="3" s="1"/>
  <c r="C347" i="3"/>
  <c r="B347" i="3"/>
  <c r="A347" i="3"/>
  <c r="AC346" i="3"/>
  <c r="AB346" i="3"/>
  <c r="AA346" i="3"/>
  <c r="Z346" i="3"/>
  <c r="T346" i="3"/>
  <c r="S346" i="3"/>
  <c r="U346" i="3" s="1"/>
  <c r="V346" i="3" s="1"/>
  <c r="R346" i="3"/>
  <c r="N346" i="3"/>
  <c r="P346" i="3" s="1"/>
  <c r="Q346" i="3" s="1"/>
  <c r="M346" i="3"/>
  <c r="O346" i="3" s="1"/>
  <c r="I346" i="3"/>
  <c r="K346" i="3" s="1"/>
  <c r="H346" i="3"/>
  <c r="J346" i="3" s="1"/>
  <c r="E346" i="3"/>
  <c r="D346" i="3"/>
  <c r="F346" i="3" s="1"/>
  <c r="C346" i="3"/>
  <c r="B346" i="3"/>
  <c r="A346" i="3"/>
  <c r="AC345" i="3"/>
  <c r="AB345" i="3"/>
  <c r="AA345" i="3"/>
  <c r="Z345" i="3"/>
  <c r="S345" i="3"/>
  <c r="U345" i="3" s="1"/>
  <c r="V345" i="3" s="1"/>
  <c r="R345" i="3"/>
  <c r="T345" i="3" s="1"/>
  <c r="N345" i="3"/>
  <c r="P345" i="3" s="1"/>
  <c r="M345" i="3"/>
  <c r="O345" i="3" s="1"/>
  <c r="Q345" i="3" s="1"/>
  <c r="K345" i="3"/>
  <c r="L345" i="3" s="1"/>
  <c r="J345" i="3"/>
  <c r="I345" i="3"/>
  <c r="H345" i="3"/>
  <c r="D345" i="3"/>
  <c r="F345" i="3" s="1"/>
  <c r="C345" i="3"/>
  <c r="E345" i="3" s="1"/>
  <c r="B345" i="3"/>
  <c r="A345" i="3"/>
  <c r="AC344" i="3"/>
  <c r="AB344" i="3"/>
  <c r="AA344" i="3"/>
  <c r="Z344" i="3"/>
  <c r="T344" i="3"/>
  <c r="V344" i="3" s="1"/>
  <c r="S344" i="3"/>
  <c r="U344" i="3" s="1"/>
  <c r="R344" i="3"/>
  <c r="P344" i="3"/>
  <c r="Q344" i="3" s="1"/>
  <c r="O344" i="3"/>
  <c r="N344" i="3"/>
  <c r="M344" i="3"/>
  <c r="J344" i="3"/>
  <c r="L344" i="3" s="1"/>
  <c r="I344" i="3"/>
  <c r="K344" i="3" s="1"/>
  <c r="H344" i="3"/>
  <c r="D344" i="3"/>
  <c r="F344" i="3" s="1"/>
  <c r="C344" i="3"/>
  <c r="E344" i="3" s="1"/>
  <c r="B344" i="3"/>
  <c r="A344" i="3"/>
  <c r="AC343" i="3"/>
  <c r="AB343" i="3"/>
  <c r="AA343" i="3"/>
  <c r="Z343" i="3"/>
  <c r="S343" i="3"/>
  <c r="U343" i="3" s="1"/>
  <c r="V343" i="3" s="1"/>
  <c r="R343" i="3"/>
  <c r="T343" i="3" s="1"/>
  <c r="N343" i="3"/>
  <c r="P343" i="3" s="1"/>
  <c r="M343" i="3"/>
  <c r="O343" i="3" s="1"/>
  <c r="I343" i="3"/>
  <c r="K343" i="3" s="1"/>
  <c r="L343" i="3" s="1"/>
  <c r="H343" i="3"/>
  <c r="J343" i="3" s="1"/>
  <c r="D343" i="3"/>
  <c r="F343" i="3" s="1"/>
  <c r="C343" i="3"/>
  <c r="E343" i="3" s="1"/>
  <c r="B343" i="3"/>
  <c r="A343" i="3"/>
  <c r="AC342" i="3"/>
  <c r="AB342" i="3"/>
  <c r="AA342" i="3"/>
  <c r="Z342" i="3"/>
  <c r="T342" i="3"/>
  <c r="V342" i="3" s="1"/>
  <c r="S342" i="3"/>
  <c r="U342" i="3" s="1"/>
  <c r="R342" i="3"/>
  <c r="P342" i="3"/>
  <c r="Q342" i="3" s="1"/>
  <c r="O342" i="3"/>
  <c r="N342" i="3"/>
  <c r="M342" i="3"/>
  <c r="J342" i="3"/>
  <c r="L342" i="3" s="1"/>
  <c r="I342" i="3"/>
  <c r="K342" i="3" s="1"/>
  <c r="H342" i="3"/>
  <c r="D342" i="3"/>
  <c r="F342" i="3" s="1"/>
  <c r="C342" i="3"/>
  <c r="E342" i="3" s="1"/>
  <c r="B342" i="3"/>
  <c r="A342" i="3"/>
  <c r="AC341" i="3"/>
  <c r="AB341" i="3"/>
  <c r="AA341" i="3"/>
  <c r="Z341" i="3"/>
  <c r="S341" i="3"/>
  <c r="U341" i="3" s="1"/>
  <c r="V341" i="3" s="1"/>
  <c r="R341" i="3"/>
  <c r="T341" i="3" s="1"/>
  <c r="N341" i="3"/>
  <c r="P341" i="3" s="1"/>
  <c r="M341" i="3"/>
  <c r="O341" i="3" s="1"/>
  <c r="I341" i="3"/>
  <c r="K341" i="3" s="1"/>
  <c r="L341" i="3" s="1"/>
  <c r="H341" i="3"/>
  <c r="J341" i="3" s="1"/>
  <c r="D341" i="3"/>
  <c r="F341" i="3" s="1"/>
  <c r="C341" i="3"/>
  <c r="E341" i="3" s="1"/>
  <c r="B341" i="3"/>
  <c r="A341" i="3"/>
  <c r="AC340" i="3"/>
  <c r="AB340" i="3"/>
  <c r="AA340" i="3"/>
  <c r="Z340" i="3"/>
  <c r="T340" i="3"/>
  <c r="V340" i="3" s="1"/>
  <c r="S340" i="3"/>
  <c r="U340" i="3" s="1"/>
  <c r="R340" i="3"/>
  <c r="P340" i="3"/>
  <c r="Q340" i="3" s="1"/>
  <c r="O340" i="3"/>
  <c r="N340" i="3"/>
  <c r="M340" i="3"/>
  <c r="J340" i="3"/>
  <c r="L340" i="3" s="1"/>
  <c r="I340" i="3"/>
  <c r="K340" i="3" s="1"/>
  <c r="H340" i="3"/>
  <c r="D340" i="3"/>
  <c r="F340" i="3" s="1"/>
  <c r="C340" i="3"/>
  <c r="E340" i="3" s="1"/>
  <c r="B340" i="3"/>
  <c r="A340" i="3"/>
  <c r="AC339" i="3"/>
  <c r="AB339" i="3"/>
  <c r="AA339" i="3"/>
  <c r="Z339" i="3"/>
  <c r="S339" i="3"/>
  <c r="U339" i="3" s="1"/>
  <c r="V339" i="3" s="1"/>
  <c r="R339" i="3"/>
  <c r="T339" i="3" s="1"/>
  <c r="N339" i="3"/>
  <c r="P339" i="3" s="1"/>
  <c r="M339" i="3"/>
  <c r="O339" i="3" s="1"/>
  <c r="I339" i="3"/>
  <c r="K339" i="3" s="1"/>
  <c r="L339" i="3" s="1"/>
  <c r="H339" i="3"/>
  <c r="J339" i="3" s="1"/>
  <c r="D339" i="3"/>
  <c r="F339" i="3" s="1"/>
  <c r="C339" i="3"/>
  <c r="E339" i="3" s="1"/>
  <c r="B339" i="3"/>
  <c r="A339" i="3"/>
  <c r="AC338" i="3"/>
  <c r="AB338" i="3"/>
  <c r="AA338" i="3"/>
  <c r="Z338" i="3"/>
  <c r="T338" i="3"/>
  <c r="V338" i="3" s="1"/>
  <c r="S338" i="3"/>
  <c r="U338" i="3" s="1"/>
  <c r="R338" i="3"/>
  <c r="P338" i="3"/>
  <c r="Q338" i="3" s="1"/>
  <c r="O338" i="3"/>
  <c r="N338" i="3"/>
  <c r="M338" i="3"/>
  <c r="J338" i="3"/>
  <c r="L338" i="3" s="1"/>
  <c r="I338" i="3"/>
  <c r="K338" i="3" s="1"/>
  <c r="H338" i="3"/>
  <c r="D338" i="3"/>
  <c r="F338" i="3" s="1"/>
  <c r="C338" i="3"/>
  <c r="E338" i="3" s="1"/>
  <c r="B338" i="3"/>
  <c r="A338" i="3"/>
  <c r="AC337" i="3"/>
  <c r="AB337" i="3"/>
  <c r="AA337" i="3"/>
  <c r="Z337" i="3"/>
  <c r="S337" i="3"/>
  <c r="U337" i="3" s="1"/>
  <c r="V337" i="3" s="1"/>
  <c r="R337" i="3"/>
  <c r="T337" i="3" s="1"/>
  <c r="N337" i="3"/>
  <c r="P337" i="3" s="1"/>
  <c r="M337" i="3"/>
  <c r="O337" i="3" s="1"/>
  <c r="I337" i="3"/>
  <c r="K337" i="3" s="1"/>
  <c r="L337" i="3" s="1"/>
  <c r="H337" i="3"/>
  <c r="J337" i="3" s="1"/>
  <c r="D337" i="3"/>
  <c r="F337" i="3" s="1"/>
  <c r="C337" i="3"/>
  <c r="E337" i="3" s="1"/>
  <c r="B337" i="3"/>
  <c r="A337" i="3"/>
  <c r="AC336" i="3"/>
  <c r="AB336" i="3"/>
  <c r="AA336" i="3"/>
  <c r="Z336" i="3"/>
  <c r="T336" i="3"/>
  <c r="V336" i="3" s="1"/>
  <c r="S336" i="3"/>
  <c r="U336" i="3" s="1"/>
  <c r="R336" i="3"/>
  <c r="P336" i="3"/>
  <c r="Q336" i="3" s="1"/>
  <c r="O336" i="3"/>
  <c r="N336" i="3"/>
  <c r="M336" i="3"/>
  <c r="J336" i="3"/>
  <c r="L336" i="3" s="1"/>
  <c r="I336" i="3"/>
  <c r="K336" i="3" s="1"/>
  <c r="H336" i="3"/>
  <c r="D336" i="3"/>
  <c r="F336" i="3" s="1"/>
  <c r="C336" i="3"/>
  <c r="E336" i="3" s="1"/>
  <c r="B336" i="3"/>
  <c r="A336" i="3"/>
  <c r="AC335" i="3"/>
  <c r="AB335" i="3"/>
  <c r="AA335" i="3"/>
  <c r="Z335" i="3"/>
  <c r="S335" i="3"/>
  <c r="U335" i="3" s="1"/>
  <c r="V335" i="3" s="1"/>
  <c r="R335" i="3"/>
  <c r="T335" i="3" s="1"/>
  <c r="N335" i="3"/>
  <c r="P335" i="3" s="1"/>
  <c r="M335" i="3"/>
  <c r="O335" i="3" s="1"/>
  <c r="I335" i="3"/>
  <c r="K335" i="3" s="1"/>
  <c r="L335" i="3" s="1"/>
  <c r="H335" i="3"/>
  <c r="J335" i="3" s="1"/>
  <c r="D335" i="3"/>
  <c r="F335" i="3" s="1"/>
  <c r="C335" i="3"/>
  <c r="E335" i="3" s="1"/>
  <c r="B335" i="3"/>
  <c r="A335" i="3"/>
  <c r="AC334" i="3"/>
  <c r="AB334" i="3"/>
  <c r="AA334" i="3"/>
  <c r="Z334" i="3"/>
  <c r="T334" i="3"/>
  <c r="V334" i="3" s="1"/>
  <c r="S334" i="3"/>
  <c r="U334" i="3" s="1"/>
  <c r="R334" i="3"/>
  <c r="P334" i="3"/>
  <c r="Q334" i="3" s="1"/>
  <c r="O334" i="3"/>
  <c r="N334" i="3"/>
  <c r="M334" i="3"/>
  <c r="J334" i="3"/>
  <c r="L334" i="3" s="1"/>
  <c r="I334" i="3"/>
  <c r="K334" i="3" s="1"/>
  <c r="H334" i="3"/>
  <c r="D334" i="3"/>
  <c r="F334" i="3" s="1"/>
  <c r="C334" i="3"/>
  <c r="E334" i="3" s="1"/>
  <c r="B334" i="3"/>
  <c r="A334" i="3"/>
  <c r="AC333" i="3"/>
  <c r="AB333" i="3"/>
  <c r="AA333" i="3"/>
  <c r="Z333" i="3"/>
  <c r="S333" i="3"/>
  <c r="U333" i="3" s="1"/>
  <c r="V333" i="3" s="1"/>
  <c r="R333" i="3"/>
  <c r="T333" i="3" s="1"/>
  <c r="N333" i="3"/>
  <c r="P333" i="3" s="1"/>
  <c r="M333" i="3"/>
  <c r="O333" i="3" s="1"/>
  <c r="I333" i="3"/>
  <c r="K333" i="3" s="1"/>
  <c r="L333" i="3" s="1"/>
  <c r="H333" i="3"/>
  <c r="J333" i="3" s="1"/>
  <c r="D333" i="3"/>
  <c r="F333" i="3" s="1"/>
  <c r="C333" i="3"/>
  <c r="E333" i="3" s="1"/>
  <c r="B333" i="3"/>
  <c r="A333" i="3"/>
  <c r="AC332" i="3"/>
  <c r="AB332" i="3"/>
  <c r="AA332" i="3"/>
  <c r="Z332" i="3"/>
  <c r="T332" i="3"/>
  <c r="V332" i="3" s="1"/>
  <c r="S332" i="3"/>
  <c r="U332" i="3" s="1"/>
  <c r="R332" i="3"/>
  <c r="P332" i="3"/>
  <c r="Q332" i="3" s="1"/>
  <c r="O332" i="3"/>
  <c r="N332" i="3"/>
  <c r="M332" i="3"/>
  <c r="J332" i="3"/>
  <c r="L332" i="3" s="1"/>
  <c r="I332" i="3"/>
  <c r="K332" i="3" s="1"/>
  <c r="H332" i="3"/>
  <c r="D332" i="3"/>
  <c r="F332" i="3" s="1"/>
  <c r="C332" i="3"/>
  <c r="E332" i="3" s="1"/>
  <c r="B332" i="3"/>
  <c r="A332" i="3"/>
  <c r="AC331" i="3"/>
  <c r="AB331" i="3"/>
  <c r="AA331" i="3"/>
  <c r="Z331" i="3"/>
  <c r="S331" i="3"/>
  <c r="U331" i="3" s="1"/>
  <c r="V331" i="3" s="1"/>
  <c r="R331" i="3"/>
  <c r="T331" i="3" s="1"/>
  <c r="N331" i="3"/>
  <c r="P331" i="3" s="1"/>
  <c r="M331" i="3"/>
  <c r="O331" i="3" s="1"/>
  <c r="I331" i="3"/>
  <c r="K331" i="3" s="1"/>
  <c r="L331" i="3" s="1"/>
  <c r="H331" i="3"/>
  <c r="J331" i="3" s="1"/>
  <c r="D331" i="3"/>
  <c r="F331" i="3" s="1"/>
  <c r="C331" i="3"/>
  <c r="E331" i="3" s="1"/>
  <c r="B331" i="3"/>
  <c r="A331" i="3"/>
  <c r="AC330" i="3"/>
  <c r="AB330" i="3"/>
  <c r="AA330" i="3"/>
  <c r="Z330" i="3"/>
  <c r="T330" i="3"/>
  <c r="V330" i="3" s="1"/>
  <c r="S330" i="3"/>
  <c r="U330" i="3" s="1"/>
  <c r="R330" i="3"/>
  <c r="P330" i="3"/>
  <c r="Q330" i="3" s="1"/>
  <c r="O330" i="3"/>
  <c r="N330" i="3"/>
  <c r="M330" i="3"/>
  <c r="J330" i="3"/>
  <c r="L330" i="3" s="1"/>
  <c r="I330" i="3"/>
  <c r="K330" i="3" s="1"/>
  <c r="H330" i="3"/>
  <c r="D330" i="3"/>
  <c r="F330" i="3" s="1"/>
  <c r="C330" i="3"/>
  <c r="E330" i="3" s="1"/>
  <c r="B330" i="3"/>
  <c r="A330" i="3"/>
  <c r="AC329" i="3"/>
  <c r="AB329" i="3"/>
  <c r="AA329" i="3"/>
  <c r="Z329" i="3"/>
  <c r="S329" i="3"/>
  <c r="U329" i="3" s="1"/>
  <c r="V329" i="3" s="1"/>
  <c r="R329" i="3"/>
  <c r="T329" i="3" s="1"/>
  <c r="N329" i="3"/>
  <c r="P329" i="3" s="1"/>
  <c r="M329" i="3"/>
  <c r="O329" i="3" s="1"/>
  <c r="J329" i="3"/>
  <c r="I329" i="3"/>
  <c r="K329" i="3" s="1"/>
  <c r="L329" i="3" s="1"/>
  <c r="H329" i="3"/>
  <c r="D329" i="3"/>
  <c r="F329" i="3" s="1"/>
  <c r="C329" i="3"/>
  <c r="E329" i="3" s="1"/>
  <c r="W329" i="3" s="1"/>
  <c r="B329" i="3"/>
  <c r="A329" i="3"/>
  <c r="AC328" i="3"/>
  <c r="AB328" i="3"/>
  <c r="AA328" i="3"/>
  <c r="Z328" i="3"/>
  <c r="S328" i="3"/>
  <c r="U328" i="3" s="1"/>
  <c r="R328" i="3"/>
  <c r="T328" i="3" s="1"/>
  <c r="V328" i="3" s="1"/>
  <c r="P328" i="3"/>
  <c r="Q328" i="3" s="1"/>
  <c r="O328" i="3"/>
  <c r="N328" i="3"/>
  <c r="M328" i="3"/>
  <c r="K328" i="3"/>
  <c r="I328" i="3"/>
  <c r="H328" i="3"/>
  <c r="J328" i="3" s="1"/>
  <c r="L328" i="3" s="1"/>
  <c r="D328" i="3"/>
  <c r="F328" i="3" s="1"/>
  <c r="C328" i="3"/>
  <c r="E328" i="3" s="1"/>
  <c r="B328" i="3"/>
  <c r="A328" i="3"/>
  <c r="AC327" i="3"/>
  <c r="AB327" i="3"/>
  <c r="AA327" i="3"/>
  <c r="Z327" i="3"/>
  <c r="U327" i="3"/>
  <c r="V327" i="3" s="1"/>
  <c r="T327" i="3"/>
  <c r="S327" i="3"/>
  <c r="R327" i="3"/>
  <c r="P327" i="3"/>
  <c r="N327" i="3"/>
  <c r="M327" i="3"/>
  <c r="O327" i="3" s="1"/>
  <c r="Q327" i="3" s="1"/>
  <c r="I327" i="3"/>
  <c r="K327" i="3" s="1"/>
  <c r="L327" i="3" s="1"/>
  <c r="H327" i="3"/>
  <c r="J327" i="3" s="1"/>
  <c r="D327" i="3"/>
  <c r="F327" i="3" s="1"/>
  <c r="C327" i="3"/>
  <c r="E327" i="3" s="1"/>
  <c r="B327" i="3"/>
  <c r="A327" i="3"/>
  <c r="AC326" i="3"/>
  <c r="AB326" i="3"/>
  <c r="AA326" i="3"/>
  <c r="Z326" i="3"/>
  <c r="U326" i="3"/>
  <c r="S326" i="3"/>
  <c r="R326" i="3"/>
  <c r="T326" i="3" s="1"/>
  <c r="V326" i="3" s="1"/>
  <c r="P326" i="3"/>
  <c r="Q326" i="3" s="1"/>
  <c r="N326" i="3"/>
  <c r="M326" i="3"/>
  <c r="O326" i="3" s="1"/>
  <c r="J326" i="3"/>
  <c r="L326" i="3" s="1"/>
  <c r="I326" i="3"/>
  <c r="K326" i="3" s="1"/>
  <c r="H326" i="3"/>
  <c r="F326" i="3"/>
  <c r="G326" i="3" s="1"/>
  <c r="E326" i="3"/>
  <c r="D326" i="3"/>
  <c r="C326" i="3"/>
  <c r="B326" i="3"/>
  <c r="A326" i="3"/>
  <c r="AC325" i="3"/>
  <c r="AB325" i="3"/>
  <c r="AA325" i="3"/>
  <c r="Z325" i="3"/>
  <c r="S325" i="3"/>
  <c r="U325" i="3" s="1"/>
  <c r="V325" i="3" s="1"/>
  <c r="R325" i="3"/>
  <c r="T325" i="3" s="1"/>
  <c r="O325" i="3"/>
  <c r="N325" i="3"/>
  <c r="P325" i="3" s="1"/>
  <c r="Q325" i="3" s="1"/>
  <c r="M325" i="3"/>
  <c r="J325" i="3"/>
  <c r="I325" i="3"/>
  <c r="K325" i="3" s="1"/>
  <c r="L325" i="3" s="1"/>
  <c r="H325" i="3"/>
  <c r="F325" i="3"/>
  <c r="E325" i="3"/>
  <c r="W325" i="3" s="1"/>
  <c r="D325" i="3"/>
  <c r="C325" i="3"/>
  <c r="B325" i="3"/>
  <c r="A325" i="3"/>
  <c r="AC324" i="3"/>
  <c r="AB324" i="3"/>
  <c r="AA324" i="3"/>
  <c r="Z324" i="3"/>
  <c r="T324" i="3"/>
  <c r="S324" i="3"/>
  <c r="U324" i="3" s="1"/>
  <c r="V324" i="3" s="1"/>
  <c r="R324" i="3"/>
  <c r="O324" i="3"/>
  <c r="N324" i="3"/>
  <c r="P324" i="3" s="1"/>
  <c r="Q324" i="3" s="1"/>
  <c r="M324" i="3"/>
  <c r="K324" i="3"/>
  <c r="J324" i="3"/>
  <c r="L324" i="3" s="1"/>
  <c r="I324" i="3"/>
  <c r="H324" i="3"/>
  <c r="D324" i="3"/>
  <c r="F324" i="3" s="1"/>
  <c r="C324" i="3"/>
  <c r="E324" i="3" s="1"/>
  <c r="B324" i="3"/>
  <c r="A324" i="3"/>
  <c r="AC323" i="3"/>
  <c r="AB323" i="3"/>
  <c r="AA323" i="3"/>
  <c r="Z323" i="3"/>
  <c r="T323" i="3"/>
  <c r="S323" i="3"/>
  <c r="U323" i="3" s="1"/>
  <c r="V323" i="3" s="1"/>
  <c r="R323" i="3"/>
  <c r="P323" i="3"/>
  <c r="O323" i="3"/>
  <c r="Q323" i="3" s="1"/>
  <c r="N323" i="3"/>
  <c r="M323" i="3"/>
  <c r="I323" i="3"/>
  <c r="K323" i="3" s="1"/>
  <c r="L323" i="3" s="1"/>
  <c r="H323" i="3"/>
  <c r="J323" i="3" s="1"/>
  <c r="E323" i="3"/>
  <c r="W323" i="3" s="1"/>
  <c r="D323" i="3"/>
  <c r="F323" i="3" s="1"/>
  <c r="G323" i="3" s="1"/>
  <c r="C323" i="3"/>
  <c r="B323" i="3"/>
  <c r="A323" i="3"/>
  <c r="AC322" i="3"/>
  <c r="AB322" i="3"/>
  <c r="AA322" i="3"/>
  <c r="Z322" i="3"/>
  <c r="U322" i="3"/>
  <c r="T322" i="3"/>
  <c r="V322" i="3" s="1"/>
  <c r="S322" i="3"/>
  <c r="R322" i="3"/>
  <c r="N322" i="3"/>
  <c r="P322" i="3" s="1"/>
  <c r="Q322" i="3" s="1"/>
  <c r="M322" i="3"/>
  <c r="O322" i="3" s="1"/>
  <c r="I322" i="3"/>
  <c r="K322" i="3" s="1"/>
  <c r="L322" i="3" s="1"/>
  <c r="H322" i="3"/>
  <c r="J322" i="3" s="1"/>
  <c r="E322" i="3"/>
  <c r="D322" i="3"/>
  <c r="F322" i="3" s="1"/>
  <c r="C322" i="3"/>
  <c r="B322" i="3"/>
  <c r="A322" i="3"/>
  <c r="AC321" i="3"/>
  <c r="AB321" i="3"/>
  <c r="AA321" i="3"/>
  <c r="Z321" i="3"/>
  <c r="S321" i="3"/>
  <c r="U321" i="3" s="1"/>
  <c r="V321" i="3" s="1"/>
  <c r="R321" i="3"/>
  <c r="T321" i="3" s="1"/>
  <c r="N321" i="3"/>
  <c r="P321" i="3" s="1"/>
  <c r="M321" i="3"/>
  <c r="O321" i="3" s="1"/>
  <c r="Q321" i="3" s="1"/>
  <c r="K321" i="3"/>
  <c r="L321" i="3" s="1"/>
  <c r="J321" i="3"/>
  <c r="I321" i="3"/>
  <c r="H321" i="3"/>
  <c r="F321" i="3"/>
  <c r="D321" i="3"/>
  <c r="C321" i="3"/>
  <c r="E321" i="3" s="1"/>
  <c r="B321" i="3"/>
  <c r="A321" i="3"/>
  <c r="AC320" i="3"/>
  <c r="AB320" i="3"/>
  <c r="AA320" i="3"/>
  <c r="Z320" i="3"/>
  <c r="S320" i="3"/>
  <c r="U320" i="3" s="1"/>
  <c r="R320" i="3"/>
  <c r="T320" i="3" s="1"/>
  <c r="V320" i="3" s="1"/>
  <c r="P320" i="3"/>
  <c r="Q320" i="3" s="1"/>
  <c r="N320" i="3"/>
  <c r="M320" i="3"/>
  <c r="O320" i="3" s="1"/>
  <c r="J320" i="3"/>
  <c r="L320" i="3" s="1"/>
  <c r="I320" i="3"/>
  <c r="K320" i="3" s="1"/>
  <c r="H320" i="3"/>
  <c r="D320" i="3"/>
  <c r="F320" i="3" s="1"/>
  <c r="C320" i="3"/>
  <c r="E320" i="3" s="1"/>
  <c r="B320" i="3"/>
  <c r="A320" i="3"/>
  <c r="AC319" i="3"/>
  <c r="AB319" i="3"/>
  <c r="AA319" i="3"/>
  <c r="Z319" i="3"/>
  <c r="S319" i="3"/>
  <c r="U319" i="3" s="1"/>
  <c r="V319" i="3" s="1"/>
  <c r="R319" i="3"/>
  <c r="T319" i="3" s="1"/>
  <c r="N319" i="3"/>
  <c r="P319" i="3" s="1"/>
  <c r="M319" i="3"/>
  <c r="O319" i="3" s="1"/>
  <c r="J319" i="3"/>
  <c r="I319" i="3"/>
  <c r="K319" i="3" s="1"/>
  <c r="L319" i="3" s="1"/>
  <c r="H319" i="3"/>
  <c r="D319" i="3"/>
  <c r="F319" i="3" s="1"/>
  <c r="C319" i="3"/>
  <c r="E319" i="3" s="1"/>
  <c r="W319" i="3" s="1"/>
  <c r="B319" i="3"/>
  <c r="A319" i="3"/>
  <c r="AC318" i="3"/>
  <c r="AB318" i="3"/>
  <c r="AA318" i="3"/>
  <c r="Z318" i="3"/>
  <c r="S318" i="3"/>
  <c r="U318" i="3" s="1"/>
  <c r="R318" i="3"/>
  <c r="T318" i="3" s="1"/>
  <c r="V318" i="3" s="1"/>
  <c r="P318" i="3"/>
  <c r="Q318" i="3" s="1"/>
  <c r="O318" i="3"/>
  <c r="N318" i="3"/>
  <c r="M318" i="3"/>
  <c r="I318" i="3"/>
  <c r="K318" i="3" s="1"/>
  <c r="H318" i="3"/>
  <c r="J318" i="3" s="1"/>
  <c r="L318" i="3" s="1"/>
  <c r="F318" i="3"/>
  <c r="G318" i="3" s="1"/>
  <c r="D318" i="3"/>
  <c r="C318" i="3"/>
  <c r="E318" i="3" s="1"/>
  <c r="B318" i="3"/>
  <c r="A318" i="3"/>
  <c r="AC317" i="3"/>
  <c r="AB317" i="3"/>
  <c r="AA317" i="3"/>
  <c r="Z317" i="3"/>
  <c r="S317" i="3"/>
  <c r="U317" i="3" s="1"/>
  <c r="V317" i="3" s="1"/>
  <c r="R317" i="3"/>
  <c r="T317" i="3" s="1"/>
  <c r="O317" i="3"/>
  <c r="N317" i="3"/>
  <c r="P317" i="3" s="1"/>
  <c r="Q317" i="3" s="1"/>
  <c r="M317" i="3"/>
  <c r="J317" i="3"/>
  <c r="I317" i="3"/>
  <c r="K317" i="3" s="1"/>
  <c r="L317" i="3" s="1"/>
  <c r="H317" i="3"/>
  <c r="F317" i="3"/>
  <c r="E317" i="3"/>
  <c r="W317" i="3" s="1"/>
  <c r="D317" i="3"/>
  <c r="C317" i="3"/>
  <c r="B317" i="3"/>
  <c r="A317" i="3"/>
  <c r="AC316" i="3"/>
  <c r="AB316" i="3"/>
  <c r="AA316" i="3"/>
  <c r="Z316" i="3"/>
  <c r="T316" i="3"/>
  <c r="S316" i="3"/>
  <c r="U316" i="3" s="1"/>
  <c r="V316" i="3" s="1"/>
  <c r="R316" i="3"/>
  <c r="O316" i="3"/>
  <c r="N316" i="3"/>
  <c r="P316" i="3" s="1"/>
  <c r="Q316" i="3" s="1"/>
  <c r="M316" i="3"/>
  <c r="K316" i="3"/>
  <c r="J316" i="3"/>
  <c r="L316" i="3" s="1"/>
  <c r="I316" i="3"/>
  <c r="H316" i="3"/>
  <c r="D316" i="3"/>
  <c r="F316" i="3" s="1"/>
  <c r="C316" i="3"/>
  <c r="E316" i="3" s="1"/>
  <c r="B316" i="3"/>
  <c r="A316" i="3"/>
  <c r="AC315" i="3"/>
  <c r="AB315" i="3"/>
  <c r="AA315" i="3"/>
  <c r="Z315" i="3"/>
  <c r="T315" i="3"/>
  <c r="S315" i="3"/>
  <c r="U315" i="3" s="1"/>
  <c r="V315" i="3" s="1"/>
  <c r="R315" i="3"/>
  <c r="O315" i="3"/>
  <c r="N315" i="3"/>
  <c r="P315" i="3" s="1"/>
  <c r="Q315" i="3" s="1"/>
  <c r="M315" i="3"/>
  <c r="I315" i="3"/>
  <c r="K315" i="3" s="1"/>
  <c r="L315" i="3" s="1"/>
  <c r="H315" i="3"/>
  <c r="J315" i="3" s="1"/>
  <c r="D315" i="3"/>
  <c r="F315" i="3" s="1"/>
  <c r="C315" i="3"/>
  <c r="E315" i="3" s="1"/>
  <c r="W315" i="3" s="1"/>
  <c r="B315" i="3"/>
  <c r="A315" i="3"/>
  <c r="AC314" i="3"/>
  <c r="AB314" i="3"/>
  <c r="AA314" i="3"/>
  <c r="Z314" i="3"/>
  <c r="S314" i="3"/>
  <c r="U314" i="3" s="1"/>
  <c r="R314" i="3"/>
  <c r="T314" i="3" s="1"/>
  <c r="V314" i="3" s="1"/>
  <c r="P314" i="3"/>
  <c r="Q314" i="3" s="1"/>
  <c r="N314" i="3"/>
  <c r="M314" i="3"/>
  <c r="O314" i="3" s="1"/>
  <c r="J314" i="3"/>
  <c r="L314" i="3" s="1"/>
  <c r="I314" i="3"/>
  <c r="K314" i="3" s="1"/>
  <c r="H314" i="3"/>
  <c r="F314" i="3"/>
  <c r="G314" i="3" s="1"/>
  <c r="E314" i="3"/>
  <c r="D314" i="3"/>
  <c r="C314" i="3"/>
  <c r="B314" i="3"/>
  <c r="A314" i="3"/>
  <c r="AC313" i="3"/>
  <c r="AB313" i="3"/>
  <c r="AA313" i="3"/>
  <c r="Z313" i="3"/>
  <c r="S313" i="3"/>
  <c r="U313" i="3" s="1"/>
  <c r="V313" i="3" s="1"/>
  <c r="R313" i="3"/>
  <c r="T313" i="3" s="1"/>
  <c r="O313" i="3"/>
  <c r="N313" i="3"/>
  <c r="P313" i="3" s="1"/>
  <c r="Q313" i="3" s="1"/>
  <c r="M313" i="3"/>
  <c r="J313" i="3"/>
  <c r="I313" i="3"/>
  <c r="K313" i="3" s="1"/>
  <c r="L313" i="3" s="1"/>
  <c r="H313" i="3"/>
  <c r="E313" i="3"/>
  <c r="W313" i="3" s="1"/>
  <c r="D313" i="3"/>
  <c r="F313" i="3" s="1"/>
  <c r="G313" i="3" s="1"/>
  <c r="C313" i="3"/>
  <c r="B313" i="3"/>
  <c r="A313" i="3"/>
  <c r="AC312" i="3"/>
  <c r="AB312" i="3"/>
  <c r="AA312" i="3"/>
  <c r="Z312" i="3"/>
  <c r="S312" i="3"/>
  <c r="U312" i="3" s="1"/>
  <c r="R312" i="3"/>
  <c r="T312" i="3" s="1"/>
  <c r="O312" i="3"/>
  <c r="N312" i="3"/>
  <c r="P312" i="3" s="1"/>
  <c r="Q312" i="3" s="1"/>
  <c r="M312" i="3"/>
  <c r="K312" i="3"/>
  <c r="J312" i="3"/>
  <c r="L312" i="3" s="1"/>
  <c r="I312" i="3"/>
  <c r="H312" i="3"/>
  <c r="D312" i="3"/>
  <c r="F312" i="3" s="1"/>
  <c r="C312" i="3"/>
  <c r="E312" i="3" s="1"/>
  <c r="B312" i="3"/>
  <c r="A312" i="3"/>
  <c r="AC311" i="3"/>
  <c r="AB311" i="3"/>
  <c r="AA311" i="3"/>
  <c r="Z311" i="3"/>
  <c r="T311" i="3"/>
  <c r="S311" i="3"/>
  <c r="U311" i="3" s="1"/>
  <c r="V311" i="3" s="1"/>
  <c r="R311" i="3"/>
  <c r="P311" i="3"/>
  <c r="O311" i="3"/>
  <c r="Q311" i="3" s="1"/>
  <c r="N311" i="3"/>
  <c r="M311" i="3"/>
  <c r="I311" i="3"/>
  <c r="K311" i="3" s="1"/>
  <c r="L311" i="3" s="1"/>
  <c r="H311" i="3"/>
  <c r="J311" i="3" s="1"/>
  <c r="D311" i="3"/>
  <c r="F311" i="3" s="1"/>
  <c r="C311" i="3"/>
  <c r="E311" i="3" s="1"/>
  <c r="W311" i="3" s="1"/>
  <c r="B311" i="3"/>
  <c r="A311" i="3"/>
  <c r="AC310" i="3"/>
  <c r="AB310" i="3"/>
  <c r="AA310" i="3"/>
  <c r="Z310" i="3"/>
  <c r="U310" i="3"/>
  <c r="V310" i="3" s="1"/>
  <c r="T310" i="3"/>
  <c r="S310" i="3"/>
  <c r="R310" i="3"/>
  <c r="P310" i="3"/>
  <c r="N310" i="3"/>
  <c r="M310" i="3"/>
  <c r="O310" i="3" s="1"/>
  <c r="I310" i="3"/>
  <c r="K310" i="3" s="1"/>
  <c r="L310" i="3" s="1"/>
  <c r="H310" i="3"/>
  <c r="J310" i="3" s="1"/>
  <c r="E310" i="3"/>
  <c r="D310" i="3"/>
  <c r="F310" i="3" s="1"/>
  <c r="C310" i="3"/>
  <c r="B310" i="3"/>
  <c r="A310" i="3"/>
  <c r="AC309" i="3"/>
  <c r="AB309" i="3"/>
  <c r="AA309" i="3"/>
  <c r="Z309" i="3"/>
  <c r="U309" i="3"/>
  <c r="V309" i="3" s="1"/>
  <c r="S309" i="3"/>
  <c r="R309" i="3"/>
  <c r="T309" i="3" s="1"/>
  <c r="N309" i="3"/>
  <c r="P309" i="3" s="1"/>
  <c r="M309" i="3"/>
  <c r="O309" i="3" s="1"/>
  <c r="J309" i="3"/>
  <c r="I309" i="3"/>
  <c r="K309" i="3" s="1"/>
  <c r="L309" i="3" s="1"/>
  <c r="H309" i="3"/>
  <c r="F309" i="3"/>
  <c r="X309" i="3" s="1"/>
  <c r="E309" i="3"/>
  <c r="W309" i="3" s="1"/>
  <c r="D309" i="3"/>
  <c r="C309" i="3"/>
  <c r="B309" i="3"/>
  <c r="A309" i="3"/>
  <c r="AC308" i="3"/>
  <c r="AB308" i="3"/>
  <c r="AA308" i="3"/>
  <c r="Z308" i="3"/>
  <c r="S308" i="3"/>
  <c r="U308" i="3" s="1"/>
  <c r="R308" i="3"/>
  <c r="T308" i="3" s="1"/>
  <c r="V308" i="3" s="1"/>
  <c r="O308" i="3"/>
  <c r="N308" i="3"/>
  <c r="P308" i="3" s="1"/>
  <c r="Q308" i="3" s="1"/>
  <c r="M308" i="3"/>
  <c r="K308" i="3"/>
  <c r="J308" i="3"/>
  <c r="I308" i="3"/>
  <c r="H308" i="3"/>
  <c r="F308" i="3"/>
  <c r="D308" i="3"/>
  <c r="C308" i="3"/>
  <c r="E308" i="3" s="1"/>
  <c r="B308" i="3"/>
  <c r="A308" i="3"/>
  <c r="AC307" i="3"/>
  <c r="AB307" i="3"/>
  <c r="AA307" i="3"/>
  <c r="Z307" i="3"/>
  <c r="W307" i="3"/>
  <c r="T307" i="3"/>
  <c r="S307" i="3"/>
  <c r="U307" i="3" s="1"/>
  <c r="V307" i="3" s="1"/>
  <c r="R307" i="3"/>
  <c r="P307" i="3"/>
  <c r="Q307" i="3" s="1"/>
  <c r="O307" i="3"/>
  <c r="N307" i="3"/>
  <c r="M307" i="3"/>
  <c r="K307" i="3"/>
  <c r="L307" i="3" s="1"/>
  <c r="I307" i="3"/>
  <c r="H307" i="3"/>
  <c r="J307" i="3" s="1"/>
  <c r="D307" i="3"/>
  <c r="F307" i="3" s="1"/>
  <c r="C307" i="3"/>
  <c r="E307" i="3" s="1"/>
  <c r="B307" i="3"/>
  <c r="A307" i="3"/>
  <c r="AC306" i="3"/>
  <c r="AB306" i="3"/>
  <c r="AA306" i="3"/>
  <c r="Z306" i="3"/>
  <c r="U306" i="3"/>
  <c r="V306" i="3" s="1"/>
  <c r="T306" i="3"/>
  <c r="S306" i="3"/>
  <c r="R306" i="3"/>
  <c r="P306" i="3"/>
  <c r="N306" i="3"/>
  <c r="M306" i="3"/>
  <c r="O306" i="3" s="1"/>
  <c r="L306" i="3"/>
  <c r="I306" i="3"/>
  <c r="K306" i="3" s="1"/>
  <c r="H306" i="3"/>
  <c r="J306" i="3" s="1"/>
  <c r="E306" i="3"/>
  <c r="W306" i="3" s="1"/>
  <c r="D306" i="3"/>
  <c r="F306" i="3" s="1"/>
  <c r="G306" i="3" s="1"/>
  <c r="C306" i="3"/>
  <c r="B306" i="3"/>
  <c r="A306" i="3"/>
  <c r="AC305" i="3"/>
  <c r="AB305" i="3"/>
  <c r="AA305" i="3"/>
  <c r="Z305" i="3"/>
  <c r="U305" i="3"/>
  <c r="S305" i="3"/>
  <c r="R305" i="3"/>
  <c r="T305" i="3" s="1"/>
  <c r="Q305" i="3"/>
  <c r="N305" i="3"/>
  <c r="P305" i="3" s="1"/>
  <c r="M305" i="3"/>
  <c r="O305" i="3" s="1"/>
  <c r="J305" i="3"/>
  <c r="I305" i="3"/>
  <c r="K305" i="3" s="1"/>
  <c r="L305" i="3" s="1"/>
  <c r="H305" i="3"/>
  <c r="F305" i="3"/>
  <c r="E305" i="3"/>
  <c r="W305" i="3" s="1"/>
  <c r="D305" i="3"/>
  <c r="C305" i="3"/>
  <c r="B305" i="3"/>
  <c r="A305" i="3"/>
  <c r="AC304" i="3"/>
  <c r="AB304" i="3"/>
  <c r="AA304" i="3"/>
  <c r="Z304" i="3"/>
  <c r="V304" i="3"/>
  <c r="S304" i="3"/>
  <c r="U304" i="3" s="1"/>
  <c r="R304" i="3"/>
  <c r="T304" i="3" s="1"/>
  <c r="O304" i="3"/>
  <c r="N304" i="3"/>
  <c r="P304" i="3" s="1"/>
  <c r="Q304" i="3" s="1"/>
  <c r="M304" i="3"/>
  <c r="K304" i="3"/>
  <c r="J304" i="3"/>
  <c r="I304" i="3"/>
  <c r="H304" i="3"/>
  <c r="F304" i="3"/>
  <c r="D304" i="3"/>
  <c r="C304" i="3"/>
  <c r="E304" i="3" s="1"/>
  <c r="W304" i="3" s="1"/>
  <c r="B304" i="3"/>
  <c r="A304" i="3"/>
  <c r="AC303" i="3"/>
  <c r="AB303" i="3"/>
  <c r="AA303" i="3"/>
  <c r="Z303" i="3"/>
  <c r="T303" i="3"/>
  <c r="S303" i="3"/>
  <c r="U303" i="3" s="1"/>
  <c r="V303" i="3" s="1"/>
  <c r="R303" i="3"/>
  <c r="P303" i="3"/>
  <c r="O303" i="3"/>
  <c r="N303" i="3"/>
  <c r="M303" i="3"/>
  <c r="K303" i="3"/>
  <c r="L303" i="3" s="1"/>
  <c r="I303" i="3"/>
  <c r="H303" i="3"/>
  <c r="J303" i="3" s="1"/>
  <c r="D303" i="3"/>
  <c r="F303" i="3" s="1"/>
  <c r="X303" i="3" s="1"/>
  <c r="C303" i="3"/>
  <c r="E303" i="3" s="1"/>
  <c r="W303" i="3" s="1"/>
  <c r="B303" i="3"/>
  <c r="A303" i="3"/>
  <c r="AC302" i="3"/>
  <c r="AB302" i="3"/>
  <c r="AA302" i="3"/>
  <c r="Z302" i="3"/>
  <c r="U302" i="3"/>
  <c r="V302" i="3" s="1"/>
  <c r="T302" i="3"/>
  <c r="S302" i="3"/>
  <c r="R302" i="3"/>
  <c r="P302" i="3"/>
  <c r="Q302" i="3" s="1"/>
  <c r="N302" i="3"/>
  <c r="M302" i="3"/>
  <c r="O302" i="3" s="1"/>
  <c r="I302" i="3"/>
  <c r="K302" i="3" s="1"/>
  <c r="L302" i="3" s="1"/>
  <c r="H302" i="3"/>
  <c r="J302" i="3" s="1"/>
  <c r="E302" i="3"/>
  <c r="D302" i="3"/>
  <c r="F302" i="3" s="1"/>
  <c r="G302" i="3" s="1"/>
  <c r="C302" i="3"/>
  <c r="B302" i="3"/>
  <c r="A302" i="3"/>
  <c r="AC301" i="3"/>
  <c r="AB301" i="3"/>
  <c r="AA301" i="3"/>
  <c r="Z301" i="3"/>
  <c r="U301" i="3"/>
  <c r="V301" i="3" s="1"/>
  <c r="S301" i="3"/>
  <c r="R301" i="3"/>
  <c r="T301" i="3" s="1"/>
  <c r="N301" i="3"/>
  <c r="P301" i="3" s="1"/>
  <c r="Q301" i="3" s="1"/>
  <c r="M301" i="3"/>
  <c r="O301" i="3" s="1"/>
  <c r="J301" i="3"/>
  <c r="I301" i="3"/>
  <c r="K301" i="3" s="1"/>
  <c r="L301" i="3" s="1"/>
  <c r="H301" i="3"/>
  <c r="F301" i="3"/>
  <c r="E301" i="3"/>
  <c r="D301" i="3"/>
  <c r="C301" i="3"/>
  <c r="B301" i="3"/>
  <c r="A301" i="3"/>
  <c r="AC300" i="3"/>
  <c r="AB300" i="3"/>
  <c r="AA300" i="3"/>
  <c r="Z300" i="3"/>
  <c r="S300" i="3"/>
  <c r="U300" i="3" s="1"/>
  <c r="V300" i="3" s="1"/>
  <c r="R300" i="3"/>
  <c r="T300" i="3" s="1"/>
  <c r="O300" i="3"/>
  <c r="N300" i="3"/>
  <c r="P300" i="3" s="1"/>
  <c r="Q300" i="3" s="1"/>
  <c r="M300" i="3"/>
  <c r="K300" i="3"/>
  <c r="L300" i="3" s="1"/>
  <c r="J300" i="3"/>
  <c r="I300" i="3"/>
  <c r="H300" i="3"/>
  <c r="F300" i="3"/>
  <c r="D300" i="3"/>
  <c r="C300" i="3"/>
  <c r="E300" i="3" s="1"/>
  <c r="W300" i="3" s="1"/>
  <c r="B300" i="3"/>
  <c r="A300" i="3"/>
  <c r="AC299" i="3"/>
  <c r="AB299" i="3"/>
  <c r="AA299" i="3"/>
  <c r="Z299" i="3"/>
  <c r="T299" i="3"/>
  <c r="S299" i="3"/>
  <c r="U299" i="3" s="1"/>
  <c r="V299" i="3" s="1"/>
  <c r="R299" i="3"/>
  <c r="P299" i="3"/>
  <c r="O299" i="3"/>
  <c r="N299" i="3"/>
  <c r="M299" i="3"/>
  <c r="K299" i="3"/>
  <c r="I299" i="3"/>
  <c r="H299" i="3"/>
  <c r="J299" i="3" s="1"/>
  <c r="D299" i="3"/>
  <c r="F299" i="3" s="1"/>
  <c r="C299" i="3"/>
  <c r="E299" i="3" s="1"/>
  <c r="G299" i="3" s="1"/>
  <c r="B299" i="3"/>
  <c r="A299" i="3"/>
  <c r="AC298" i="3"/>
  <c r="AB298" i="3"/>
  <c r="AA298" i="3"/>
  <c r="Z298" i="3"/>
  <c r="U298" i="3"/>
  <c r="T298" i="3"/>
  <c r="S298" i="3"/>
  <c r="R298" i="3"/>
  <c r="P298" i="3"/>
  <c r="Q298" i="3" s="1"/>
  <c r="N298" i="3"/>
  <c r="M298" i="3"/>
  <c r="O298" i="3" s="1"/>
  <c r="I298" i="3"/>
  <c r="K298" i="3" s="1"/>
  <c r="H298" i="3"/>
  <c r="J298" i="3" s="1"/>
  <c r="E298" i="3"/>
  <c r="D298" i="3"/>
  <c r="F298" i="3" s="1"/>
  <c r="G298" i="3" s="1"/>
  <c r="C298" i="3"/>
  <c r="B298" i="3"/>
  <c r="A298" i="3"/>
  <c r="AC297" i="3"/>
  <c r="AB297" i="3"/>
  <c r="AA297" i="3"/>
  <c r="Z297" i="3"/>
  <c r="U297" i="3"/>
  <c r="V297" i="3" s="1"/>
  <c r="S297" i="3"/>
  <c r="R297" i="3"/>
  <c r="T297" i="3" s="1"/>
  <c r="N297" i="3"/>
  <c r="P297" i="3" s="1"/>
  <c r="Q297" i="3" s="1"/>
  <c r="M297" i="3"/>
  <c r="O297" i="3" s="1"/>
  <c r="J297" i="3"/>
  <c r="I297" i="3"/>
  <c r="K297" i="3" s="1"/>
  <c r="L297" i="3" s="1"/>
  <c r="H297" i="3"/>
  <c r="F297" i="3"/>
  <c r="X297" i="3" s="1"/>
  <c r="E297" i="3"/>
  <c r="D297" i="3"/>
  <c r="C297" i="3"/>
  <c r="B297" i="3"/>
  <c r="A297" i="3"/>
  <c r="AC296" i="3"/>
  <c r="AB296" i="3"/>
  <c r="AA296" i="3"/>
  <c r="Z296" i="3"/>
  <c r="S296" i="3"/>
  <c r="U296" i="3" s="1"/>
  <c r="V296" i="3" s="1"/>
  <c r="R296" i="3"/>
  <c r="T296" i="3" s="1"/>
  <c r="O296" i="3"/>
  <c r="N296" i="3"/>
  <c r="P296" i="3" s="1"/>
  <c r="Q296" i="3" s="1"/>
  <c r="M296" i="3"/>
  <c r="K296" i="3"/>
  <c r="L296" i="3" s="1"/>
  <c r="J296" i="3"/>
  <c r="I296" i="3"/>
  <c r="H296" i="3"/>
  <c r="F296" i="3"/>
  <c r="D296" i="3"/>
  <c r="C296" i="3"/>
  <c r="E296" i="3" s="1"/>
  <c r="B296" i="3"/>
  <c r="A296" i="3"/>
  <c r="AC295" i="3"/>
  <c r="AB295" i="3"/>
  <c r="AA295" i="3"/>
  <c r="Z295" i="3"/>
  <c r="T295" i="3"/>
  <c r="S295" i="3"/>
  <c r="U295" i="3" s="1"/>
  <c r="V295" i="3" s="1"/>
  <c r="R295" i="3"/>
  <c r="P295" i="3"/>
  <c r="O295" i="3"/>
  <c r="N295" i="3"/>
  <c r="M295" i="3"/>
  <c r="K295" i="3"/>
  <c r="I295" i="3"/>
  <c r="H295" i="3"/>
  <c r="J295" i="3" s="1"/>
  <c r="G295" i="3"/>
  <c r="D295" i="3"/>
  <c r="F295" i="3" s="1"/>
  <c r="C295" i="3"/>
  <c r="E295" i="3" s="1"/>
  <c r="W295" i="3" s="1"/>
  <c r="B295" i="3"/>
  <c r="A295" i="3"/>
  <c r="AC294" i="3"/>
  <c r="AB294" i="3"/>
  <c r="AA294" i="3"/>
  <c r="Z294" i="3"/>
  <c r="U294" i="3"/>
  <c r="T294" i="3"/>
  <c r="S294" i="3"/>
  <c r="R294" i="3"/>
  <c r="P294" i="3"/>
  <c r="N294" i="3"/>
  <c r="M294" i="3"/>
  <c r="O294" i="3" s="1"/>
  <c r="I294" i="3"/>
  <c r="K294" i="3" s="1"/>
  <c r="L294" i="3" s="1"/>
  <c r="H294" i="3"/>
  <c r="J294" i="3" s="1"/>
  <c r="E294" i="3"/>
  <c r="D294" i="3"/>
  <c r="F294" i="3" s="1"/>
  <c r="G294" i="3" s="1"/>
  <c r="C294" i="3"/>
  <c r="B294" i="3"/>
  <c r="A294" i="3"/>
  <c r="AC293" i="3"/>
  <c r="AB293" i="3"/>
  <c r="AA293" i="3"/>
  <c r="Z293" i="3"/>
  <c r="U293" i="3"/>
  <c r="S293" i="3"/>
  <c r="R293" i="3"/>
  <c r="T293" i="3" s="1"/>
  <c r="N293" i="3"/>
  <c r="P293" i="3" s="1"/>
  <c r="Q293" i="3" s="1"/>
  <c r="M293" i="3"/>
  <c r="O293" i="3" s="1"/>
  <c r="J293" i="3"/>
  <c r="I293" i="3"/>
  <c r="K293" i="3" s="1"/>
  <c r="L293" i="3" s="1"/>
  <c r="H293" i="3"/>
  <c r="F293" i="3"/>
  <c r="X293" i="3" s="1"/>
  <c r="E293" i="3"/>
  <c r="W293" i="3" s="1"/>
  <c r="D293" i="3"/>
  <c r="C293" i="3"/>
  <c r="B293" i="3"/>
  <c r="A293" i="3"/>
  <c r="AC292" i="3"/>
  <c r="AB292" i="3"/>
  <c r="AA292" i="3"/>
  <c r="Z292" i="3"/>
  <c r="S292" i="3"/>
  <c r="U292" i="3" s="1"/>
  <c r="R292" i="3"/>
  <c r="T292" i="3" s="1"/>
  <c r="V292" i="3" s="1"/>
  <c r="O292" i="3"/>
  <c r="N292" i="3"/>
  <c r="P292" i="3" s="1"/>
  <c r="Q292" i="3" s="1"/>
  <c r="M292" i="3"/>
  <c r="K292" i="3"/>
  <c r="J292" i="3"/>
  <c r="I292" i="3"/>
  <c r="H292" i="3"/>
  <c r="F292" i="3"/>
  <c r="D292" i="3"/>
  <c r="C292" i="3"/>
  <c r="E292" i="3" s="1"/>
  <c r="B292" i="3"/>
  <c r="A292" i="3"/>
  <c r="AC291" i="3"/>
  <c r="AB291" i="3"/>
  <c r="AA291" i="3"/>
  <c r="Z291" i="3"/>
  <c r="W291" i="3"/>
  <c r="T291" i="3"/>
  <c r="S291" i="3"/>
  <c r="U291" i="3" s="1"/>
  <c r="V291" i="3" s="1"/>
  <c r="R291" i="3"/>
  <c r="P291" i="3"/>
  <c r="Q291" i="3" s="1"/>
  <c r="O291" i="3"/>
  <c r="N291" i="3"/>
  <c r="M291" i="3"/>
  <c r="K291" i="3"/>
  <c r="L291" i="3" s="1"/>
  <c r="I291" i="3"/>
  <c r="H291" i="3"/>
  <c r="J291" i="3" s="1"/>
  <c r="D291" i="3"/>
  <c r="F291" i="3" s="1"/>
  <c r="C291" i="3"/>
  <c r="E291" i="3" s="1"/>
  <c r="B291" i="3"/>
  <c r="A291" i="3"/>
  <c r="AC290" i="3"/>
  <c r="AB290" i="3"/>
  <c r="AA290" i="3"/>
  <c r="Z290" i="3"/>
  <c r="U290" i="3"/>
  <c r="V290" i="3" s="1"/>
  <c r="T290" i="3"/>
  <c r="S290" i="3"/>
  <c r="R290" i="3"/>
  <c r="P290" i="3"/>
  <c r="N290" i="3"/>
  <c r="M290" i="3"/>
  <c r="O290" i="3" s="1"/>
  <c r="L290" i="3"/>
  <c r="I290" i="3"/>
  <c r="K290" i="3" s="1"/>
  <c r="H290" i="3"/>
  <c r="J290" i="3" s="1"/>
  <c r="E290" i="3"/>
  <c r="W290" i="3" s="1"/>
  <c r="D290" i="3"/>
  <c r="F290" i="3" s="1"/>
  <c r="G290" i="3" s="1"/>
  <c r="C290" i="3"/>
  <c r="B290" i="3"/>
  <c r="A290" i="3"/>
  <c r="AC289" i="3"/>
  <c r="AB289" i="3"/>
  <c r="AA289" i="3"/>
  <c r="Z289" i="3"/>
  <c r="U289" i="3"/>
  <c r="S289" i="3"/>
  <c r="R289" i="3"/>
  <c r="T289" i="3" s="1"/>
  <c r="Q289" i="3"/>
  <c r="N289" i="3"/>
  <c r="P289" i="3" s="1"/>
  <c r="M289" i="3"/>
  <c r="O289" i="3" s="1"/>
  <c r="J289" i="3"/>
  <c r="I289" i="3"/>
  <c r="K289" i="3" s="1"/>
  <c r="L289" i="3" s="1"/>
  <c r="H289" i="3"/>
  <c r="F289" i="3"/>
  <c r="E289" i="3"/>
  <c r="W289" i="3" s="1"/>
  <c r="D289" i="3"/>
  <c r="C289" i="3"/>
  <c r="B289" i="3"/>
  <c r="A289" i="3"/>
  <c r="AC288" i="3"/>
  <c r="AB288" i="3"/>
  <c r="AA288" i="3"/>
  <c r="Z288" i="3"/>
  <c r="V288" i="3"/>
  <c r="S288" i="3"/>
  <c r="U288" i="3" s="1"/>
  <c r="R288" i="3"/>
  <c r="T288" i="3" s="1"/>
  <c r="O288" i="3"/>
  <c r="N288" i="3"/>
  <c r="P288" i="3" s="1"/>
  <c r="Q288" i="3" s="1"/>
  <c r="M288" i="3"/>
  <c r="K288" i="3"/>
  <c r="J288" i="3"/>
  <c r="I288" i="3"/>
  <c r="H288" i="3"/>
  <c r="F288" i="3"/>
  <c r="D288" i="3"/>
  <c r="C288" i="3"/>
  <c r="E288" i="3" s="1"/>
  <c r="W288" i="3" s="1"/>
  <c r="B288" i="3"/>
  <c r="A288" i="3"/>
  <c r="AC287" i="3"/>
  <c r="AB287" i="3"/>
  <c r="AA287" i="3"/>
  <c r="Z287" i="3"/>
  <c r="T287" i="3"/>
  <c r="S287" i="3"/>
  <c r="U287" i="3" s="1"/>
  <c r="V287" i="3" s="1"/>
  <c r="R287" i="3"/>
  <c r="P287" i="3"/>
  <c r="O287" i="3"/>
  <c r="N287" i="3"/>
  <c r="M287" i="3"/>
  <c r="K287" i="3"/>
  <c r="L287" i="3" s="1"/>
  <c r="I287" i="3"/>
  <c r="H287" i="3"/>
  <c r="J287" i="3" s="1"/>
  <c r="D287" i="3"/>
  <c r="F287" i="3" s="1"/>
  <c r="X287" i="3" s="1"/>
  <c r="C287" i="3"/>
  <c r="E287" i="3" s="1"/>
  <c r="W287" i="3" s="1"/>
  <c r="B287" i="3"/>
  <c r="A287" i="3"/>
  <c r="AC286" i="3"/>
  <c r="AB286" i="3"/>
  <c r="AA286" i="3"/>
  <c r="Z286" i="3"/>
  <c r="X286" i="3"/>
  <c r="U286" i="3"/>
  <c r="V286" i="3" s="1"/>
  <c r="T286" i="3"/>
  <c r="S286" i="3"/>
  <c r="R286" i="3"/>
  <c r="P286" i="3"/>
  <c r="N286" i="3"/>
  <c r="M286" i="3"/>
  <c r="O286" i="3" s="1"/>
  <c r="Q286" i="3" s="1"/>
  <c r="I286" i="3"/>
  <c r="K286" i="3" s="1"/>
  <c r="L286" i="3" s="1"/>
  <c r="H286" i="3"/>
  <c r="J286" i="3" s="1"/>
  <c r="E286" i="3"/>
  <c r="W286" i="3" s="1"/>
  <c r="D286" i="3"/>
  <c r="F286" i="3" s="1"/>
  <c r="C286" i="3"/>
  <c r="B286" i="3"/>
  <c r="A286" i="3"/>
  <c r="AC285" i="3"/>
  <c r="AB285" i="3"/>
  <c r="AA285" i="3"/>
  <c r="Z285" i="3"/>
  <c r="U285" i="3"/>
  <c r="V285" i="3" s="1"/>
  <c r="S285" i="3"/>
  <c r="R285" i="3"/>
  <c r="T285" i="3" s="1"/>
  <c r="N285" i="3"/>
  <c r="P285" i="3" s="1"/>
  <c r="Q285" i="3" s="1"/>
  <c r="M285" i="3"/>
  <c r="O285" i="3" s="1"/>
  <c r="J285" i="3"/>
  <c r="I285" i="3"/>
  <c r="K285" i="3" s="1"/>
  <c r="H285" i="3"/>
  <c r="F285" i="3"/>
  <c r="E285" i="3"/>
  <c r="D285" i="3"/>
  <c r="C285" i="3"/>
  <c r="B285" i="3"/>
  <c r="A285" i="3"/>
  <c r="AC284" i="3"/>
  <c r="AB284" i="3"/>
  <c r="AA284" i="3"/>
  <c r="Z284" i="3"/>
  <c r="S284" i="3"/>
  <c r="U284" i="3" s="1"/>
  <c r="V284" i="3" s="1"/>
  <c r="R284" i="3"/>
  <c r="T284" i="3" s="1"/>
  <c r="O284" i="3"/>
  <c r="N284" i="3"/>
  <c r="P284" i="3" s="1"/>
  <c r="Q284" i="3" s="1"/>
  <c r="M284" i="3"/>
  <c r="K284" i="3"/>
  <c r="L284" i="3" s="1"/>
  <c r="J284" i="3"/>
  <c r="I284" i="3"/>
  <c r="H284" i="3"/>
  <c r="F284" i="3"/>
  <c r="D284" i="3"/>
  <c r="C284" i="3"/>
  <c r="E284" i="3" s="1"/>
  <c r="B284" i="3"/>
  <c r="A284" i="3"/>
  <c r="AC283" i="3"/>
  <c r="AB283" i="3"/>
  <c r="AA283" i="3"/>
  <c r="Z283" i="3"/>
  <c r="W283" i="3"/>
  <c r="T283" i="3"/>
  <c r="S283" i="3"/>
  <c r="U283" i="3" s="1"/>
  <c r="R283" i="3"/>
  <c r="P283" i="3"/>
  <c r="O283" i="3"/>
  <c r="N283" i="3"/>
  <c r="M283" i="3"/>
  <c r="L283" i="3"/>
  <c r="K283" i="3"/>
  <c r="I283" i="3"/>
  <c r="H283" i="3"/>
  <c r="J283" i="3" s="1"/>
  <c r="G283" i="3"/>
  <c r="D283" i="3"/>
  <c r="F283" i="3" s="1"/>
  <c r="C283" i="3"/>
  <c r="E283" i="3" s="1"/>
  <c r="B283" i="3"/>
  <c r="A283" i="3"/>
  <c r="AC282" i="3"/>
  <c r="AB282" i="3"/>
  <c r="AA282" i="3"/>
  <c r="Z282" i="3"/>
  <c r="U282" i="3"/>
  <c r="T282" i="3"/>
  <c r="S282" i="3"/>
  <c r="R282" i="3"/>
  <c r="P282" i="3"/>
  <c r="Q282" i="3" s="1"/>
  <c r="N282" i="3"/>
  <c r="M282" i="3"/>
  <c r="O282" i="3" s="1"/>
  <c r="I282" i="3"/>
  <c r="K282" i="3" s="1"/>
  <c r="L282" i="3" s="1"/>
  <c r="H282" i="3"/>
  <c r="J282" i="3" s="1"/>
  <c r="E282" i="3"/>
  <c r="D282" i="3"/>
  <c r="F282" i="3" s="1"/>
  <c r="G282" i="3" s="1"/>
  <c r="C282" i="3"/>
  <c r="B282" i="3"/>
  <c r="A282" i="3"/>
  <c r="AC281" i="3"/>
  <c r="AB281" i="3"/>
  <c r="AA281" i="3"/>
  <c r="Z281" i="3"/>
  <c r="V281" i="3"/>
  <c r="U281" i="3"/>
  <c r="S281" i="3"/>
  <c r="R281" i="3"/>
  <c r="T281" i="3" s="1"/>
  <c r="Q281" i="3"/>
  <c r="N281" i="3"/>
  <c r="P281" i="3" s="1"/>
  <c r="M281" i="3"/>
  <c r="O281" i="3" s="1"/>
  <c r="J281" i="3"/>
  <c r="I281" i="3"/>
  <c r="K281" i="3" s="1"/>
  <c r="L281" i="3" s="1"/>
  <c r="H281" i="3"/>
  <c r="F281" i="3"/>
  <c r="E281" i="3"/>
  <c r="W281" i="3" s="1"/>
  <c r="D281" i="3"/>
  <c r="C281" i="3"/>
  <c r="B281" i="3"/>
  <c r="A281" i="3"/>
  <c r="AC280" i="3"/>
  <c r="AB280" i="3"/>
  <c r="AA280" i="3"/>
  <c r="Z280" i="3"/>
  <c r="S280" i="3"/>
  <c r="U280" i="3" s="1"/>
  <c r="V280" i="3" s="1"/>
  <c r="R280" i="3"/>
  <c r="T280" i="3" s="1"/>
  <c r="O280" i="3"/>
  <c r="N280" i="3"/>
  <c r="P280" i="3" s="1"/>
  <c r="M280" i="3"/>
  <c r="K280" i="3"/>
  <c r="J280" i="3"/>
  <c r="W280" i="3" s="1"/>
  <c r="I280" i="3"/>
  <c r="H280" i="3"/>
  <c r="F280" i="3"/>
  <c r="D280" i="3"/>
  <c r="C280" i="3"/>
  <c r="E280" i="3" s="1"/>
  <c r="B280" i="3"/>
  <c r="A280" i="3"/>
  <c r="AC279" i="3"/>
  <c r="AB279" i="3"/>
  <c r="AA279" i="3"/>
  <c r="Z279" i="3"/>
  <c r="T279" i="3"/>
  <c r="S279" i="3"/>
  <c r="U279" i="3" s="1"/>
  <c r="V279" i="3" s="1"/>
  <c r="R279" i="3"/>
  <c r="P279" i="3"/>
  <c r="O279" i="3"/>
  <c r="N279" i="3"/>
  <c r="M279" i="3"/>
  <c r="K279" i="3"/>
  <c r="L279" i="3" s="1"/>
  <c r="I279" i="3"/>
  <c r="H279" i="3"/>
  <c r="J279" i="3" s="1"/>
  <c r="D279" i="3"/>
  <c r="F279" i="3" s="1"/>
  <c r="C279" i="3"/>
  <c r="E279" i="3" s="1"/>
  <c r="W279" i="3" s="1"/>
  <c r="B279" i="3"/>
  <c r="A279" i="3"/>
  <c r="AC278" i="3"/>
  <c r="AB278" i="3"/>
  <c r="AA278" i="3"/>
  <c r="Z278" i="3"/>
  <c r="X278" i="3"/>
  <c r="U278" i="3"/>
  <c r="V278" i="3" s="1"/>
  <c r="T278" i="3"/>
  <c r="S278" i="3"/>
  <c r="R278" i="3"/>
  <c r="P278" i="3"/>
  <c r="N278" i="3"/>
  <c r="M278" i="3"/>
  <c r="O278" i="3" s="1"/>
  <c r="Q278" i="3" s="1"/>
  <c r="I278" i="3"/>
  <c r="K278" i="3" s="1"/>
  <c r="L278" i="3" s="1"/>
  <c r="H278" i="3"/>
  <c r="J278" i="3" s="1"/>
  <c r="E278" i="3"/>
  <c r="W278" i="3" s="1"/>
  <c r="D278" i="3"/>
  <c r="F278" i="3" s="1"/>
  <c r="C278" i="3"/>
  <c r="B278" i="3"/>
  <c r="A278" i="3"/>
  <c r="AC277" i="3"/>
  <c r="AB277" i="3"/>
  <c r="AA277" i="3"/>
  <c r="Z277" i="3"/>
  <c r="U277" i="3"/>
  <c r="V277" i="3" s="1"/>
  <c r="S277" i="3"/>
  <c r="R277" i="3"/>
  <c r="T277" i="3" s="1"/>
  <c r="N277" i="3"/>
  <c r="P277" i="3" s="1"/>
  <c r="Q277" i="3" s="1"/>
  <c r="M277" i="3"/>
  <c r="O277" i="3" s="1"/>
  <c r="J277" i="3"/>
  <c r="I277" i="3"/>
  <c r="K277" i="3" s="1"/>
  <c r="H277" i="3"/>
  <c r="F277" i="3"/>
  <c r="E277" i="3"/>
  <c r="D277" i="3"/>
  <c r="C277" i="3"/>
  <c r="B277" i="3"/>
  <c r="A277" i="3"/>
  <c r="AC276" i="3"/>
  <c r="AB276" i="3"/>
  <c r="AA276" i="3"/>
  <c r="Z276" i="3"/>
  <c r="S276" i="3"/>
  <c r="U276" i="3" s="1"/>
  <c r="V276" i="3" s="1"/>
  <c r="R276" i="3"/>
  <c r="T276" i="3" s="1"/>
  <c r="O276" i="3"/>
  <c r="N276" i="3"/>
  <c r="P276" i="3" s="1"/>
  <c r="Q276" i="3" s="1"/>
  <c r="M276" i="3"/>
  <c r="K276" i="3"/>
  <c r="L276" i="3" s="1"/>
  <c r="J276" i="3"/>
  <c r="I276" i="3"/>
  <c r="H276" i="3"/>
  <c r="F276" i="3"/>
  <c r="D276" i="3"/>
  <c r="C276" i="3"/>
  <c r="E276" i="3" s="1"/>
  <c r="B276" i="3"/>
  <c r="A276" i="3"/>
  <c r="AC275" i="3"/>
  <c r="AB275" i="3"/>
  <c r="AA275" i="3"/>
  <c r="Z275" i="3"/>
  <c r="W275" i="3"/>
  <c r="T275" i="3"/>
  <c r="S275" i="3"/>
  <c r="U275" i="3" s="1"/>
  <c r="R275" i="3"/>
  <c r="P275" i="3"/>
  <c r="O275" i="3"/>
  <c r="N275" i="3"/>
  <c r="M275" i="3"/>
  <c r="L275" i="3"/>
  <c r="K275" i="3"/>
  <c r="I275" i="3"/>
  <c r="H275" i="3"/>
  <c r="J275" i="3" s="1"/>
  <c r="G275" i="3"/>
  <c r="D275" i="3"/>
  <c r="F275" i="3" s="1"/>
  <c r="C275" i="3"/>
  <c r="E275" i="3" s="1"/>
  <c r="B275" i="3"/>
  <c r="A275" i="3"/>
  <c r="AC274" i="3"/>
  <c r="AB274" i="3"/>
  <c r="AA274" i="3"/>
  <c r="Z274" i="3"/>
  <c r="U274" i="3"/>
  <c r="T274" i="3"/>
  <c r="S274" i="3"/>
  <c r="R274" i="3"/>
  <c r="P274" i="3"/>
  <c r="Q274" i="3" s="1"/>
  <c r="N274" i="3"/>
  <c r="M274" i="3"/>
  <c r="O274" i="3" s="1"/>
  <c r="I274" i="3"/>
  <c r="K274" i="3" s="1"/>
  <c r="L274" i="3" s="1"/>
  <c r="H274" i="3"/>
  <c r="J274" i="3" s="1"/>
  <c r="E274" i="3"/>
  <c r="D274" i="3"/>
  <c r="F274" i="3" s="1"/>
  <c r="G274" i="3" s="1"/>
  <c r="C274" i="3"/>
  <c r="B274" i="3"/>
  <c r="A274" i="3"/>
  <c r="AC273" i="3"/>
  <c r="AB273" i="3"/>
  <c r="AA273" i="3"/>
  <c r="Z273" i="3"/>
  <c r="V273" i="3"/>
  <c r="U273" i="3"/>
  <c r="S273" i="3"/>
  <c r="R273" i="3"/>
  <c r="T273" i="3" s="1"/>
  <c r="Q273" i="3"/>
  <c r="N273" i="3"/>
  <c r="P273" i="3" s="1"/>
  <c r="M273" i="3"/>
  <c r="O273" i="3" s="1"/>
  <c r="J273" i="3"/>
  <c r="I273" i="3"/>
  <c r="K273" i="3" s="1"/>
  <c r="L273" i="3" s="1"/>
  <c r="H273" i="3"/>
  <c r="F273" i="3"/>
  <c r="E273" i="3"/>
  <c r="W273" i="3" s="1"/>
  <c r="D273" i="3"/>
  <c r="C273" i="3"/>
  <c r="B273" i="3"/>
  <c r="A273" i="3"/>
  <c r="AC272" i="3"/>
  <c r="AB272" i="3"/>
  <c r="AA272" i="3"/>
  <c r="Z272" i="3"/>
  <c r="W272" i="3"/>
  <c r="S272" i="3"/>
  <c r="U272" i="3" s="1"/>
  <c r="V272" i="3" s="1"/>
  <c r="R272" i="3"/>
  <c r="T272" i="3" s="1"/>
  <c r="O272" i="3"/>
  <c r="N272" i="3"/>
  <c r="P272" i="3" s="1"/>
  <c r="M272" i="3"/>
  <c r="K272" i="3"/>
  <c r="J272" i="3"/>
  <c r="I272" i="3"/>
  <c r="H272" i="3"/>
  <c r="F272" i="3"/>
  <c r="D272" i="3"/>
  <c r="C272" i="3"/>
  <c r="E272" i="3" s="1"/>
  <c r="B272" i="3"/>
  <c r="A272" i="3"/>
  <c r="AC271" i="3"/>
  <c r="AB271" i="3"/>
  <c r="AA271" i="3"/>
  <c r="Z271" i="3"/>
  <c r="T271" i="3"/>
  <c r="S271" i="3"/>
  <c r="U271" i="3" s="1"/>
  <c r="V271" i="3" s="1"/>
  <c r="R271" i="3"/>
  <c r="P271" i="3"/>
  <c r="O271" i="3"/>
  <c r="N271" i="3"/>
  <c r="M271" i="3"/>
  <c r="K271" i="3"/>
  <c r="L271" i="3" s="1"/>
  <c r="I271" i="3"/>
  <c r="H271" i="3"/>
  <c r="J271" i="3" s="1"/>
  <c r="D271" i="3"/>
  <c r="F271" i="3" s="1"/>
  <c r="C271" i="3"/>
  <c r="E271" i="3" s="1"/>
  <c r="W271" i="3" s="1"/>
  <c r="B271" i="3"/>
  <c r="A271" i="3"/>
  <c r="AC270" i="3"/>
  <c r="AB270" i="3"/>
  <c r="AA270" i="3"/>
  <c r="Z270" i="3"/>
  <c r="X270" i="3"/>
  <c r="U270" i="3"/>
  <c r="T270" i="3"/>
  <c r="S270" i="3"/>
  <c r="R270" i="3"/>
  <c r="P270" i="3"/>
  <c r="N270" i="3"/>
  <c r="M270" i="3"/>
  <c r="O270" i="3" s="1"/>
  <c r="I270" i="3"/>
  <c r="K270" i="3" s="1"/>
  <c r="L270" i="3" s="1"/>
  <c r="H270" i="3"/>
  <c r="J270" i="3" s="1"/>
  <c r="E270" i="3"/>
  <c r="D270" i="3"/>
  <c r="F270" i="3" s="1"/>
  <c r="C270" i="3"/>
  <c r="B270" i="3"/>
  <c r="A270" i="3"/>
  <c r="AC269" i="3"/>
  <c r="AB269" i="3"/>
  <c r="AA269" i="3"/>
  <c r="Z269" i="3"/>
  <c r="U269" i="3"/>
  <c r="V269" i="3" s="1"/>
  <c r="S269" i="3"/>
  <c r="R269" i="3"/>
  <c r="T269" i="3" s="1"/>
  <c r="N269" i="3"/>
  <c r="P269" i="3" s="1"/>
  <c r="M269" i="3"/>
  <c r="O269" i="3" s="1"/>
  <c r="J269" i="3"/>
  <c r="I269" i="3"/>
  <c r="K269" i="3" s="1"/>
  <c r="L269" i="3" s="1"/>
  <c r="H269" i="3"/>
  <c r="F269" i="3"/>
  <c r="E269" i="3"/>
  <c r="D269" i="3"/>
  <c r="C269" i="3"/>
  <c r="B269" i="3"/>
  <c r="A269" i="3"/>
  <c r="AC268" i="3"/>
  <c r="AB268" i="3"/>
  <c r="AA268" i="3"/>
  <c r="Z268" i="3"/>
  <c r="S268" i="3"/>
  <c r="U268" i="3" s="1"/>
  <c r="V268" i="3" s="1"/>
  <c r="R268" i="3"/>
  <c r="T268" i="3" s="1"/>
  <c r="O268" i="3"/>
  <c r="N268" i="3"/>
  <c r="P268" i="3" s="1"/>
  <c r="Q268" i="3" s="1"/>
  <c r="M268" i="3"/>
  <c r="K268" i="3"/>
  <c r="L268" i="3" s="1"/>
  <c r="J268" i="3"/>
  <c r="I268" i="3"/>
  <c r="H268" i="3"/>
  <c r="F268" i="3"/>
  <c r="D268" i="3"/>
  <c r="C268" i="3"/>
  <c r="E268" i="3" s="1"/>
  <c r="B268" i="3"/>
  <c r="A268" i="3"/>
  <c r="AC267" i="3"/>
  <c r="AB267" i="3"/>
  <c r="AA267" i="3"/>
  <c r="Z267" i="3"/>
  <c r="W267" i="3"/>
  <c r="T267" i="3"/>
  <c r="S267" i="3"/>
  <c r="U267" i="3" s="1"/>
  <c r="R267" i="3"/>
  <c r="P267" i="3"/>
  <c r="O267" i="3"/>
  <c r="N267" i="3"/>
  <c r="M267" i="3"/>
  <c r="L267" i="3"/>
  <c r="K267" i="3"/>
  <c r="I267" i="3"/>
  <c r="H267" i="3"/>
  <c r="J267" i="3" s="1"/>
  <c r="G267" i="3"/>
  <c r="D267" i="3"/>
  <c r="F267" i="3" s="1"/>
  <c r="C267" i="3"/>
  <c r="E267" i="3" s="1"/>
  <c r="B267" i="3"/>
  <c r="A267" i="3"/>
  <c r="AC266" i="3"/>
  <c r="AB266" i="3"/>
  <c r="AA266" i="3"/>
  <c r="Z266" i="3"/>
  <c r="U266" i="3"/>
  <c r="T266" i="3"/>
  <c r="S266" i="3"/>
  <c r="R266" i="3"/>
  <c r="P266" i="3"/>
  <c r="Q266" i="3" s="1"/>
  <c r="N266" i="3"/>
  <c r="M266" i="3"/>
  <c r="O266" i="3" s="1"/>
  <c r="I266" i="3"/>
  <c r="K266" i="3" s="1"/>
  <c r="L266" i="3" s="1"/>
  <c r="H266" i="3"/>
  <c r="J266" i="3" s="1"/>
  <c r="E266" i="3"/>
  <c r="D266" i="3"/>
  <c r="F266" i="3" s="1"/>
  <c r="G266" i="3" s="1"/>
  <c r="C266" i="3"/>
  <c r="B266" i="3"/>
  <c r="A266" i="3"/>
  <c r="AC265" i="3"/>
  <c r="AB265" i="3"/>
  <c r="AA265" i="3"/>
  <c r="Z265" i="3"/>
  <c r="V265" i="3"/>
  <c r="U265" i="3"/>
  <c r="S265" i="3"/>
  <c r="R265" i="3"/>
  <c r="T265" i="3" s="1"/>
  <c r="Q265" i="3"/>
  <c r="N265" i="3"/>
  <c r="P265" i="3" s="1"/>
  <c r="M265" i="3"/>
  <c r="O265" i="3" s="1"/>
  <c r="J265" i="3"/>
  <c r="I265" i="3"/>
  <c r="K265" i="3" s="1"/>
  <c r="L265" i="3" s="1"/>
  <c r="H265" i="3"/>
  <c r="F265" i="3"/>
  <c r="E265" i="3"/>
  <c r="W265" i="3" s="1"/>
  <c r="D265" i="3"/>
  <c r="C265" i="3"/>
  <c r="B265" i="3"/>
  <c r="A265" i="3"/>
  <c r="AC264" i="3"/>
  <c r="AB264" i="3"/>
  <c r="AA264" i="3"/>
  <c r="Z264" i="3"/>
  <c r="S264" i="3"/>
  <c r="U264" i="3" s="1"/>
  <c r="V264" i="3" s="1"/>
  <c r="R264" i="3"/>
  <c r="T264" i="3" s="1"/>
  <c r="O264" i="3"/>
  <c r="N264" i="3"/>
  <c r="P264" i="3" s="1"/>
  <c r="M264" i="3"/>
  <c r="K264" i="3"/>
  <c r="J264" i="3"/>
  <c r="W264" i="3" s="1"/>
  <c r="I264" i="3"/>
  <c r="H264" i="3"/>
  <c r="F264" i="3"/>
  <c r="D264" i="3"/>
  <c r="C264" i="3"/>
  <c r="E264" i="3" s="1"/>
  <c r="B264" i="3"/>
  <c r="A264" i="3"/>
  <c r="AC263" i="3"/>
  <c r="AB263" i="3"/>
  <c r="AA263" i="3"/>
  <c r="Z263" i="3"/>
  <c r="T263" i="3"/>
  <c r="S263" i="3"/>
  <c r="U263" i="3" s="1"/>
  <c r="V263" i="3" s="1"/>
  <c r="R263" i="3"/>
  <c r="P263" i="3"/>
  <c r="O263" i="3"/>
  <c r="N263" i="3"/>
  <c r="M263" i="3"/>
  <c r="K263" i="3"/>
  <c r="L263" i="3" s="1"/>
  <c r="I263" i="3"/>
  <c r="H263" i="3"/>
  <c r="J263" i="3" s="1"/>
  <c r="D263" i="3"/>
  <c r="F263" i="3" s="1"/>
  <c r="X263" i="3" s="1"/>
  <c r="Y263" i="3" s="1"/>
  <c r="C263" i="3"/>
  <c r="E263" i="3" s="1"/>
  <c r="W263" i="3" s="1"/>
  <c r="B263" i="3"/>
  <c r="A263" i="3"/>
  <c r="AC262" i="3"/>
  <c r="AB262" i="3"/>
  <c r="AA262" i="3"/>
  <c r="Z262" i="3"/>
  <c r="X262" i="3"/>
  <c r="Y262" i="3" s="1"/>
  <c r="U262" i="3"/>
  <c r="T262" i="3"/>
  <c r="S262" i="3"/>
  <c r="R262" i="3"/>
  <c r="P262" i="3"/>
  <c r="Q262" i="3" s="1"/>
  <c r="N262" i="3"/>
  <c r="M262" i="3"/>
  <c r="O262" i="3" s="1"/>
  <c r="I262" i="3"/>
  <c r="K262" i="3" s="1"/>
  <c r="L262" i="3" s="1"/>
  <c r="H262" i="3"/>
  <c r="J262" i="3" s="1"/>
  <c r="E262" i="3"/>
  <c r="W262" i="3" s="1"/>
  <c r="D262" i="3"/>
  <c r="F262" i="3" s="1"/>
  <c r="C262" i="3"/>
  <c r="B262" i="3"/>
  <c r="A262" i="3"/>
  <c r="AC261" i="3"/>
  <c r="AB261" i="3"/>
  <c r="AA261" i="3"/>
  <c r="Z261" i="3"/>
  <c r="U261" i="3"/>
  <c r="V261" i="3" s="1"/>
  <c r="S261" i="3"/>
  <c r="R261" i="3"/>
  <c r="T261" i="3" s="1"/>
  <c r="N261" i="3"/>
  <c r="P261" i="3" s="1"/>
  <c r="Q261" i="3" s="1"/>
  <c r="M261" i="3"/>
  <c r="O261" i="3" s="1"/>
  <c r="J261" i="3"/>
  <c r="I261" i="3"/>
  <c r="K261" i="3" s="1"/>
  <c r="L261" i="3" s="1"/>
  <c r="H261" i="3"/>
  <c r="F261" i="3"/>
  <c r="E261" i="3"/>
  <c r="D261" i="3"/>
  <c r="C261" i="3"/>
  <c r="B261" i="3"/>
  <c r="A261" i="3"/>
  <c r="AC260" i="3"/>
  <c r="AB260" i="3"/>
  <c r="AA260" i="3"/>
  <c r="Z260" i="3"/>
  <c r="S260" i="3"/>
  <c r="U260" i="3" s="1"/>
  <c r="V260" i="3" s="1"/>
  <c r="R260" i="3"/>
  <c r="T260" i="3" s="1"/>
  <c r="O260" i="3"/>
  <c r="N260" i="3"/>
  <c r="P260" i="3" s="1"/>
  <c r="Q260" i="3" s="1"/>
  <c r="M260" i="3"/>
  <c r="K260" i="3"/>
  <c r="L260" i="3" s="1"/>
  <c r="J260" i="3"/>
  <c r="I260" i="3"/>
  <c r="H260" i="3"/>
  <c r="F260" i="3"/>
  <c r="D260" i="3"/>
  <c r="C260" i="3"/>
  <c r="E260" i="3" s="1"/>
  <c r="B260" i="3"/>
  <c r="A260" i="3"/>
  <c r="AC259" i="3"/>
  <c r="AB259" i="3"/>
  <c r="AA259" i="3"/>
  <c r="Z259" i="3"/>
  <c r="W259" i="3"/>
  <c r="T259" i="3"/>
  <c r="S259" i="3"/>
  <c r="U259" i="3" s="1"/>
  <c r="R259" i="3"/>
  <c r="P259" i="3"/>
  <c r="O259" i="3"/>
  <c r="N259" i="3"/>
  <c r="M259" i="3"/>
  <c r="L259" i="3"/>
  <c r="K259" i="3"/>
  <c r="I259" i="3"/>
  <c r="H259" i="3"/>
  <c r="J259" i="3" s="1"/>
  <c r="G259" i="3"/>
  <c r="D259" i="3"/>
  <c r="F259" i="3" s="1"/>
  <c r="C259" i="3"/>
  <c r="E259" i="3" s="1"/>
  <c r="B259" i="3"/>
  <c r="A259" i="3"/>
  <c r="AC258" i="3"/>
  <c r="AB258" i="3"/>
  <c r="AA258" i="3"/>
  <c r="Z258" i="3"/>
  <c r="U258" i="3"/>
  <c r="T258" i="3"/>
  <c r="S258" i="3"/>
  <c r="R258" i="3"/>
  <c r="P258" i="3"/>
  <c r="Q258" i="3" s="1"/>
  <c r="N258" i="3"/>
  <c r="M258" i="3"/>
  <c r="O258" i="3" s="1"/>
  <c r="I258" i="3"/>
  <c r="K258" i="3" s="1"/>
  <c r="L258" i="3" s="1"/>
  <c r="H258" i="3"/>
  <c r="J258" i="3" s="1"/>
  <c r="E258" i="3"/>
  <c r="D258" i="3"/>
  <c r="F258" i="3" s="1"/>
  <c r="G258" i="3" s="1"/>
  <c r="C258" i="3"/>
  <c r="B258" i="3"/>
  <c r="A258" i="3"/>
  <c r="AC257" i="3"/>
  <c r="AB257" i="3"/>
  <c r="AA257" i="3"/>
  <c r="Z257" i="3"/>
  <c r="V257" i="3"/>
  <c r="U257" i="3"/>
  <c r="S257" i="3"/>
  <c r="R257" i="3"/>
  <c r="T257" i="3" s="1"/>
  <c r="Q257" i="3"/>
  <c r="N257" i="3"/>
  <c r="P257" i="3" s="1"/>
  <c r="M257" i="3"/>
  <c r="O257" i="3" s="1"/>
  <c r="J257" i="3"/>
  <c r="I257" i="3"/>
  <c r="K257" i="3" s="1"/>
  <c r="L257" i="3" s="1"/>
  <c r="H257" i="3"/>
  <c r="F257" i="3"/>
  <c r="E257" i="3"/>
  <c r="W257" i="3" s="1"/>
  <c r="D257" i="3"/>
  <c r="C257" i="3"/>
  <c r="B257" i="3"/>
  <c r="A257" i="3"/>
  <c r="AC256" i="3"/>
  <c r="AB256" i="3"/>
  <c r="AA256" i="3"/>
  <c r="Z256" i="3"/>
  <c r="S256" i="3"/>
  <c r="U256" i="3" s="1"/>
  <c r="V256" i="3" s="1"/>
  <c r="R256" i="3"/>
  <c r="T256" i="3" s="1"/>
  <c r="O256" i="3"/>
  <c r="N256" i="3"/>
  <c r="P256" i="3" s="1"/>
  <c r="M256" i="3"/>
  <c r="K256" i="3"/>
  <c r="J256" i="3"/>
  <c r="W256" i="3" s="1"/>
  <c r="I256" i="3"/>
  <c r="H256" i="3"/>
  <c r="F256" i="3"/>
  <c r="D256" i="3"/>
  <c r="C256" i="3"/>
  <c r="E256" i="3" s="1"/>
  <c r="B256" i="3"/>
  <c r="A256" i="3"/>
  <c r="AC255" i="3"/>
  <c r="AB255" i="3"/>
  <c r="AA255" i="3"/>
  <c r="Z255" i="3"/>
  <c r="T255" i="3"/>
  <c r="S255" i="3"/>
  <c r="U255" i="3" s="1"/>
  <c r="V255" i="3" s="1"/>
  <c r="R255" i="3"/>
  <c r="P255" i="3"/>
  <c r="O255" i="3"/>
  <c r="N255" i="3"/>
  <c r="M255" i="3"/>
  <c r="K255" i="3"/>
  <c r="L255" i="3" s="1"/>
  <c r="I255" i="3"/>
  <c r="H255" i="3"/>
  <c r="J255" i="3" s="1"/>
  <c r="D255" i="3"/>
  <c r="F255" i="3" s="1"/>
  <c r="C255" i="3"/>
  <c r="E255" i="3" s="1"/>
  <c r="W255" i="3" s="1"/>
  <c r="B255" i="3"/>
  <c r="A255" i="3"/>
  <c r="AC254" i="3"/>
  <c r="AB254" i="3"/>
  <c r="AA254" i="3"/>
  <c r="Z254" i="3"/>
  <c r="U254" i="3"/>
  <c r="T254" i="3"/>
  <c r="S254" i="3"/>
  <c r="R254" i="3"/>
  <c r="P254" i="3"/>
  <c r="Q254" i="3" s="1"/>
  <c r="O254" i="3"/>
  <c r="N254" i="3"/>
  <c r="M254" i="3"/>
  <c r="I254" i="3"/>
  <c r="K254" i="3" s="1"/>
  <c r="L254" i="3" s="1"/>
  <c r="H254" i="3"/>
  <c r="J254" i="3" s="1"/>
  <c r="E254" i="3"/>
  <c r="W254" i="3" s="1"/>
  <c r="D254" i="3"/>
  <c r="F254" i="3" s="1"/>
  <c r="G254" i="3" s="1"/>
  <c r="C254" i="3"/>
  <c r="B254" i="3"/>
  <c r="A254" i="3"/>
  <c r="AC253" i="3"/>
  <c r="AB253" i="3"/>
  <c r="AA253" i="3"/>
  <c r="Z253" i="3"/>
  <c r="U253" i="3"/>
  <c r="V253" i="3" s="1"/>
  <c r="S253" i="3"/>
  <c r="R253" i="3"/>
  <c r="T253" i="3" s="1"/>
  <c r="N253" i="3"/>
  <c r="P253" i="3" s="1"/>
  <c r="Q253" i="3" s="1"/>
  <c r="M253" i="3"/>
  <c r="O253" i="3" s="1"/>
  <c r="J253" i="3"/>
  <c r="I253" i="3"/>
  <c r="K253" i="3" s="1"/>
  <c r="L253" i="3" s="1"/>
  <c r="H253" i="3"/>
  <c r="F253" i="3"/>
  <c r="E253" i="3"/>
  <c r="D253" i="3"/>
  <c r="C253" i="3"/>
  <c r="B253" i="3"/>
  <c r="A253" i="3"/>
  <c r="AC252" i="3"/>
  <c r="AB252" i="3"/>
  <c r="AA252" i="3"/>
  <c r="Z252" i="3"/>
  <c r="S252" i="3"/>
  <c r="U252" i="3" s="1"/>
  <c r="V252" i="3" s="1"/>
  <c r="R252" i="3"/>
  <c r="T252" i="3" s="1"/>
  <c r="O252" i="3"/>
  <c r="N252" i="3"/>
  <c r="P252" i="3" s="1"/>
  <c r="Q252" i="3" s="1"/>
  <c r="M252" i="3"/>
  <c r="K252" i="3"/>
  <c r="L252" i="3" s="1"/>
  <c r="J252" i="3"/>
  <c r="I252" i="3"/>
  <c r="H252" i="3"/>
  <c r="F252" i="3"/>
  <c r="D252" i="3"/>
  <c r="C252" i="3"/>
  <c r="E252" i="3" s="1"/>
  <c r="B252" i="3"/>
  <c r="A252" i="3"/>
  <c r="AC251" i="3"/>
  <c r="AB251" i="3"/>
  <c r="AA251" i="3"/>
  <c r="Z251" i="3"/>
  <c r="T251" i="3"/>
  <c r="S251" i="3"/>
  <c r="U251" i="3" s="1"/>
  <c r="V251" i="3" s="1"/>
  <c r="R251" i="3"/>
  <c r="P251" i="3"/>
  <c r="O251" i="3"/>
  <c r="N251" i="3"/>
  <c r="M251" i="3"/>
  <c r="K251" i="3"/>
  <c r="I251" i="3"/>
  <c r="H251" i="3"/>
  <c r="J251" i="3" s="1"/>
  <c r="G251" i="3"/>
  <c r="D251" i="3"/>
  <c r="F251" i="3" s="1"/>
  <c r="C251" i="3"/>
  <c r="E251" i="3" s="1"/>
  <c r="W251" i="3" s="1"/>
  <c r="B251" i="3"/>
  <c r="A251" i="3"/>
  <c r="AC250" i="3"/>
  <c r="AB250" i="3"/>
  <c r="AA250" i="3"/>
  <c r="Z250" i="3"/>
  <c r="U250" i="3"/>
  <c r="T250" i="3"/>
  <c r="S250" i="3"/>
  <c r="R250" i="3"/>
  <c r="P250" i="3"/>
  <c r="N250" i="3"/>
  <c r="M250" i="3"/>
  <c r="O250" i="3" s="1"/>
  <c r="I250" i="3"/>
  <c r="K250" i="3" s="1"/>
  <c r="L250" i="3" s="1"/>
  <c r="H250" i="3"/>
  <c r="J250" i="3" s="1"/>
  <c r="E250" i="3"/>
  <c r="D250" i="3"/>
  <c r="F250" i="3" s="1"/>
  <c r="G250" i="3" s="1"/>
  <c r="C250" i="3"/>
  <c r="B250" i="3"/>
  <c r="A250" i="3"/>
  <c r="AC249" i="3"/>
  <c r="AB249" i="3"/>
  <c r="AA249" i="3"/>
  <c r="Z249" i="3"/>
  <c r="U249" i="3"/>
  <c r="S249" i="3"/>
  <c r="R249" i="3"/>
  <c r="T249" i="3" s="1"/>
  <c r="N249" i="3"/>
  <c r="P249" i="3" s="1"/>
  <c r="Q249" i="3" s="1"/>
  <c r="M249" i="3"/>
  <c r="O249" i="3" s="1"/>
  <c r="J249" i="3"/>
  <c r="I249" i="3"/>
  <c r="K249" i="3" s="1"/>
  <c r="L249" i="3" s="1"/>
  <c r="H249" i="3"/>
  <c r="F249" i="3"/>
  <c r="X249" i="3" s="1"/>
  <c r="E249" i="3"/>
  <c r="D249" i="3"/>
  <c r="C249" i="3"/>
  <c r="B249" i="3"/>
  <c r="A249" i="3"/>
  <c r="AC248" i="3"/>
  <c r="AB248" i="3"/>
  <c r="AA248" i="3"/>
  <c r="Z248" i="3"/>
  <c r="S248" i="3"/>
  <c r="U248" i="3" s="1"/>
  <c r="V248" i="3" s="1"/>
  <c r="R248" i="3"/>
  <c r="T248" i="3" s="1"/>
  <c r="O248" i="3"/>
  <c r="N248" i="3"/>
  <c r="P248" i="3" s="1"/>
  <c r="Q248" i="3" s="1"/>
  <c r="M248" i="3"/>
  <c r="K248" i="3"/>
  <c r="L248" i="3" s="1"/>
  <c r="J248" i="3"/>
  <c r="I248" i="3"/>
  <c r="H248" i="3"/>
  <c r="F248" i="3"/>
  <c r="D248" i="3"/>
  <c r="C248" i="3"/>
  <c r="E248" i="3" s="1"/>
  <c r="B248" i="3"/>
  <c r="A248" i="3"/>
  <c r="AC247" i="3"/>
  <c r="AB247" i="3"/>
  <c r="AA247" i="3"/>
  <c r="Z247" i="3"/>
  <c r="W247" i="3"/>
  <c r="T247" i="3"/>
  <c r="S247" i="3"/>
  <c r="U247" i="3" s="1"/>
  <c r="V247" i="3" s="1"/>
  <c r="R247" i="3"/>
  <c r="P247" i="3"/>
  <c r="Q247" i="3" s="1"/>
  <c r="O247" i="3"/>
  <c r="N247" i="3"/>
  <c r="M247" i="3"/>
  <c r="K247" i="3"/>
  <c r="L247" i="3" s="1"/>
  <c r="I247" i="3"/>
  <c r="H247" i="3"/>
  <c r="J247" i="3" s="1"/>
  <c r="G247" i="3"/>
  <c r="D247" i="3"/>
  <c r="F247" i="3" s="1"/>
  <c r="X247" i="3" s="1"/>
  <c r="Y247" i="3" s="1"/>
  <c r="C247" i="3"/>
  <c r="E247" i="3" s="1"/>
  <c r="B247" i="3"/>
  <c r="A247" i="3"/>
  <c r="AC246" i="3"/>
  <c r="AB246" i="3"/>
  <c r="AA246" i="3"/>
  <c r="Z246" i="3"/>
  <c r="U246" i="3"/>
  <c r="V246" i="3" s="1"/>
  <c r="T246" i="3"/>
  <c r="S246" i="3"/>
  <c r="R246" i="3"/>
  <c r="P246" i="3"/>
  <c r="N246" i="3"/>
  <c r="M246" i="3"/>
  <c r="O246" i="3" s="1"/>
  <c r="L246" i="3"/>
  <c r="I246" i="3"/>
  <c r="K246" i="3" s="1"/>
  <c r="H246" i="3"/>
  <c r="J246" i="3" s="1"/>
  <c r="E246" i="3"/>
  <c r="W246" i="3" s="1"/>
  <c r="D246" i="3"/>
  <c r="F246" i="3" s="1"/>
  <c r="G246" i="3" s="1"/>
  <c r="C246" i="3"/>
  <c r="B246" i="3"/>
  <c r="A246" i="3"/>
  <c r="AC245" i="3"/>
  <c r="AB245" i="3"/>
  <c r="AA245" i="3"/>
  <c r="Z245" i="3"/>
  <c r="U245" i="3"/>
  <c r="S245" i="3"/>
  <c r="R245" i="3"/>
  <c r="T245" i="3" s="1"/>
  <c r="Q245" i="3"/>
  <c r="N245" i="3"/>
  <c r="P245" i="3" s="1"/>
  <c r="M245" i="3"/>
  <c r="O245" i="3" s="1"/>
  <c r="J245" i="3"/>
  <c r="I245" i="3"/>
  <c r="K245" i="3" s="1"/>
  <c r="L245" i="3" s="1"/>
  <c r="H245" i="3"/>
  <c r="F245" i="3"/>
  <c r="E245" i="3"/>
  <c r="W245" i="3" s="1"/>
  <c r="D245" i="3"/>
  <c r="C245" i="3"/>
  <c r="B245" i="3"/>
  <c r="A245" i="3"/>
  <c r="AC244" i="3"/>
  <c r="AB244" i="3"/>
  <c r="AA244" i="3"/>
  <c r="Z244" i="3"/>
  <c r="V244" i="3"/>
  <c r="S244" i="3"/>
  <c r="U244" i="3" s="1"/>
  <c r="R244" i="3"/>
  <c r="T244" i="3" s="1"/>
  <c r="O244" i="3"/>
  <c r="N244" i="3"/>
  <c r="P244" i="3" s="1"/>
  <c r="Q244" i="3" s="1"/>
  <c r="M244" i="3"/>
  <c r="K244" i="3"/>
  <c r="J244" i="3"/>
  <c r="I244" i="3"/>
  <c r="H244" i="3"/>
  <c r="F244" i="3"/>
  <c r="D244" i="3"/>
  <c r="C244" i="3"/>
  <c r="E244" i="3" s="1"/>
  <c r="B244" i="3"/>
  <c r="A244" i="3"/>
  <c r="AC243" i="3"/>
  <c r="AB243" i="3"/>
  <c r="AA243" i="3"/>
  <c r="Z243" i="3"/>
  <c r="W243" i="3"/>
  <c r="T243" i="3"/>
  <c r="S243" i="3"/>
  <c r="U243" i="3" s="1"/>
  <c r="V243" i="3" s="1"/>
  <c r="R243" i="3"/>
  <c r="P243" i="3"/>
  <c r="Q243" i="3" s="1"/>
  <c r="O243" i="3"/>
  <c r="N243" i="3"/>
  <c r="M243" i="3"/>
  <c r="K243" i="3"/>
  <c r="L243" i="3" s="1"/>
  <c r="I243" i="3"/>
  <c r="H243" i="3"/>
  <c r="J243" i="3" s="1"/>
  <c r="D243" i="3"/>
  <c r="F243" i="3" s="1"/>
  <c r="X243" i="3" s="1"/>
  <c r="Y243" i="3" s="1"/>
  <c r="C243" i="3"/>
  <c r="E243" i="3" s="1"/>
  <c r="B243" i="3"/>
  <c r="A243" i="3"/>
  <c r="AC242" i="3"/>
  <c r="AB242" i="3"/>
  <c r="AA242" i="3"/>
  <c r="Z242" i="3"/>
  <c r="U242" i="3"/>
  <c r="V242" i="3" s="1"/>
  <c r="T242" i="3"/>
  <c r="S242" i="3"/>
  <c r="R242" i="3"/>
  <c r="P242" i="3"/>
  <c r="Q242" i="3" s="1"/>
  <c r="N242" i="3"/>
  <c r="M242" i="3"/>
  <c r="O242" i="3" s="1"/>
  <c r="L242" i="3"/>
  <c r="I242" i="3"/>
  <c r="K242" i="3" s="1"/>
  <c r="H242" i="3"/>
  <c r="J242" i="3" s="1"/>
  <c r="E242" i="3"/>
  <c r="D242" i="3"/>
  <c r="F242" i="3" s="1"/>
  <c r="G242" i="3" s="1"/>
  <c r="C242" i="3"/>
  <c r="B242" i="3"/>
  <c r="A242" i="3"/>
  <c r="AC241" i="3"/>
  <c r="AB241" i="3"/>
  <c r="AA241" i="3"/>
  <c r="Z241" i="3"/>
  <c r="U241" i="3"/>
  <c r="V241" i="3" s="1"/>
  <c r="S241" i="3"/>
  <c r="R241" i="3"/>
  <c r="T241" i="3" s="1"/>
  <c r="Q241" i="3"/>
  <c r="N241" i="3"/>
  <c r="P241" i="3" s="1"/>
  <c r="M241" i="3"/>
  <c r="O241" i="3" s="1"/>
  <c r="J241" i="3"/>
  <c r="I241" i="3"/>
  <c r="K241" i="3" s="1"/>
  <c r="L241" i="3" s="1"/>
  <c r="H241" i="3"/>
  <c r="F241" i="3"/>
  <c r="E241" i="3"/>
  <c r="D241" i="3"/>
  <c r="C241" i="3"/>
  <c r="B241" i="3"/>
  <c r="A241" i="3"/>
  <c r="AC240" i="3"/>
  <c r="AB240" i="3"/>
  <c r="AA240" i="3"/>
  <c r="Z240" i="3"/>
  <c r="V240" i="3"/>
  <c r="S240" i="3"/>
  <c r="U240" i="3" s="1"/>
  <c r="R240" i="3"/>
  <c r="T240" i="3" s="1"/>
  <c r="O240" i="3"/>
  <c r="N240" i="3"/>
  <c r="P240" i="3" s="1"/>
  <c r="Q240" i="3" s="1"/>
  <c r="M240" i="3"/>
  <c r="K240" i="3"/>
  <c r="L240" i="3" s="1"/>
  <c r="J240" i="3"/>
  <c r="I240" i="3"/>
  <c r="H240" i="3"/>
  <c r="F240" i="3"/>
  <c r="D240" i="3"/>
  <c r="C240" i="3"/>
  <c r="E240" i="3" s="1"/>
  <c r="W240" i="3" s="1"/>
  <c r="B240" i="3"/>
  <c r="A240" i="3"/>
  <c r="AC239" i="3"/>
  <c r="AB239" i="3"/>
  <c r="AA239" i="3"/>
  <c r="Z239" i="3"/>
  <c r="T239" i="3"/>
  <c r="S239" i="3"/>
  <c r="U239" i="3" s="1"/>
  <c r="V239" i="3" s="1"/>
  <c r="R239" i="3"/>
  <c r="P239" i="3"/>
  <c r="O239" i="3"/>
  <c r="N239" i="3"/>
  <c r="M239" i="3"/>
  <c r="K239" i="3"/>
  <c r="I239" i="3"/>
  <c r="H239" i="3"/>
  <c r="J239" i="3" s="1"/>
  <c r="D239" i="3"/>
  <c r="F239" i="3" s="1"/>
  <c r="C239" i="3"/>
  <c r="E239" i="3" s="1"/>
  <c r="G239" i="3" s="1"/>
  <c r="B239" i="3"/>
  <c r="A239" i="3"/>
  <c r="AC238" i="3"/>
  <c r="AB238" i="3"/>
  <c r="AA238" i="3"/>
  <c r="Z238" i="3"/>
  <c r="U238" i="3"/>
  <c r="V238" i="3" s="1"/>
  <c r="T238" i="3"/>
  <c r="S238" i="3"/>
  <c r="R238" i="3"/>
  <c r="P238" i="3"/>
  <c r="Q238" i="3" s="1"/>
  <c r="N238" i="3"/>
  <c r="M238" i="3"/>
  <c r="O238" i="3" s="1"/>
  <c r="I238" i="3"/>
  <c r="K238" i="3" s="1"/>
  <c r="L238" i="3" s="1"/>
  <c r="H238" i="3"/>
  <c r="J238" i="3" s="1"/>
  <c r="E238" i="3"/>
  <c r="D238" i="3"/>
  <c r="F238" i="3" s="1"/>
  <c r="G238" i="3" s="1"/>
  <c r="C238" i="3"/>
  <c r="B238" i="3"/>
  <c r="A238" i="3"/>
  <c r="AC237" i="3"/>
  <c r="AB237" i="3"/>
  <c r="AA237" i="3"/>
  <c r="Z237" i="3"/>
  <c r="U237" i="3"/>
  <c r="V237" i="3" s="1"/>
  <c r="S237" i="3"/>
  <c r="R237" i="3"/>
  <c r="T237" i="3" s="1"/>
  <c r="N237" i="3"/>
  <c r="P237" i="3" s="1"/>
  <c r="Q237" i="3" s="1"/>
  <c r="M237" i="3"/>
  <c r="O237" i="3" s="1"/>
  <c r="J237" i="3"/>
  <c r="I237" i="3"/>
  <c r="K237" i="3" s="1"/>
  <c r="L237" i="3" s="1"/>
  <c r="H237" i="3"/>
  <c r="F237" i="3"/>
  <c r="E237" i="3"/>
  <c r="D237" i="3"/>
  <c r="C237" i="3"/>
  <c r="B237" i="3"/>
  <c r="A237" i="3"/>
  <c r="AC236" i="3"/>
  <c r="AB236" i="3"/>
  <c r="AA236" i="3"/>
  <c r="Z236" i="3"/>
  <c r="S236" i="3"/>
  <c r="U236" i="3" s="1"/>
  <c r="V236" i="3" s="1"/>
  <c r="R236" i="3"/>
  <c r="T236" i="3" s="1"/>
  <c r="O236" i="3"/>
  <c r="N236" i="3"/>
  <c r="P236" i="3" s="1"/>
  <c r="Q236" i="3" s="1"/>
  <c r="M236" i="3"/>
  <c r="K236" i="3"/>
  <c r="L236" i="3" s="1"/>
  <c r="J236" i="3"/>
  <c r="I236" i="3"/>
  <c r="H236" i="3"/>
  <c r="F236" i="3"/>
  <c r="D236" i="3"/>
  <c r="C236" i="3"/>
  <c r="E236" i="3" s="1"/>
  <c r="B236" i="3"/>
  <c r="A236" i="3"/>
  <c r="AC235" i="3"/>
  <c r="AB235" i="3"/>
  <c r="AA235" i="3"/>
  <c r="Z235" i="3"/>
  <c r="T235" i="3"/>
  <c r="S235" i="3"/>
  <c r="U235" i="3" s="1"/>
  <c r="V235" i="3" s="1"/>
  <c r="R235" i="3"/>
  <c r="P235" i="3"/>
  <c r="O235" i="3"/>
  <c r="N235" i="3"/>
  <c r="M235" i="3"/>
  <c r="K235" i="3"/>
  <c r="I235" i="3"/>
  <c r="H235" i="3"/>
  <c r="J235" i="3" s="1"/>
  <c r="G235" i="3"/>
  <c r="D235" i="3"/>
  <c r="F235" i="3" s="1"/>
  <c r="C235" i="3"/>
  <c r="E235" i="3" s="1"/>
  <c r="W235" i="3" s="1"/>
  <c r="B235" i="3"/>
  <c r="A235" i="3"/>
  <c r="AC234" i="3"/>
  <c r="AB234" i="3"/>
  <c r="AA234" i="3"/>
  <c r="Z234" i="3"/>
  <c r="U234" i="3"/>
  <c r="T234" i="3"/>
  <c r="S234" i="3"/>
  <c r="R234" i="3"/>
  <c r="P234" i="3"/>
  <c r="N234" i="3"/>
  <c r="M234" i="3"/>
  <c r="O234" i="3" s="1"/>
  <c r="I234" i="3"/>
  <c r="K234" i="3" s="1"/>
  <c r="L234" i="3" s="1"/>
  <c r="H234" i="3"/>
  <c r="J234" i="3" s="1"/>
  <c r="E234" i="3"/>
  <c r="D234" i="3"/>
  <c r="F234" i="3" s="1"/>
  <c r="G234" i="3" s="1"/>
  <c r="C234" i="3"/>
  <c r="B234" i="3"/>
  <c r="A234" i="3"/>
  <c r="AC233" i="3"/>
  <c r="AB233" i="3"/>
  <c r="AA233" i="3"/>
  <c r="Z233" i="3"/>
  <c r="U233" i="3"/>
  <c r="S233" i="3"/>
  <c r="R233" i="3"/>
  <c r="T233" i="3" s="1"/>
  <c r="N233" i="3"/>
  <c r="P233" i="3" s="1"/>
  <c r="Q233" i="3" s="1"/>
  <c r="M233" i="3"/>
  <c r="O233" i="3" s="1"/>
  <c r="J233" i="3"/>
  <c r="I233" i="3"/>
  <c r="K233" i="3" s="1"/>
  <c r="L233" i="3" s="1"/>
  <c r="H233" i="3"/>
  <c r="F233" i="3"/>
  <c r="X233" i="3" s="1"/>
  <c r="E233" i="3"/>
  <c r="D233" i="3"/>
  <c r="C233" i="3"/>
  <c r="B233" i="3"/>
  <c r="A233" i="3"/>
  <c r="AC232" i="3"/>
  <c r="AB232" i="3"/>
  <c r="AA232" i="3"/>
  <c r="Z232" i="3"/>
  <c r="S232" i="3"/>
  <c r="U232" i="3" s="1"/>
  <c r="V232" i="3" s="1"/>
  <c r="R232" i="3"/>
  <c r="T232" i="3" s="1"/>
  <c r="O232" i="3"/>
  <c r="N232" i="3"/>
  <c r="P232" i="3" s="1"/>
  <c r="Q232" i="3" s="1"/>
  <c r="M232" i="3"/>
  <c r="K232" i="3"/>
  <c r="L232" i="3" s="1"/>
  <c r="J232" i="3"/>
  <c r="I232" i="3"/>
  <c r="H232" i="3"/>
  <c r="F232" i="3"/>
  <c r="D232" i="3"/>
  <c r="C232" i="3"/>
  <c r="E232" i="3" s="1"/>
  <c r="B232" i="3"/>
  <c r="A232" i="3"/>
  <c r="AC231" i="3"/>
  <c r="AB231" i="3"/>
  <c r="AA231" i="3"/>
  <c r="Z231" i="3"/>
  <c r="W231" i="3"/>
  <c r="T231" i="3"/>
  <c r="S231" i="3"/>
  <c r="U231" i="3" s="1"/>
  <c r="V231" i="3" s="1"/>
  <c r="R231" i="3"/>
  <c r="P231" i="3"/>
  <c r="Q231" i="3" s="1"/>
  <c r="O231" i="3"/>
  <c r="N231" i="3"/>
  <c r="M231" i="3"/>
  <c r="K231" i="3"/>
  <c r="L231" i="3" s="1"/>
  <c r="I231" i="3"/>
  <c r="H231" i="3"/>
  <c r="J231" i="3" s="1"/>
  <c r="G231" i="3"/>
  <c r="D231" i="3"/>
  <c r="F231" i="3" s="1"/>
  <c r="X231" i="3" s="1"/>
  <c r="Y231" i="3" s="1"/>
  <c r="C231" i="3"/>
  <c r="E231" i="3" s="1"/>
  <c r="B231" i="3"/>
  <c r="A231" i="3"/>
  <c r="AC230" i="3"/>
  <c r="AB230" i="3"/>
  <c r="AA230" i="3"/>
  <c r="Z230" i="3"/>
  <c r="U230" i="3"/>
  <c r="V230" i="3" s="1"/>
  <c r="T230" i="3"/>
  <c r="S230" i="3"/>
  <c r="R230" i="3"/>
  <c r="P230" i="3"/>
  <c r="N230" i="3"/>
  <c r="M230" i="3"/>
  <c r="O230" i="3" s="1"/>
  <c r="L230" i="3"/>
  <c r="I230" i="3"/>
  <c r="K230" i="3" s="1"/>
  <c r="H230" i="3"/>
  <c r="J230" i="3" s="1"/>
  <c r="E230" i="3"/>
  <c r="W230" i="3" s="1"/>
  <c r="D230" i="3"/>
  <c r="F230" i="3" s="1"/>
  <c r="G230" i="3" s="1"/>
  <c r="C230" i="3"/>
  <c r="B230" i="3"/>
  <c r="A230" i="3"/>
  <c r="AC229" i="3"/>
  <c r="AB229" i="3"/>
  <c r="AA229" i="3"/>
  <c r="Z229" i="3"/>
  <c r="U229" i="3"/>
  <c r="S229" i="3"/>
  <c r="R229" i="3"/>
  <c r="T229" i="3" s="1"/>
  <c r="Q229" i="3"/>
  <c r="N229" i="3"/>
  <c r="P229" i="3" s="1"/>
  <c r="M229" i="3"/>
  <c r="O229" i="3" s="1"/>
  <c r="J229" i="3"/>
  <c r="I229" i="3"/>
  <c r="K229" i="3" s="1"/>
  <c r="L229" i="3" s="1"/>
  <c r="H229" i="3"/>
  <c r="F229" i="3"/>
  <c r="E229" i="3"/>
  <c r="W229" i="3" s="1"/>
  <c r="D229" i="3"/>
  <c r="C229" i="3"/>
  <c r="B229" i="3"/>
  <c r="A229" i="3"/>
  <c r="AC228" i="3"/>
  <c r="AB228" i="3"/>
  <c r="AA228" i="3"/>
  <c r="Z228" i="3"/>
  <c r="V228" i="3"/>
  <c r="S228" i="3"/>
  <c r="U228" i="3" s="1"/>
  <c r="R228" i="3"/>
  <c r="T228" i="3" s="1"/>
  <c r="O228" i="3"/>
  <c r="N228" i="3"/>
  <c r="P228" i="3" s="1"/>
  <c r="Q228" i="3" s="1"/>
  <c r="M228" i="3"/>
  <c r="K228" i="3"/>
  <c r="J228" i="3"/>
  <c r="I228" i="3"/>
  <c r="H228" i="3"/>
  <c r="F228" i="3"/>
  <c r="D228" i="3"/>
  <c r="C228" i="3"/>
  <c r="E228" i="3" s="1"/>
  <c r="B228" i="3"/>
  <c r="A228" i="3"/>
  <c r="AC227" i="3"/>
  <c r="AB227" i="3"/>
  <c r="AA227" i="3"/>
  <c r="Z227" i="3"/>
  <c r="W227" i="3"/>
  <c r="T227" i="3"/>
  <c r="S227" i="3"/>
  <c r="U227" i="3" s="1"/>
  <c r="V227" i="3" s="1"/>
  <c r="R227" i="3"/>
  <c r="P227" i="3"/>
  <c r="Q227" i="3" s="1"/>
  <c r="O227" i="3"/>
  <c r="N227" i="3"/>
  <c r="M227" i="3"/>
  <c r="K227" i="3"/>
  <c r="L227" i="3" s="1"/>
  <c r="I227" i="3"/>
  <c r="H227" i="3"/>
  <c r="J227" i="3" s="1"/>
  <c r="D227" i="3"/>
  <c r="F227" i="3" s="1"/>
  <c r="X227" i="3" s="1"/>
  <c r="Y227" i="3" s="1"/>
  <c r="C227" i="3"/>
  <c r="E227" i="3" s="1"/>
  <c r="B227" i="3"/>
  <c r="A227" i="3"/>
  <c r="AC226" i="3"/>
  <c r="AB226" i="3"/>
  <c r="AA226" i="3"/>
  <c r="Z226" i="3"/>
  <c r="U226" i="3"/>
  <c r="V226" i="3" s="1"/>
  <c r="T226" i="3"/>
  <c r="S226" i="3"/>
  <c r="R226" i="3"/>
  <c r="P226" i="3"/>
  <c r="Q226" i="3" s="1"/>
  <c r="N226" i="3"/>
  <c r="M226" i="3"/>
  <c r="O226" i="3" s="1"/>
  <c r="L226" i="3"/>
  <c r="I226" i="3"/>
  <c r="K226" i="3" s="1"/>
  <c r="H226" i="3"/>
  <c r="J226" i="3" s="1"/>
  <c r="E226" i="3"/>
  <c r="D226" i="3"/>
  <c r="F226" i="3" s="1"/>
  <c r="G226" i="3" s="1"/>
  <c r="C226" i="3"/>
  <c r="B226" i="3"/>
  <c r="A226" i="3"/>
  <c r="AC225" i="3"/>
  <c r="AB225" i="3"/>
  <c r="AA225" i="3"/>
  <c r="Z225" i="3"/>
  <c r="U225" i="3"/>
  <c r="V225" i="3" s="1"/>
  <c r="S225" i="3"/>
  <c r="R225" i="3"/>
  <c r="T225" i="3" s="1"/>
  <c r="Q225" i="3"/>
  <c r="N225" i="3"/>
  <c r="P225" i="3" s="1"/>
  <c r="M225" i="3"/>
  <c r="O225" i="3" s="1"/>
  <c r="J225" i="3"/>
  <c r="I225" i="3"/>
  <c r="K225" i="3" s="1"/>
  <c r="L225" i="3" s="1"/>
  <c r="H225" i="3"/>
  <c r="F225" i="3"/>
  <c r="E225" i="3"/>
  <c r="D225" i="3"/>
  <c r="C225" i="3"/>
  <c r="B225" i="3"/>
  <c r="A225" i="3"/>
  <c r="AC224" i="3"/>
  <c r="AB224" i="3"/>
  <c r="AA224" i="3"/>
  <c r="Z224" i="3"/>
  <c r="V224" i="3"/>
  <c r="S224" i="3"/>
  <c r="U224" i="3" s="1"/>
  <c r="R224" i="3"/>
  <c r="T224" i="3" s="1"/>
  <c r="O224" i="3"/>
  <c r="N224" i="3"/>
  <c r="P224" i="3" s="1"/>
  <c r="Q224" i="3" s="1"/>
  <c r="M224" i="3"/>
  <c r="K224" i="3"/>
  <c r="L224" i="3" s="1"/>
  <c r="J224" i="3"/>
  <c r="I224" i="3"/>
  <c r="H224" i="3"/>
  <c r="F224" i="3"/>
  <c r="D224" i="3"/>
  <c r="C224" i="3"/>
  <c r="E224" i="3" s="1"/>
  <c r="W224" i="3" s="1"/>
  <c r="B224" i="3"/>
  <c r="A224" i="3"/>
  <c r="AC223" i="3"/>
  <c r="AB223" i="3"/>
  <c r="AA223" i="3"/>
  <c r="Z223" i="3"/>
  <c r="T223" i="3"/>
  <c r="S223" i="3"/>
  <c r="U223" i="3" s="1"/>
  <c r="V223" i="3" s="1"/>
  <c r="R223" i="3"/>
  <c r="P223" i="3"/>
  <c r="O223" i="3"/>
  <c r="N223" i="3"/>
  <c r="M223" i="3"/>
  <c r="K223" i="3"/>
  <c r="I223" i="3"/>
  <c r="H223" i="3"/>
  <c r="J223" i="3" s="1"/>
  <c r="D223" i="3"/>
  <c r="F223" i="3" s="1"/>
  <c r="C223" i="3"/>
  <c r="E223" i="3" s="1"/>
  <c r="G223" i="3" s="1"/>
  <c r="B223" i="3"/>
  <c r="A223" i="3"/>
  <c r="AC222" i="3"/>
  <c r="AB222" i="3"/>
  <c r="AA222" i="3"/>
  <c r="Z222" i="3"/>
  <c r="U222" i="3"/>
  <c r="V222" i="3" s="1"/>
  <c r="T222" i="3"/>
  <c r="S222" i="3"/>
  <c r="R222" i="3"/>
  <c r="P222" i="3"/>
  <c r="Q222" i="3" s="1"/>
  <c r="N222" i="3"/>
  <c r="M222" i="3"/>
  <c r="O222" i="3" s="1"/>
  <c r="I222" i="3"/>
  <c r="K222" i="3" s="1"/>
  <c r="L222" i="3" s="1"/>
  <c r="H222" i="3"/>
  <c r="J222" i="3" s="1"/>
  <c r="E222" i="3"/>
  <c r="D222" i="3"/>
  <c r="F222" i="3" s="1"/>
  <c r="G222" i="3" s="1"/>
  <c r="C222" i="3"/>
  <c r="B222" i="3"/>
  <c r="A222" i="3"/>
  <c r="AC221" i="3"/>
  <c r="AB221" i="3"/>
  <c r="AA221" i="3"/>
  <c r="Z221" i="3"/>
  <c r="U221" i="3"/>
  <c r="V221" i="3" s="1"/>
  <c r="S221" i="3"/>
  <c r="R221" i="3"/>
  <c r="T221" i="3" s="1"/>
  <c r="N221" i="3"/>
  <c r="P221" i="3" s="1"/>
  <c r="Q221" i="3" s="1"/>
  <c r="M221" i="3"/>
  <c r="O221" i="3" s="1"/>
  <c r="J221" i="3"/>
  <c r="I221" i="3"/>
  <c r="K221" i="3" s="1"/>
  <c r="L221" i="3" s="1"/>
  <c r="H221" i="3"/>
  <c r="F221" i="3"/>
  <c r="E221" i="3"/>
  <c r="D221" i="3"/>
  <c r="C221" i="3"/>
  <c r="B221" i="3"/>
  <c r="A221" i="3"/>
  <c r="AC220" i="3"/>
  <c r="AB220" i="3"/>
  <c r="AA220" i="3"/>
  <c r="Z220" i="3"/>
  <c r="S220" i="3"/>
  <c r="U220" i="3" s="1"/>
  <c r="V220" i="3" s="1"/>
  <c r="R220" i="3"/>
  <c r="T220" i="3" s="1"/>
  <c r="O220" i="3"/>
  <c r="N220" i="3"/>
  <c r="P220" i="3" s="1"/>
  <c r="Q220" i="3" s="1"/>
  <c r="M220" i="3"/>
  <c r="K220" i="3"/>
  <c r="L220" i="3" s="1"/>
  <c r="J220" i="3"/>
  <c r="I220" i="3"/>
  <c r="H220" i="3"/>
  <c r="F220" i="3"/>
  <c r="D220" i="3"/>
  <c r="C220" i="3"/>
  <c r="E220" i="3" s="1"/>
  <c r="B220" i="3"/>
  <c r="A220" i="3"/>
  <c r="AC219" i="3"/>
  <c r="AB219" i="3"/>
  <c r="AA219" i="3"/>
  <c r="Z219" i="3"/>
  <c r="T219" i="3"/>
  <c r="S219" i="3"/>
  <c r="U219" i="3" s="1"/>
  <c r="V219" i="3" s="1"/>
  <c r="R219" i="3"/>
  <c r="P219" i="3"/>
  <c r="O219" i="3"/>
  <c r="N219" i="3"/>
  <c r="M219" i="3"/>
  <c r="K219" i="3"/>
  <c r="I219" i="3"/>
  <c r="H219" i="3"/>
  <c r="J219" i="3" s="1"/>
  <c r="G219" i="3"/>
  <c r="D219" i="3"/>
  <c r="F219" i="3" s="1"/>
  <c r="C219" i="3"/>
  <c r="E219" i="3" s="1"/>
  <c r="W219" i="3" s="1"/>
  <c r="B219" i="3"/>
  <c r="A219" i="3"/>
  <c r="AC218" i="3"/>
  <c r="AB218" i="3"/>
  <c r="AA218" i="3"/>
  <c r="Z218" i="3"/>
  <c r="U218" i="3"/>
  <c r="T218" i="3"/>
  <c r="S218" i="3"/>
  <c r="R218" i="3"/>
  <c r="P218" i="3"/>
  <c r="N218" i="3"/>
  <c r="M218" i="3"/>
  <c r="O218" i="3" s="1"/>
  <c r="I218" i="3"/>
  <c r="K218" i="3" s="1"/>
  <c r="L218" i="3" s="1"/>
  <c r="H218" i="3"/>
  <c r="J218" i="3" s="1"/>
  <c r="E218" i="3"/>
  <c r="D218" i="3"/>
  <c r="F218" i="3" s="1"/>
  <c r="G218" i="3" s="1"/>
  <c r="C218" i="3"/>
  <c r="B218" i="3"/>
  <c r="A218" i="3"/>
  <c r="AC217" i="3"/>
  <c r="AB217" i="3"/>
  <c r="AA217" i="3"/>
  <c r="Z217" i="3"/>
  <c r="U217" i="3"/>
  <c r="S217" i="3"/>
  <c r="R217" i="3"/>
  <c r="T217" i="3" s="1"/>
  <c r="N217" i="3"/>
  <c r="P217" i="3" s="1"/>
  <c r="Q217" i="3" s="1"/>
  <c r="M217" i="3"/>
  <c r="O217" i="3" s="1"/>
  <c r="J217" i="3"/>
  <c r="I217" i="3"/>
  <c r="K217" i="3" s="1"/>
  <c r="L217" i="3" s="1"/>
  <c r="H217" i="3"/>
  <c r="F217" i="3"/>
  <c r="X217" i="3" s="1"/>
  <c r="E217" i="3"/>
  <c r="D217" i="3"/>
  <c r="C217" i="3"/>
  <c r="B217" i="3"/>
  <c r="A217" i="3"/>
  <c r="AC216" i="3"/>
  <c r="AB216" i="3"/>
  <c r="AA216" i="3"/>
  <c r="Z216" i="3"/>
  <c r="S216" i="3"/>
  <c r="U216" i="3" s="1"/>
  <c r="V216" i="3" s="1"/>
  <c r="R216" i="3"/>
  <c r="T216" i="3" s="1"/>
  <c r="O216" i="3"/>
  <c r="N216" i="3"/>
  <c r="P216" i="3" s="1"/>
  <c r="Q216" i="3" s="1"/>
  <c r="M216" i="3"/>
  <c r="K216" i="3"/>
  <c r="L216" i="3" s="1"/>
  <c r="J216" i="3"/>
  <c r="I216" i="3"/>
  <c r="H216" i="3"/>
  <c r="F216" i="3"/>
  <c r="D216" i="3"/>
  <c r="C216" i="3"/>
  <c r="E216" i="3" s="1"/>
  <c r="B216" i="3"/>
  <c r="A216" i="3"/>
  <c r="AC215" i="3"/>
  <c r="AB215" i="3"/>
  <c r="AA215" i="3"/>
  <c r="Z215" i="3"/>
  <c r="W215" i="3"/>
  <c r="T215" i="3"/>
  <c r="S215" i="3"/>
  <c r="U215" i="3" s="1"/>
  <c r="V215" i="3" s="1"/>
  <c r="R215" i="3"/>
  <c r="P215" i="3"/>
  <c r="Q215" i="3" s="1"/>
  <c r="O215" i="3"/>
  <c r="N215" i="3"/>
  <c r="M215" i="3"/>
  <c r="K215" i="3"/>
  <c r="L215" i="3" s="1"/>
  <c r="I215" i="3"/>
  <c r="H215" i="3"/>
  <c r="J215" i="3" s="1"/>
  <c r="G215" i="3"/>
  <c r="D215" i="3"/>
  <c r="F215" i="3" s="1"/>
  <c r="X215" i="3" s="1"/>
  <c r="Y215" i="3" s="1"/>
  <c r="C215" i="3"/>
  <c r="E215" i="3" s="1"/>
  <c r="B215" i="3"/>
  <c r="A215" i="3"/>
  <c r="AC214" i="3"/>
  <c r="AB214" i="3"/>
  <c r="AA214" i="3"/>
  <c r="Z214" i="3"/>
  <c r="U214" i="3"/>
  <c r="V214" i="3" s="1"/>
  <c r="T214" i="3"/>
  <c r="S214" i="3"/>
  <c r="R214" i="3"/>
  <c r="P214" i="3"/>
  <c r="N214" i="3"/>
  <c r="M214" i="3"/>
  <c r="O214" i="3" s="1"/>
  <c r="L214" i="3"/>
  <c r="I214" i="3"/>
  <c r="K214" i="3" s="1"/>
  <c r="H214" i="3"/>
  <c r="J214" i="3" s="1"/>
  <c r="E214" i="3"/>
  <c r="W214" i="3" s="1"/>
  <c r="D214" i="3"/>
  <c r="F214" i="3" s="1"/>
  <c r="G214" i="3" s="1"/>
  <c r="C214" i="3"/>
  <c r="B214" i="3"/>
  <c r="A214" i="3"/>
  <c r="AC213" i="3"/>
  <c r="AB213" i="3"/>
  <c r="AA213" i="3"/>
  <c r="Z213" i="3"/>
  <c r="U213" i="3"/>
  <c r="S213" i="3"/>
  <c r="R213" i="3"/>
  <c r="T213" i="3" s="1"/>
  <c r="Q213" i="3"/>
  <c r="N213" i="3"/>
  <c r="P213" i="3" s="1"/>
  <c r="M213" i="3"/>
  <c r="O213" i="3" s="1"/>
  <c r="J213" i="3"/>
  <c r="I213" i="3"/>
  <c r="K213" i="3" s="1"/>
  <c r="L213" i="3" s="1"/>
  <c r="H213" i="3"/>
  <c r="F213" i="3"/>
  <c r="E213" i="3"/>
  <c r="W213" i="3" s="1"/>
  <c r="D213" i="3"/>
  <c r="C213" i="3"/>
  <c r="B213" i="3"/>
  <c r="A213" i="3"/>
  <c r="AC212" i="3"/>
  <c r="AB212" i="3"/>
  <c r="AA212" i="3"/>
  <c r="Z212" i="3"/>
  <c r="V212" i="3"/>
  <c r="S212" i="3"/>
  <c r="U212" i="3" s="1"/>
  <c r="R212" i="3"/>
  <c r="T212" i="3" s="1"/>
  <c r="O212" i="3"/>
  <c r="N212" i="3"/>
  <c r="P212" i="3" s="1"/>
  <c r="Q212" i="3" s="1"/>
  <c r="M212" i="3"/>
  <c r="K212" i="3"/>
  <c r="J212" i="3"/>
  <c r="I212" i="3"/>
  <c r="H212" i="3"/>
  <c r="F212" i="3"/>
  <c r="D212" i="3"/>
  <c r="C212" i="3"/>
  <c r="E212" i="3" s="1"/>
  <c r="B212" i="3"/>
  <c r="A212" i="3"/>
  <c r="AC211" i="3"/>
  <c r="AB211" i="3"/>
  <c r="AA211" i="3"/>
  <c r="Z211" i="3"/>
  <c r="X211" i="3"/>
  <c r="T211" i="3"/>
  <c r="S211" i="3"/>
  <c r="U211" i="3" s="1"/>
  <c r="V211" i="3" s="1"/>
  <c r="R211" i="3"/>
  <c r="P211" i="3"/>
  <c r="Q211" i="3" s="1"/>
  <c r="O211" i="3"/>
  <c r="N211" i="3"/>
  <c r="M211" i="3"/>
  <c r="K211" i="3"/>
  <c r="I211" i="3"/>
  <c r="H211" i="3"/>
  <c r="J211" i="3" s="1"/>
  <c r="W211" i="3" s="1"/>
  <c r="G211" i="3"/>
  <c r="D211" i="3"/>
  <c r="F211" i="3" s="1"/>
  <c r="C211" i="3"/>
  <c r="E211" i="3" s="1"/>
  <c r="B211" i="3"/>
  <c r="A211" i="3"/>
  <c r="AC210" i="3"/>
  <c r="AB210" i="3"/>
  <c r="AA210" i="3"/>
  <c r="Z210" i="3"/>
  <c r="U210" i="3"/>
  <c r="V210" i="3" s="1"/>
  <c r="T210" i="3"/>
  <c r="S210" i="3"/>
  <c r="R210" i="3"/>
  <c r="Q210" i="3"/>
  <c r="P210" i="3"/>
  <c r="N210" i="3"/>
  <c r="M210" i="3"/>
  <c r="O210" i="3" s="1"/>
  <c r="L210" i="3"/>
  <c r="I210" i="3"/>
  <c r="K210" i="3" s="1"/>
  <c r="H210" i="3"/>
  <c r="J210" i="3" s="1"/>
  <c r="E210" i="3"/>
  <c r="D210" i="3"/>
  <c r="F210" i="3" s="1"/>
  <c r="G210" i="3" s="1"/>
  <c r="C210" i="3"/>
  <c r="B210" i="3"/>
  <c r="A210" i="3"/>
  <c r="AC209" i="3"/>
  <c r="AB209" i="3"/>
  <c r="AA209" i="3"/>
  <c r="Z209" i="3"/>
  <c r="U209" i="3"/>
  <c r="S209" i="3"/>
  <c r="R209" i="3"/>
  <c r="T209" i="3" s="1"/>
  <c r="V209" i="3" s="1"/>
  <c r="Q209" i="3"/>
  <c r="N209" i="3"/>
  <c r="P209" i="3" s="1"/>
  <c r="M209" i="3"/>
  <c r="O209" i="3" s="1"/>
  <c r="J209" i="3"/>
  <c r="I209" i="3"/>
  <c r="K209" i="3" s="1"/>
  <c r="H209" i="3"/>
  <c r="F209" i="3"/>
  <c r="E209" i="3"/>
  <c r="W209" i="3" s="1"/>
  <c r="D209" i="3"/>
  <c r="C209" i="3"/>
  <c r="B209" i="3"/>
  <c r="A209" i="3"/>
  <c r="AC208" i="3"/>
  <c r="AB208" i="3"/>
  <c r="AA208" i="3"/>
  <c r="Z208" i="3"/>
  <c r="S208" i="3"/>
  <c r="U208" i="3" s="1"/>
  <c r="V208" i="3" s="1"/>
  <c r="R208" i="3"/>
  <c r="T208" i="3" s="1"/>
  <c r="O208" i="3"/>
  <c r="N208" i="3"/>
  <c r="P208" i="3" s="1"/>
  <c r="M208" i="3"/>
  <c r="K208" i="3"/>
  <c r="L208" i="3" s="1"/>
  <c r="J208" i="3"/>
  <c r="W208" i="3" s="1"/>
  <c r="I208" i="3"/>
  <c r="H208" i="3"/>
  <c r="G208" i="3"/>
  <c r="F208" i="3"/>
  <c r="D208" i="3"/>
  <c r="C208" i="3"/>
  <c r="E208" i="3" s="1"/>
  <c r="B208" i="3"/>
  <c r="A208" i="3"/>
  <c r="AC207" i="3"/>
  <c r="AB207" i="3"/>
  <c r="AA207" i="3"/>
  <c r="Z207" i="3"/>
  <c r="T207" i="3"/>
  <c r="S207" i="3"/>
  <c r="U207" i="3" s="1"/>
  <c r="R207" i="3"/>
  <c r="P207" i="3"/>
  <c r="O207" i="3"/>
  <c r="N207" i="3"/>
  <c r="M207" i="3"/>
  <c r="K207" i="3"/>
  <c r="L207" i="3" s="1"/>
  <c r="I207" i="3"/>
  <c r="H207" i="3"/>
  <c r="J207" i="3" s="1"/>
  <c r="D207" i="3"/>
  <c r="F207" i="3" s="1"/>
  <c r="X207" i="3" s="1"/>
  <c r="Y207" i="3" s="1"/>
  <c r="C207" i="3"/>
  <c r="E207" i="3" s="1"/>
  <c r="W207" i="3" s="1"/>
  <c r="B207" i="3"/>
  <c r="A207" i="3"/>
  <c r="AC206" i="3"/>
  <c r="AB206" i="3"/>
  <c r="AA206" i="3"/>
  <c r="Z206" i="3"/>
  <c r="X206" i="3"/>
  <c r="U206" i="3"/>
  <c r="T206" i="3"/>
  <c r="S206" i="3"/>
  <c r="R206" i="3"/>
  <c r="P206" i="3"/>
  <c r="Q206" i="3" s="1"/>
  <c r="N206" i="3"/>
  <c r="M206" i="3"/>
  <c r="O206" i="3" s="1"/>
  <c r="I206" i="3"/>
  <c r="K206" i="3" s="1"/>
  <c r="L206" i="3" s="1"/>
  <c r="H206" i="3"/>
  <c r="J206" i="3" s="1"/>
  <c r="E206" i="3"/>
  <c r="D206" i="3"/>
  <c r="F206" i="3" s="1"/>
  <c r="C206" i="3"/>
  <c r="B206" i="3"/>
  <c r="A206" i="3"/>
  <c r="AC205" i="3"/>
  <c r="AB205" i="3"/>
  <c r="AA205" i="3"/>
  <c r="Z205" i="3"/>
  <c r="U205" i="3"/>
  <c r="V205" i="3" s="1"/>
  <c r="S205" i="3"/>
  <c r="R205" i="3"/>
  <c r="T205" i="3" s="1"/>
  <c r="N205" i="3"/>
  <c r="P205" i="3" s="1"/>
  <c r="Q205" i="3" s="1"/>
  <c r="M205" i="3"/>
  <c r="O205" i="3" s="1"/>
  <c r="J205" i="3"/>
  <c r="I205" i="3"/>
  <c r="K205" i="3" s="1"/>
  <c r="L205" i="3" s="1"/>
  <c r="H205" i="3"/>
  <c r="F205" i="3"/>
  <c r="E205" i="3"/>
  <c r="D205" i="3"/>
  <c r="C205" i="3"/>
  <c r="B205" i="3"/>
  <c r="A205" i="3"/>
  <c r="AC204" i="3"/>
  <c r="AB204" i="3"/>
  <c r="AA204" i="3"/>
  <c r="Z204" i="3"/>
  <c r="V204" i="3"/>
  <c r="S204" i="3"/>
  <c r="U204" i="3" s="1"/>
  <c r="R204" i="3"/>
  <c r="T204" i="3" s="1"/>
  <c r="O204" i="3"/>
  <c r="N204" i="3"/>
  <c r="P204" i="3" s="1"/>
  <c r="Q204" i="3" s="1"/>
  <c r="M204" i="3"/>
  <c r="K204" i="3"/>
  <c r="J204" i="3"/>
  <c r="I204" i="3"/>
  <c r="H204" i="3"/>
  <c r="F204" i="3"/>
  <c r="D204" i="3"/>
  <c r="C204" i="3"/>
  <c r="E204" i="3" s="1"/>
  <c r="W204" i="3" s="1"/>
  <c r="B204" i="3"/>
  <c r="A204" i="3"/>
  <c r="AC203" i="3"/>
  <c r="AB203" i="3"/>
  <c r="AA203" i="3"/>
  <c r="Z203" i="3"/>
  <c r="X203" i="3"/>
  <c r="T203" i="3"/>
  <c r="S203" i="3"/>
  <c r="U203" i="3" s="1"/>
  <c r="V203" i="3" s="1"/>
  <c r="R203" i="3"/>
  <c r="P203" i="3"/>
  <c r="Q203" i="3" s="1"/>
  <c r="O203" i="3"/>
  <c r="N203" i="3"/>
  <c r="M203" i="3"/>
  <c r="K203" i="3"/>
  <c r="I203" i="3"/>
  <c r="H203" i="3"/>
  <c r="J203" i="3" s="1"/>
  <c r="W203" i="3" s="1"/>
  <c r="G203" i="3"/>
  <c r="D203" i="3"/>
  <c r="F203" i="3" s="1"/>
  <c r="C203" i="3"/>
  <c r="E203" i="3" s="1"/>
  <c r="B203" i="3"/>
  <c r="A203" i="3"/>
  <c r="AC202" i="3"/>
  <c r="AB202" i="3"/>
  <c r="AA202" i="3"/>
  <c r="Z202" i="3"/>
  <c r="U202" i="3"/>
  <c r="V202" i="3" s="1"/>
  <c r="T202" i="3"/>
  <c r="S202" i="3"/>
  <c r="R202" i="3"/>
  <c r="Q202" i="3"/>
  <c r="P202" i="3"/>
  <c r="N202" i="3"/>
  <c r="M202" i="3"/>
  <c r="O202" i="3" s="1"/>
  <c r="L202" i="3"/>
  <c r="I202" i="3"/>
  <c r="K202" i="3" s="1"/>
  <c r="H202" i="3"/>
  <c r="J202" i="3" s="1"/>
  <c r="E202" i="3"/>
  <c r="D202" i="3"/>
  <c r="F202" i="3" s="1"/>
  <c r="G202" i="3" s="1"/>
  <c r="C202" i="3"/>
  <c r="B202" i="3"/>
  <c r="A202" i="3"/>
  <c r="AC201" i="3"/>
  <c r="AB201" i="3"/>
  <c r="AA201" i="3"/>
  <c r="Z201" i="3"/>
  <c r="U201" i="3"/>
  <c r="S201" i="3"/>
  <c r="R201" i="3"/>
  <c r="T201" i="3" s="1"/>
  <c r="V201" i="3" s="1"/>
  <c r="Q201" i="3"/>
  <c r="N201" i="3"/>
  <c r="P201" i="3" s="1"/>
  <c r="M201" i="3"/>
  <c r="O201" i="3" s="1"/>
  <c r="J201" i="3"/>
  <c r="I201" i="3"/>
  <c r="K201" i="3" s="1"/>
  <c r="H201" i="3"/>
  <c r="F201" i="3"/>
  <c r="E201" i="3"/>
  <c r="W201" i="3" s="1"/>
  <c r="D201" i="3"/>
  <c r="C201" i="3"/>
  <c r="B201" i="3"/>
  <c r="A201" i="3"/>
  <c r="AC200" i="3"/>
  <c r="AB200" i="3"/>
  <c r="AA200" i="3"/>
  <c r="Z200" i="3"/>
  <c r="S200" i="3"/>
  <c r="U200" i="3" s="1"/>
  <c r="V200" i="3" s="1"/>
  <c r="R200" i="3"/>
  <c r="T200" i="3" s="1"/>
  <c r="O200" i="3"/>
  <c r="N200" i="3"/>
  <c r="P200" i="3" s="1"/>
  <c r="M200" i="3"/>
  <c r="K200" i="3"/>
  <c r="L200" i="3" s="1"/>
  <c r="J200" i="3"/>
  <c r="W200" i="3" s="1"/>
  <c r="I200" i="3"/>
  <c r="H200" i="3"/>
  <c r="G200" i="3"/>
  <c r="F200" i="3"/>
  <c r="D200" i="3"/>
  <c r="C200" i="3"/>
  <c r="E200" i="3" s="1"/>
  <c r="B200" i="3"/>
  <c r="A200" i="3"/>
  <c r="AC199" i="3"/>
  <c r="AB199" i="3"/>
  <c r="AA199" i="3"/>
  <c r="Z199" i="3"/>
  <c r="T199" i="3"/>
  <c r="S199" i="3"/>
  <c r="U199" i="3" s="1"/>
  <c r="R199" i="3"/>
  <c r="P199" i="3"/>
  <c r="O199" i="3"/>
  <c r="N199" i="3"/>
  <c r="M199" i="3"/>
  <c r="K199" i="3"/>
  <c r="L199" i="3" s="1"/>
  <c r="I199" i="3"/>
  <c r="H199" i="3"/>
  <c r="J199" i="3" s="1"/>
  <c r="D199" i="3"/>
  <c r="F199" i="3" s="1"/>
  <c r="X199" i="3" s="1"/>
  <c r="Y199" i="3" s="1"/>
  <c r="C199" i="3"/>
  <c r="E199" i="3" s="1"/>
  <c r="W199" i="3" s="1"/>
  <c r="B199" i="3"/>
  <c r="A199" i="3"/>
  <c r="AC198" i="3"/>
  <c r="AB198" i="3"/>
  <c r="AA198" i="3"/>
  <c r="Z198" i="3"/>
  <c r="X198" i="3"/>
  <c r="U198" i="3"/>
  <c r="T198" i="3"/>
  <c r="S198" i="3"/>
  <c r="R198" i="3"/>
  <c r="P198" i="3"/>
  <c r="Q198" i="3" s="1"/>
  <c r="N198" i="3"/>
  <c r="M198" i="3"/>
  <c r="O198" i="3" s="1"/>
  <c r="I198" i="3"/>
  <c r="K198" i="3" s="1"/>
  <c r="L198" i="3" s="1"/>
  <c r="H198" i="3"/>
  <c r="J198" i="3" s="1"/>
  <c r="E198" i="3"/>
  <c r="D198" i="3"/>
  <c r="F198" i="3" s="1"/>
  <c r="C198" i="3"/>
  <c r="B198" i="3"/>
  <c r="A198" i="3"/>
  <c r="AC197" i="3"/>
  <c r="AB197" i="3"/>
  <c r="AA197" i="3"/>
  <c r="Z197" i="3"/>
  <c r="U197" i="3"/>
  <c r="V197" i="3" s="1"/>
  <c r="S197" i="3"/>
  <c r="R197" i="3"/>
  <c r="T197" i="3" s="1"/>
  <c r="N197" i="3"/>
  <c r="P197" i="3" s="1"/>
  <c r="Q197" i="3" s="1"/>
  <c r="M197" i="3"/>
  <c r="O197" i="3" s="1"/>
  <c r="J197" i="3"/>
  <c r="I197" i="3"/>
  <c r="K197" i="3" s="1"/>
  <c r="L197" i="3" s="1"/>
  <c r="H197" i="3"/>
  <c r="F197" i="3"/>
  <c r="E197" i="3"/>
  <c r="D197" i="3"/>
  <c r="C197" i="3"/>
  <c r="B197" i="3"/>
  <c r="A197" i="3"/>
  <c r="AC196" i="3"/>
  <c r="AB196" i="3"/>
  <c r="AA196" i="3"/>
  <c r="Z196" i="3"/>
  <c r="V196" i="3"/>
  <c r="S196" i="3"/>
  <c r="U196" i="3" s="1"/>
  <c r="R196" i="3"/>
  <c r="T196" i="3" s="1"/>
  <c r="O196" i="3"/>
  <c r="N196" i="3"/>
  <c r="P196" i="3" s="1"/>
  <c r="Q196" i="3" s="1"/>
  <c r="M196" i="3"/>
  <c r="K196" i="3"/>
  <c r="J196" i="3"/>
  <c r="I196" i="3"/>
  <c r="H196" i="3"/>
  <c r="F196" i="3"/>
  <c r="D196" i="3"/>
  <c r="C196" i="3"/>
  <c r="E196" i="3" s="1"/>
  <c r="W196" i="3" s="1"/>
  <c r="B196" i="3"/>
  <c r="A196" i="3"/>
  <c r="AC195" i="3"/>
  <c r="AB195" i="3"/>
  <c r="AA195" i="3"/>
  <c r="Z195" i="3"/>
  <c r="X195" i="3"/>
  <c r="T195" i="3"/>
  <c r="S195" i="3"/>
  <c r="U195" i="3" s="1"/>
  <c r="V195" i="3" s="1"/>
  <c r="R195" i="3"/>
  <c r="P195" i="3"/>
  <c r="Q195" i="3" s="1"/>
  <c r="O195" i="3"/>
  <c r="N195" i="3"/>
  <c r="M195" i="3"/>
  <c r="K195" i="3"/>
  <c r="I195" i="3"/>
  <c r="H195" i="3"/>
  <c r="J195" i="3" s="1"/>
  <c r="W195" i="3" s="1"/>
  <c r="G195" i="3"/>
  <c r="D195" i="3"/>
  <c r="F195" i="3" s="1"/>
  <c r="C195" i="3"/>
  <c r="E195" i="3" s="1"/>
  <c r="B195" i="3"/>
  <c r="A195" i="3"/>
  <c r="AC194" i="3"/>
  <c r="AB194" i="3"/>
  <c r="AA194" i="3"/>
  <c r="Z194" i="3"/>
  <c r="U194" i="3"/>
  <c r="V194" i="3" s="1"/>
  <c r="T194" i="3"/>
  <c r="S194" i="3"/>
  <c r="R194" i="3"/>
  <c r="Q194" i="3"/>
  <c r="P194" i="3"/>
  <c r="N194" i="3"/>
  <c r="M194" i="3"/>
  <c r="O194" i="3" s="1"/>
  <c r="L194" i="3"/>
  <c r="I194" i="3"/>
  <c r="K194" i="3" s="1"/>
  <c r="H194" i="3"/>
  <c r="J194" i="3" s="1"/>
  <c r="E194" i="3"/>
  <c r="D194" i="3"/>
  <c r="F194" i="3" s="1"/>
  <c r="G194" i="3" s="1"/>
  <c r="C194" i="3"/>
  <c r="B194" i="3"/>
  <c r="A194" i="3"/>
  <c r="AC193" i="3"/>
  <c r="AB193" i="3"/>
  <c r="AA193" i="3"/>
  <c r="Z193" i="3"/>
  <c r="U193" i="3"/>
  <c r="S193" i="3"/>
  <c r="R193" i="3"/>
  <c r="T193" i="3" s="1"/>
  <c r="V193" i="3" s="1"/>
  <c r="Q193" i="3"/>
  <c r="N193" i="3"/>
  <c r="P193" i="3" s="1"/>
  <c r="M193" i="3"/>
  <c r="O193" i="3" s="1"/>
  <c r="J193" i="3"/>
  <c r="I193" i="3"/>
  <c r="K193" i="3" s="1"/>
  <c r="H193" i="3"/>
  <c r="F193" i="3"/>
  <c r="E193" i="3"/>
  <c r="W193" i="3" s="1"/>
  <c r="D193" i="3"/>
  <c r="C193" i="3"/>
  <c r="B193" i="3"/>
  <c r="A193" i="3"/>
  <c r="AC192" i="3"/>
  <c r="AB192" i="3"/>
  <c r="AA192" i="3"/>
  <c r="Z192" i="3"/>
  <c r="S192" i="3"/>
  <c r="U192" i="3" s="1"/>
  <c r="V192" i="3" s="1"/>
  <c r="R192" i="3"/>
  <c r="T192" i="3" s="1"/>
  <c r="O192" i="3"/>
  <c r="N192" i="3"/>
  <c r="P192" i="3" s="1"/>
  <c r="M192" i="3"/>
  <c r="K192" i="3"/>
  <c r="L192" i="3" s="1"/>
  <c r="J192" i="3"/>
  <c r="W192" i="3" s="1"/>
  <c r="I192" i="3"/>
  <c r="H192" i="3"/>
  <c r="G192" i="3"/>
  <c r="F192" i="3"/>
  <c r="D192" i="3"/>
  <c r="C192" i="3"/>
  <c r="E192" i="3" s="1"/>
  <c r="B192" i="3"/>
  <c r="A192" i="3"/>
  <c r="AC191" i="3"/>
  <c r="AB191" i="3"/>
  <c r="AA191" i="3"/>
  <c r="Z191" i="3"/>
  <c r="T191" i="3"/>
  <c r="S191" i="3"/>
  <c r="U191" i="3" s="1"/>
  <c r="R191" i="3"/>
  <c r="P191" i="3"/>
  <c r="O191" i="3"/>
  <c r="N191" i="3"/>
  <c r="M191" i="3"/>
  <c r="K191" i="3"/>
  <c r="L191" i="3" s="1"/>
  <c r="I191" i="3"/>
  <c r="H191" i="3"/>
  <c r="J191" i="3" s="1"/>
  <c r="D191" i="3"/>
  <c r="F191" i="3" s="1"/>
  <c r="X191" i="3" s="1"/>
  <c r="Y191" i="3" s="1"/>
  <c r="C191" i="3"/>
  <c r="E191" i="3" s="1"/>
  <c r="W191" i="3" s="1"/>
  <c r="B191" i="3"/>
  <c r="A191" i="3"/>
  <c r="AC190" i="3"/>
  <c r="AB190" i="3"/>
  <c r="AA190" i="3"/>
  <c r="Z190" i="3"/>
  <c r="X190" i="3"/>
  <c r="U190" i="3"/>
  <c r="T190" i="3"/>
  <c r="S190" i="3"/>
  <c r="R190" i="3"/>
  <c r="P190" i="3"/>
  <c r="Q190" i="3" s="1"/>
  <c r="N190" i="3"/>
  <c r="M190" i="3"/>
  <c r="O190" i="3" s="1"/>
  <c r="I190" i="3"/>
  <c r="K190" i="3" s="1"/>
  <c r="L190" i="3" s="1"/>
  <c r="H190" i="3"/>
  <c r="J190" i="3" s="1"/>
  <c r="E190" i="3"/>
  <c r="D190" i="3"/>
  <c r="F190" i="3" s="1"/>
  <c r="C190" i="3"/>
  <c r="B190" i="3"/>
  <c r="A190" i="3"/>
  <c r="AC189" i="3"/>
  <c r="AB189" i="3"/>
  <c r="AA189" i="3"/>
  <c r="Z189" i="3"/>
  <c r="U189" i="3"/>
  <c r="V189" i="3" s="1"/>
  <c r="S189" i="3"/>
  <c r="R189" i="3"/>
  <c r="T189" i="3" s="1"/>
  <c r="N189" i="3"/>
  <c r="P189" i="3" s="1"/>
  <c r="Q189" i="3" s="1"/>
  <c r="M189" i="3"/>
  <c r="O189" i="3" s="1"/>
  <c r="J189" i="3"/>
  <c r="I189" i="3"/>
  <c r="K189" i="3" s="1"/>
  <c r="L189" i="3" s="1"/>
  <c r="H189" i="3"/>
  <c r="F189" i="3"/>
  <c r="E189" i="3"/>
  <c r="D189" i="3"/>
  <c r="C189" i="3"/>
  <c r="B189" i="3"/>
  <c r="A189" i="3"/>
  <c r="AC188" i="3"/>
  <c r="AB188" i="3"/>
  <c r="AA188" i="3"/>
  <c r="Z188" i="3"/>
  <c r="V188" i="3"/>
  <c r="S188" i="3"/>
  <c r="U188" i="3" s="1"/>
  <c r="R188" i="3"/>
  <c r="T188" i="3" s="1"/>
  <c r="O188" i="3"/>
  <c r="N188" i="3"/>
  <c r="P188" i="3" s="1"/>
  <c r="Q188" i="3" s="1"/>
  <c r="M188" i="3"/>
  <c r="K188" i="3"/>
  <c r="J188" i="3"/>
  <c r="I188" i="3"/>
  <c r="H188" i="3"/>
  <c r="F188" i="3"/>
  <c r="D188" i="3"/>
  <c r="C188" i="3"/>
  <c r="E188" i="3" s="1"/>
  <c r="W188" i="3" s="1"/>
  <c r="B188" i="3"/>
  <c r="A188" i="3"/>
  <c r="AC187" i="3"/>
  <c r="AB187" i="3"/>
  <c r="AA187" i="3"/>
  <c r="Z187" i="3"/>
  <c r="X187" i="3"/>
  <c r="T187" i="3"/>
  <c r="S187" i="3"/>
  <c r="U187" i="3" s="1"/>
  <c r="V187" i="3" s="1"/>
  <c r="R187" i="3"/>
  <c r="P187" i="3"/>
  <c r="Q187" i="3" s="1"/>
  <c r="O187" i="3"/>
  <c r="N187" i="3"/>
  <c r="M187" i="3"/>
  <c r="K187" i="3"/>
  <c r="I187" i="3"/>
  <c r="H187" i="3"/>
  <c r="J187" i="3" s="1"/>
  <c r="W187" i="3" s="1"/>
  <c r="G187" i="3"/>
  <c r="D187" i="3"/>
  <c r="F187" i="3" s="1"/>
  <c r="C187" i="3"/>
  <c r="E187" i="3" s="1"/>
  <c r="B187" i="3"/>
  <c r="A187" i="3"/>
  <c r="AC186" i="3"/>
  <c r="AB186" i="3"/>
  <c r="AA186" i="3"/>
  <c r="Z186" i="3"/>
  <c r="U186" i="3"/>
  <c r="V186" i="3" s="1"/>
  <c r="T186" i="3"/>
  <c r="S186" i="3"/>
  <c r="R186" i="3"/>
  <c r="Q186" i="3"/>
  <c r="P186" i="3"/>
  <c r="N186" i="3"/>
  <c r="M186" i="3"/>
  <c r="O186" i="3" s="1"/>
  <c r="L186" i="3"/>
  <c r="I186" i="3"/>
  <c r="K186" i="3" s="1"/>
  <c r="H186" i="3"/>
  <c r="J186" i="3" s="1"/>
  <c r="E186" i="3"/>
  <c r="D186" i="3"/>
  <c r="F186" i="3" s="1"/>
  <c r="G186" i="3" s="1"/>
  <c r="C186" i="3"/>
  <c r="B186" i="3"/>
  <c r="A186" i="3"/>
  <c r="AC185" i="3"/>
  <c r="AB185" i="3"/>
  <c r="AA185" i="3"/>
  <c r="Z185" i="3"/>
  <c r="U185" i="3"/>
  <c r="S185" i="3"/>
  <c r="R185" i="3"/>
  <c r="T185" i="3" s="1"/>
  <c r="V185" i="3" s="1"/>
  <c r="Q185" i="3"/>
  <c r="N185" i="3"/>
  <c r="P185" i="3" s="1"/>
  <c r="M185" i="3"/>
  <c r="O185" i="3" s="1"/>
  <c r="J185" i="3"/>
  <c r="I185" i="3"/>
  <c r="K185" i="3" s="1"/>
  <c r="H185" i="3"/>
  <c r="F185" i="3"/>
  <c r="E185" i="3"/>
  <c r="W185" i="3" s="1"/>
  <c r="D185" i="3"/>
  <c r="C185" i="3"/>
  <c r="B185" i="3"/>
  <c r="A185" i="3"/>
  <c r="AC184" i="3"/>
  <c r="AB184" i="3"/>
  <c r="AA184" i="3"/>
  <c r="Z184" i="3"/>
  <c r="S184" i="3"/>
  <c r="U184" i="3" s="1"/>
  <c r="V184" i="3" s="1"/>
  <c r="R184" i="3"/>
  <c r="T184" i="3" s="1"/>
  <c r="O184" i="3"/>
  <c r="N184" i="3"/>
  <c r="P184" i="3" s="1"/>
  <c r="M184" i="3"/>
  <c r="K184" i="3"/>
  <c r="L184" i="3" s="1"/>
  <c r="J184" i="3"/>
  <c r="W184" i="3" s="1"/>
  <c r="I184" i="3"/>
  <c r="H184" i="3"/>
  <c r="G184" i="3"/>
  <c r="F184" i="3"/>
  <c r="D184" i="3"/>
  <c r="C184" i="3"/>
  <c r="E184" i="3" s="1"/>
  <c r="B184" i="3"/>
  <c r="A184" i="3"/>
  <c r="AC183" i="3"/>
  <c r="AB183" i="3"/>
  <c r="AA183" i="3"/>
  <c r="Z183" i="3"/>
  <c r="T183" i="3"/>
  <c r="S183" i="3"/>
  <c r="U183" i="3" s="1"/>
  <c r="R183" i="3"/>
  <c r="P183" i="3"/>
  <c r="O183" i="3"/>
  <c r="N183" i="3"/>
  <c r="M183" i="3"/>
  <c r="K183" i="3"/>
  <c r="L183" i="3" s="1"/>
  <c r="I183" i="3"/>
  <c r="H183" i="3"/>
  <c r="J183" i="3" s="1"/>
  <c r="D183" i="3"/>
  <c r="F183" i="3" s="1"/>
  <c r="X183" i="3" s="1"/>
  <c r="C183" i="3"/>
  <c r="E183" i="3" s="1"/>
  <c r="W183" i="3" s="1"/>
  <c r="B183" i="3"/>
  <c r="A183" i="3"/>
  <c r="AC182" i="3"/>
  <c r="AB182" i="3"/>
  <c r="AA182" i="3"/>
  <c r="Z182" i="3"/>
  <c r="X182" i="3"/>
  <c r="U182" i="3"/>
  <c r="T182" i="3"/>
  <c r="S182" i="3"/>
  <c r="R182" i="3"/>
  <c r="P182" i="3"/>
  <c r="Q182" i="3" s="1"/>
  <c r="N182" i="3"/>
  <c r="M182" i="3"/>
  <c r="O182" i="3" s="1"/>
  <c r="I182" i="3"/>
  <c r="K182" i="3" s="1"/>
  <c r="L182" i="3" s="1"/>
  <c r="H182" i="3"/>
  <c r="J182" i="3" s="1"/>
  <c r="E182" i="3"/>
  <c r="D182" i="3"/>
  <c r="F182" i="3" s="1"/>
  <c r="C182" i="3"/>
  <c r="B182" i="3"/>
  <c r="A182" i="3"/>
  <c r="AC181" i="3"/>
  <c r="AB181" i="3"/>
  <c r="AA181" i="3"/>
  <c r="Z181" i="3"/>
  <c r="U181" i="3"/>
  <c r="V181" i="3" s="1"/>
  <c r="S181" i="3"/>
  <c r="R181" i="3"/>
  <c r="T181" i="3" s="1"/>
  <c r="N181" i="3"/>
  <c r="P181" i="3" s="1"/>
  <c r="Q181" i="3" s="1"/>
  <c r="M181" i="3"/>
  <c r="O181" i="3" s="1"/>
  <c r="J181" i="3"/>
  <c r="I181" i="3"/>
  <c r="K181" i="3" s="1"/>
  <c r="L181" i="3" s="1"/>
  <c r="H181" i="3"/>
  <c r="F181" i="3"/>
  <c r="E181" i="3"/>
  <c r="D181" i="3"/>
  <c r="C181" i="3"/>
  <c r="B181" i="3"/>
  <c r="A181" i="3"/>
  <c r="AC180" i="3"/>
  <c r="AB180" i="3"/>
  <c r="AA180" i="3"/>
  <c r="Z180" i="3"/>
  <c r="V180" i="3"/>
  <c r="S180" i="3"/>
  <c r="U180" i="3" s="1"/>
  <c r="R180" i="3"/>
  <c r="T180" i="3" s="1"/>
  <c r="O180" i="3"/>
  <c r="N180" i="3"/>
  <c r="P180" i="3" s="1"/>
  <c r="Q180" i="3" s="1"/>
  <c r="M180" i="3"/>
  <c r="K180" i="3"/>
  <c r="J180" i="3"/>
  <c r="I180" i="3"/>
  <c r="H180" i="3"/>
  <c r="F180" i="3"/>
  <c r="D180" i="3"/>
  <c r="C180" i="3"/>
  <c r="E180" i="3" s="1"/>
  <c r="W180" i="3" s="1"/>
  <c r="B180" i="3"/>
  <c r="A180" i="3"/>
  <c r="AC179" i="3"/>
  <c r="AB179" i="3"/>
  <c r="AA179" i="3"/>
  <c r="Z179" i="3"/>
  <c r="X179" i="3"/>
  <c r="T179" i="3"/>
  <c r="S179" i="3"/>
  <c r="U179" i="3" s="1"/>
  <c r="V179" i="3" s="1"/>
  <c r="R179" i="3"/>
  <c r="P179" i="3"/>
  <c r="Q179" i="3" s="1"/>
  <c r="O179" i="3"/>
  <c r="N179" i="3"/>
  <c r="M179" i="3"/>
  <c r="K179" i="3"/>
  <c r="I179" i="3"/>
  <c r="H179" i="3"/>
  <c r="J179" i="3" s="1"/>
  <c r="W179" i="3" s="1"/>
  <c r="G179" i="3"/>
  <c r="D179" i="3"/>
  <c r="F179" i="3" s="1"/>
  <c r="C179" i="3"/>
  <c r="E179" i="3" s="1"/>
  <c r="B179" i="3"/>
  <c r="A179" i="3"/>
  <c r="AC178" i="3"/>
  <c r="AB178" i="3"/>
  <c r="AA178" i="3"/>
  <c r="Z178" i="3"/>
  <c r="U178" i="3"/>
  <c r="V178" i="3" s="1"/>
  <c r="T178" i="3"/>
  <c r="S178" i="3"/>
  <c r="R178" i="3"/>
  <c r="Q178" i="3"/>
  <c r="P178" i="3"/>
  <c r="N178" i="3"/>
  <c r="M178" i="3"/>
  <c r="O178" i="3" s="1"/>
  <c r="L178" i="3"/>
  <c r="I178" i="3"/>
  <c r="K178" i="3" s="1"/>
  <c r="H178" i="3"/>
  <c r="J178" i="3" s="1"/>
  <c r="E178" i="3"/>
  <c r="D178" i="3"/>
  <c r="F178" i="3" s="1"/>
  <c r="G178" i="3" s="1"/>
  <c r="C178" i="3"/>
  <c r="B178" i="3"/>
  <c r="A178" i="3"/>
  <c r="AC177" i="3"/>
  <c r="AB177" i="3"/>
  <c r="AA177" i="3"/>
  <c r="Z177" i="3"/>
  <c r="U177" i="3"/>
  <c r="S177" i="3"/>
  <c r="R177" i="3"/>
  <c r="T177" i="3" s="1"/>
  <c r="V177" i="3" s="1"/>
  <c r="Q177" i="3"/>
  <c r="N177" i="3"/>
  <c r="P177" i="3" s="1"/>
  <c r="M177" i="3"/>
  <c r="O177" i="3" s="1"/>
  <c r="J177" i="3"/>
  <c r="I177" i="3"/>
  <c r="K177" i="3" s="1"/>
  <c r="H177" i="3"/>
  <c r="F177" i="3"/>
  <c r="E177" i="3"/>
  <c r="W177" i="3" s="1"/>
  <c r="D177" i="3"/>
  <c r="C177" i="3"/>
  <c r="B177" i="3"/>
  <c r="A177" i="3"/>
  <c r="AC176" i="3"/>
  <c r="AB176" i="3"/>
  <c r="AA176" i="3"/>
  <c r="Z176" i="3"/>
  <c r="S176" i="3"/>
  <c r="U176" i="3" s="1"/>
  <c r="V176" i="3" s="1"/>
  <c r="R176" i="3"/>
  <c r="T176" i="3" s="1"/>
  <c r="O176" i="3"/>
  <c r="N176" i="3"/>
  <c r="P176" i="3" s="1"/>
  <c r="M176" i="3"/>
  <c r="K176" i="3"/>
  <c r="L176" i="3" s="1"/>
  <c r="J176" i="3"/>
  <c r="W176" i="3" s="1"/>
  <c r="I176" i="3"/>
  <c r="H176" i="3"/>
  <c r="G176" i="3"/>
  <c r="F176" i="3"/>
  <c r="D176" i="3"/>
  <c r="C176" i="3"/>
  <c r="E176" i="3" s="1"/>
  <c r="B176" i="3"/>
  <c r="A176" i="3"/>
  <c r="AC175" i="3"/>
  <c r="AB175" i="3"/>
  <c r="AA175" i="3"/>
  <c r="Z175" i="3"/>
  <c r="T175" i="3"/>
  <c r="S175" i="3"/>
  <c r="U175" i="3" s="1"/>
  <c r="R175" i="3"/>
  <c r="P175" i="3"/>
  <c r="O175" i="3"/>
  <c r="N175" i="3"/>
  <c r="M175" i="3"/>
  <c r="K175" i="3"/>
  <c r="L175" i="3" s="1"/>
  <c r="I175" i="3"/>
  <c r="H175" i="3"/>
  <c r="J175" i="3" s="1"/>
  <c r="D175" i="3"/>
  <c r="F175" i="3" s="1"/>
  <c r="X175" i="3" s="1"/>
  <c r="C175" i="3"/>
  <c r="E175" i="3" s="1"/>
  <c r="W175" i="3" s="1"/>
  <c r="B175" i="3"/>
  <c r="A175" i="3"/>
  <c r="AC174" i="3"/>
  <c r="AB174" i="3"/>
  <c r="AA174" i="3"/>
  <c r="Z174" i="3"/>
  <c r="X174" i="3"/>
  <c r="U174" i="3"/>
  <c r="T174" i="3"/>
  <c r="S174" i="3"/>
  <c r="R174" i="3"/>
  <c r="P174" i="3"/>
  <c r="Q174" i="3" s="1"/>
  <c r="N174" i="3"/>
  <c r="M174" i="3"/>
  <c r="O174" i="3" s="1"/>
  <c r="I174" i="3"/>
  <c r="K174" i="3" s="1"/>
  <c r="L174" i="3" s="1"/>
  <c r="H174" i="3"/>
  <c r="J174" i="3" s="1"/>
  <c r="E174" i="3"/>
  <c r="D174" i="3"/>
  <c r="F174" i="3" s="1"/>
  <c r="C174" i="3"/>
  <c r="B174" i="3"/>
  <c r="A174" i="3"/>
  <c r="AC173" i="3"/>
  <c r="AB173" i="3"/>
  <c r="AA173" i="3"/>
  <c r="Z173" i="3"/>
  <c r="U173" i="3"/>
  <c r="V173" i="3" s="1"/>
  <c r="S173" i="3"/>
  <c r="R173" i="3"/>
  <c r="T173" i="3" s="1"/>
  <c r="N173" i="3"/>
  <c r="P173" i="3" s="1"/>
  <c r="Q173" i="3" s="1"/>
  <c r="M173" i="3"/>
  <c r="O173" i="3" s="1"/>
  <c r="J173" i="3"/>
  <c r="I173" i="3"/>
  <c r="K173" i="3" s="1"/>
  <c r="L173" i="3" s="1"/>
  <c r="H173" i="3"/>
  <c r="F173" i="3"/>
  <c r="E173" i="3"/>
  <c r="D173" i="3"/>
  <c r="C173" i="3"/>
  <c r="B173" i="3"/>
  <c r="A173" i="3"/>
  <c r="AC172" i="3"/>
  <c r="AB172" i="3"/>
  <c r="AA172" i="3"/>
  <c r="Z172" i="3"/>
  <c r="V172" i="3"/>
  <c r="S172" i="3"/>
  <c r="U172" i="3" s="1"/>
  <c r="R172" i="3"/>
  <c r="T172" i="3" s="1"/>
  <c r="O172" i="3"/>
  <c r="N172" i="3"/>
  <c r="P172" i="3" s="1"/>
  <c r="Q172" i="3" s="1"/>
  <c r="M172" i="3"/>
  <c r="K172" i="3"/>
  <c r="J172" i="3"/>
  <c r="I172" i="3"/>
  <c r="H172" i="3"/>
  <c r="F172" i="3"/>
  <c r="D172" i="3"/>
  <c r="C172" i="3"/>
  <c r="E172" i="3" s="1"/>
  <c r="W172" i="3" s="1"/>
  <c r="B172" i="3"/>
  <c r="A172" i="3"/>
  <c r="AC171" i="3"/>
  <c r="AB171" i="3"/>
  <c r="AA171" i="3"/>
  <c r="Z171" i="3"/>
  <c r="X171" i="3"/>
  <c r="T171" i="3"/>
  <c r="S171" i="3"/>
  <c r="U171" i="3" s="1"/>
  <c r="V171" i="3" s="1"/>
  <c r="R171" i="3"/>
  <c r="P171" i="3"/>
  <c r="Q171" i="3" s="1"/>
  <c r="O171" i="3"/>
  <c r="N171" i="3"/>
  <c r="M171" i="3"/>
  <c r="K171" i="3"/>
  <c r="I171" i="3"/>
  <c r="H171" i="3"/>
  <c r="J171" i="3" s="1"/>
  <c r="W171" i="3" s="1"/>
  <c r="G171" i="3"/>
  <c r="D171" i="3"/>
  <c r="F171" i="3" s="1"/>
  <c r="C171" i="3"/>
  <c r="E171" i="3" s="1"/>
  <c r="B171" i="3"/>
  <c r="A171" i="3"/>
  <c r="AC170" i="3"/>
  <c r="AB170" i="3"/>
  <c r="AA170" i="3"/>
  <c r="Z170" i="3"/>
  <c r="U170" i="3"/>
  <c r="V170" i="3" s="1"/>
  <c r="T170" i="3"/>
  <c r="S170" i="3"/>
  <c r="R170" i="3"/>
  <c r="Q170" i="3"/>
  <c r="P170" i="3"/>
  <c r="N170" i="3"/>
  <c r="M170" i="3"/>
  <c r="O170" i="3" s="1"/>
  <c r="L170" i="3"/>
  <c r="I170" i="3"/>
  <c r="K170" i="3" s="1"/>
  <c r="H170" i="3"/>
  <c r="J170" i="3" s="1"/>
  <c r="E170" i="3"/>
  <c r="D170" i="3"/>
  <c r="F170" i="3" s="1"/>
  <c r="G170" i="3" s="1"/>
  <c r="C170" i="3"/>
  <c r="B170" i="3"/>
  <c r="A170" i="3"/>
  <c r="AC169" i="3"/>
  <c r="AB169" i="3"/>
  <c r="AA169" i="3"/>
  <c r="Z169" i="3"/>
  <c r="U169" i="3"/>
  <c r="S169" i="3"/>
  <c r="R169" i="3"/>
  <c r="T169" i="3" s="1"/>
  <c r="V169" i="3" s="1"/>
  <c r="Q169" i="3"/>
  <c r="N169" i="3"/>
  <c r="P169" i="3" s="1"/>
  <c r="M169" i="3"/>
  <c r="O169" i="3" s="1"/>
  <c r="J169" i="3"/>
  <c r="I169" i="3"/>
  <c r="K169" i="3" s="1"/>
  <c r="H169" i="3"/>
  <c r="F169" i="3"/>
  <c r="E169" i="3"/>
  <c r="W169" i="3" s="1"/>
  <c r="D169" i="3"/>
  <c r="C169" i="3"/>
  <c r="B169" i="3"/>
  <c r="A169" i="3"/>
  <c r="AC168" i="3"/>
  <c r="AB168" i="3"/>
  <c r="AA168" i="3"/>
  <c r="Z168" i="3"/>
  <c r="S168" i="3"/>
  <c r="U168" i="3" s="1"/>
  <c r="V168" i="3" s="1"/>
  <c r="R168" i="3"/>
  <c r="T168" i="3" s="1"/>
  <c r="O168" i="3"/>
  <c r="N168" i="3"/>
  <c r="P168" i="3" s="1"/>
  <c r="M168" i="3"/>
  <c r="K168" i="3"/>
  <c r="L168" i="3" s="1"/>
  <c r="J168" i="3"/>
  <c r="W168" i="3" s="1"/>
  <c r="I168" i="3"/>
  <c r="H168" i="3"/>
  <c r="G168" i="3"/>
  <c r="F168" i="3"/>
  <c r="D168" i="3"/>
  <c r="C168" i="3"/>
  <c r="E168" i="3" s="1"/>
  <c r="B168" i="3"/>
  <c r="A168" i="3"/>
  <c r="AC167" i="3"/>
  <c r="AB167" i="3"/>
  <c r="AA167" i="3"/>
  <c r="Z167" i="3"/>
  <c r="T167" i="3"/>
  <c r="S167" i="3"/>
  <c r="U167" i="3" s="1"/>
  <c r="R167" i="3"/>
  <c r="P167" i="3"/>
  <c r="O167" i="3"/>
  <c r="N167" i="3"/>
  <c r="M167" i="3"/>
  <c r="K167" i="3"/>
  <c r="L167" i="3" s="1"/>
  <c r="I167" i="3"/>
  <c r="H167" i="3"/>
  <c r="J167" i="3" s="1"/>
  <c r="D167" i="3"/>
  <c r="F167" i="3" s="1"/>
  <c r="X167" i="3" s="1"/>
  <c r="C167" i="3"/>
  <c r="E167" i="3" s="1"/>
  <c r="W167" i="3" s="1"/>
  <c r="B167" i="3"/>
  <c r="A167" i="3"/>
  <c r="AC166" i="3"/>
  <c r="AB166" i="3"/>
  <c r="AA166" i="3"/>
  <c r="Z166" i="3"/>
  <c r="X166" i="3"/>
  <c r="U166" i="3"/>
  <c r="T166" i="3"/>
  <c r="S166" i="3"/>
  <c r="R166" i="3"/>
  <c r="P166" i="3"/>
  <c r="Q166" i="3" s="1"/>
  <c r="N166" i="3"/>
  <c r="M166" i="3"/>
  <c r="O166" i="3" s="1"/>
  <c r="I166" i="3"/>
  <c r="K166" i="3" s="1"/>
  <c r="L166" i="3" s="1"/>
  <c r="H166" i="3"/>
  <c r="J166" i="3" s="1"/>
  <c r="E166" i="3"/>
  <c r="D166" i="3"/>
  <c r="F166" i="3" s="1"/>
  <c r="C166" i="3"/>
  <c r="B166" i="3"/>
  <c r="A166" i="3"/>
  <c r="AC165" i="3"/>
  <c r="AB165" i="3"/>
  <c r="AA165" i="3"/>
  <c r="Z165" i="3"/>
  <c r="U165" i="3"/>
  <c r="V165" i="3" s="1"/>
  <c r="S165" i="3"/>
  <c r="R165" i="3"/>
  <c r="T165" i="3" s="1"/>
  <c r="N165" i="3"/>
  <c r="P165" i="3" s="1"/>
  <c r="Q165" i="3" s="1"/>
  <c r="M165" i="3"/>
  <c r="O165" i="3" s="1"/>
  <c r="J165" i="3"/>
  <c r="I165" i="3"/>
  <c r="K165" i="3" s="1"/>
  <c r="L165" i="3" s="1"/>
  <c r="H165" i="3"/>
  <c r="F165" i="3"/>
  <c r="E165" i="3"/>
  <c r="D165" i="3"/>
  <c r="C165" i="3"/>
  <c r="B165" i="3"/>
  <c r="A165" i="3"/>
  <c r="AC164" i="3"/>
  <c r="AB164" i="3"/>
  <c r="AA164" i="3"/>
  <c r="Z164" i="3"/>
  <c r="V164" i="3"/>
  <c r="S164" i="3"/>
  <c r="U164" i="3" s="1"/>
  <c r="R164" i="3"/>
  <c r="T164" i="3" s="1"/>
  <c r="O164" i="3"/>
  <c r="N164" i="3"/>
  <c r="P164" i="3" s="1"/>
  <c r="Q164" i="3" s="1"/>
  <c r="M164" i="3"/>
  <c r="K164" i="3"/>
  <c r="J164" i="3"/>
  <c r="I164" i="3"/>
  <c r="H164" i="3"/>
  <c r="F164" i="3"/>
  <c r="D164" i="3"/>
  <c r="C164" i="3"/>
  <c r="E164" i="3" s="1"/>
  <c r="W164" i="3" s="1"/>
  <c r="B164" i="3"/>
  <c r="A164" i="3"/>
  <c r="AC163" i="3"/>
  <c r="AB163" i="3"/>
  <c r="AA163" i="3"/>
  <c r="Z163" i="3"/>
  <c r="X163" i="3"/>
  <c r="T163" i="3"/>
  <c r="S163" i="3"/>
  <c r="U163" i="3" s="1"/>
  <c r="V163" i="3" s="1"/>
  <c r="R163" i="3"/>
  <c r="P163" i="3"/>
  <c r="Q163" i="3" s="1"/>
  <c r="O163" i="3"/>
  <c r="N163" i="3"/>
  <c r="M163" i="3"/>
  <c r="K163" i="3"/>
  <c r="I163" i="3"/>
  <c r="H163" i="3"/>
  <c r="J163" i="3" s="1"/>
  <c r="W163" i="3" s="1"/>
  <c r="G163" i="3"/>
  <c r="D163" i="3"/>
  <c r="F163" i="3" s="1"/>
  <c r="C163" i="3"/>
  <c r="E163" i="3" s="1"/>
  <c r="B163" i="3"/>
  <c r="A163" i="3"/>
  <c r="AC162" i="3"/>
  <c r="AB162" i="3"/>
  <c r="AA162" i="3"/>
  <c r="Z162" i="3"/>
  <c r="U162" i="3"/>
  <c r="V162" i="3" s="1"/>
  <c r="T162" i="3"/>
  <c r="S162" i="3"/>
  <c r="R162" i="3"/>
  <c r="Q162" i="3"/>
  <c r="P162" i="3"/>
  <c r="N162" i="3"/>
  <c r="M162" i="3"/>
  <c r="O162" i="3" s="1"/>
  <c r="L162" i="3"/>
  <c r="I162" i="3"/>
  <c r="K162" i="3" s="1"/>
  <c r="H162" i="3"/>
  <c r="J162" i="3" s="1"/>
  <c r="E162" i="3"/>
  <c r="D162" i="3"/>
  <c r="F162" i="3" s="1"/>
  <c r="G162" i="3" s="1"/>
  <c r="C162" i="3"/>
  <c r="B162" i="3"/>
  <c r="A162" i="3"/>
  <c r="AC161" i="3"/>
  <c r="AB161" i="3"/>
  <c r="AA161" i="3"/>
  <c r="Z161" i="3"/>
  <c r="U161" i="3"/>
  <c r="S161" i="3"/>
  <c r="R161" i="3"/>
  <c r="T161" i="3" s="1"/>
  <c r="V161" i="3" s="1"/>
  <c r="Q161" i="3"/>
  <c r="N161" i="3"/>
  <c r="P161" i="3" s="1"/>
  <c r="M161" i="3"/>
  <c r="O161" i="3" s="1"/>
  <c r="J161" i="3"/>
  <c r="I161" i="3"/>
  <c r="K161" i="3" s="1"/>
  <c r="H161" i="3"/>
  <c r="F161" i="3"/>
  <c r="E161" i="3"/>
  <c r="W161" i="3" s="1"/>
  <c r="D161" i="3"/>
  <c r="C161" i="3"/>
  <c r="B161" i="3"/>
  <c r="A161" i="3"/>
  <c r="AC160" i="3"/>
  <c r="AB160" i="3"/>
  <c r="AA160" i="3"/>
  <c r="Z160" i="3"/>
  <c r="S160" i="3"/>
  <c r="U160" i="3" s="1"/>
  <c r="V160" i="3" s="1"/>
  <c r="R160" i="3"/>
  <c r="T160" i="3" s="1"/>
  <c r="O160" i="3"/>
  <c r="N160" i="3"/>
  <c r="P160" i="3" s="1"/>
  <c r="M160" i="3"/>
  <c r="K160" i="3"/>
  <c r="L160" i="3" s="1"/>
  <c r="J160" i="3"/>
  <c r="W160" i="3" s="1"/>
  <c r="I160" i="3"/>
  <c r="H160" i="3"/>
  <c r="G160" i="3"/>
  <c r="F160" i="3"/>
  <c r="D160" i="3"/>
  <c r="C160" i="3"/>
  <c r="E160" i="3" s="1"/>
  <c r="B160" i="3"/>
  <c r="A160" i="3"/>
  <c r="AC159" i="3"/>
  <c r="AB159" i="3"/>
  <c r="AA159" i="3"/>
  <c r="Z159" i="3"/>
  <c r="T159" i="3"/>
  <c r="S159" i="3"/>
  <c r="U159" i="3" s="1"/>
  <c r="R159" i="3"/>
  <c r="P159" i="3"/>
  <c r="O159" i="3"/>
  <c r="N159" i="3"/>
  <c r="M159" i="3"/>
  <c r="K159" i="3"/>
  <c r="L159" i="3" s="1"/>
  <c r="I159" i="3"/>
  <c r="H159" i="3"/>
  <c r="J159" i="3" s="1"/>
  <c r="D159" i="3"/>
  <c r="F159" i="3" s="1"/>
  <c r="X159" i="3" s="1"/>
  <c r="C159" i="3"/>
  <c r="E159" i="3" s="1"/>
  <c r="W159" i="3" s="1"/>
  <c r="B159" i="3"/>
  <c r="A159" i="3"/>
  <c r="AC158" i="3"/>
  <c r="AB158" i="3"/>
  <c r="AA158" i="3"/>
  <c r="Z158" i="3"/>
  <c r="X158" i="3"/>
  <c r="U158" i="3"/>
  <c r="T158" i="3"/>
  <c r="S158" i="3"/>
  <c r="R158" i="3"/>
  <c r="P158" i="3"/>
  <c r="Q158" i="3" s="1"/>
  <c r="N158" i="3"/>
  <c r="M158" i="3"/>
  <c r="O158" i="3" s="1"/>
  <c r="I158" i="3"/>
  <c r="K158" i="3" s="1"/>
  <c r="L158" i="3" s="1"/>
  <c r="H158" i="3"/>
  <c r="J158" i="3" s="1"/>
  <c r="E158" i="3"/>
  <c r="D158" i="3"/>
  <c r="F158" i="3" s="1"/>
  <c r="C158" i="3"/>
  <c r="B158" i="3"/>
  <c r="A158" i="3"/>
  <c r="AC157" i="3"/>
  <c r="AB157" i="3"/>
  <c r="AA157" i="3"/>
  <c r="Z157" i="3"/>
  <c r="U157" i="3"/>
  <c r="V157" i="3" s="1"/>
  <c r="S157" i="3"/>
  <c r="R157" i="3"/>
  <c r="T157" i="3" s="1"/>
  <c r="N157" i="3"/>
  <c r="P157" i="3" s="1"/>
  <c r="Q157" i="3" s="1"/>
  <c r="M157" i="3"/>
  <c r="O157" i="3" s="1"/>
  <c r="J157" i="3"/>
  <c r="I157" i="3"/>
  <c r="K157" i="3" s="1"/>
  <c r="L157" i="3" s="1"/>
  <c r="H157" i="3"/>
  <c r="F157" i="3"/>
  <c r="E157" i="3"/>
  <c r="D157" i="3"/>
  <c r="C157" i="3"/>
  <c r="B157" i="3"/>
  <c r="A157" i="3"/>
  <c r="AC156" i="3"/>
  <c r="AB156" i="3"/>
  <c r="AA156" i="3"/>
  <c r="Z156" i="3"/>
  <c r="V156" i="3"/>
  <c r="S156" i="3"/>
  <c r="U156" i="3" s="1"/>
  <c r="R156" i="3"/>
  <c r="T156" i="3" s="1"/>
  <c r="O156" i="3"/>
  <c r="N156" i="3"/>
  <c r="P156" i="3" s="1"/>
  <c r="Q156" i="3" s="1"/>
  <c r="M156" i="3"/>
  <c r="K156" i="3"/>
  <c r="J156" i="3"/>
  <c r="I156" i="3"/>
  <c r="H156" i="3"/>
  <c r="F156" i="3"/>
  <c r="D156" i="3"/>
  <c r="C156" i="3"/>
  <c r="E156" i="3" s="1"/>
  <c r="W156" i="3" s="1"/>
  <c r="B156" i="3"/>
  <c r="A156" i="3"/>
  <c r="AC155" i="3"/>
  <c r="AB155" i="3"/>
  <c r="AA155" i="3"/>
  <c r="Z155" i="3"/>
  <c r="X155" i="3"/>
  <c r="T155" i="3"/>
  <c r="S155" i="3"/>
  <c r="U155" i="3" s="1"/>
  <c r="V155" i="3" s="1"/>
  <c r="R155" i="3"/>
  <c r="P155" i="3"/>
  <c r="Q155" i="3" s="1"/>
  <c r="O155" i="3"/>
  <c r="N155" i="3"/>
  <c r="M155" i="3"/>
  <c r="K155" i="3"/>
  <c r="I155" i="3"/>
  <c r="H155" i="3"/>
  <c r="J155" i="3" s="1"/>
  <c r="W155" i="3" s="1"/>
  <c r="G155" i="3"/>
  <c r="D155" i="3"/>
  <c r="F155" i="3" s="1"/>
  <c r="C155" i="3"/>
  <c r="E155" i="3" s="1"/>
  <c r="B155" i="3"/>
  <c r="A155" i="3"/>
  <c r="AC154" i="3"/>
  <c r="AB154" i="3"/>
  <c r="AA154" i="3"/>
  <c r="Z154" i="3"/>
  <c r="U154" i="3"/>
  <c r="V154" i="3" s="1"/>
  <c r="T154" i="3"/>
  <c r="S154" i="3"/>
  <c r="R154" i="3"/>
  <c r="Q154" i="3"/>
  <c r="P154" i="3"/>
  <c r="N154" i="3"/>
  <c r="M154" i="3"/>
  <c r="O154" i="3" s="1"/>
  <c r="L154" i="3"/>
  <c r="I154" i="3"/>
  <c r="K154" i="3" s="1"/>
  <c r="H154" i="3"/>
  <c r="J154" i="3" s="1"/>
  <c r="E154" i="3"/>
  <c r="D154" i="3"/>
  <c r="F154" i="3" s="1"/>
  <c r="G154" i="3" s="1"/>
  <c r="C154" i="3"/>
  <c r="B154" i="3"/>
  <c r="A154" i="3"/>
  <c r="AC153" i="3"/>
  <c r="AB153" i="3"/>
  <c r="AA153" i="3"/>
  <c r="Z153" i="3"/>
  <c r="U153" i="3"/>
  <c r="S153" i="3"/>
  <c r="R153" i="3"/>
  <c r="T153" i="3" s="1"/>
  <c r="V153" i="3" s="1"/>
  <c r="Q153" i="3"/>
  <c r="N153" i="3"/>
  <c r="P153" i="3" s="1"/>
  <c r="M153" i="3"/>
  <c r="O153" i="3" s="1"/>
  <c r="J153" i="3"/>
  <c r="I153" i="3"/>
  <c r="K153" i="3" s="1"/>
  <c r="H153" i="3"/>
  <c r="F153" i="3"/>
  <c r="E153" i="3"/>
  <c r="W153" i="3" s="1"/>
  <c r="D153" i="3"/>
  <c r="C153" i="3"/>
  <c r="B153" i="3"/>
  <c r="A153" i="3"/>
  <c r="AC152" i="3"/>
  <c r="AB152" i="3"/>
  <c r="AA152" i="3"/>
  <c r="Z152" i="3"/>
  <c r="S152" i="3"/>
  <c r="U152" i="3" s="1"/>
  <c r="V152" i="3" s="1"/>
  <c r="R152" i="3"/>
  <c r="T152" i="3" s="1"/>
  <c r="O152" i="3"/>
  <c r="N152" i="3"/>
  <c r="P152" i="3" s="1"/>
  <c r="M152" i="3"/>
  <c r="K152" i="3"/>
  <c r="L152" i="3" s="1"/>
  <c r="J152" i="3"/>
  <c r="W152" i="3" s="1"/>
  <c r="I152" i="3"/>
  <c r="H152" i="3"/>
  <c r="G152" i="3"/>
  <c r="F152" i="3"/>
  <c r="D152" i="3"/>
  <c r="C152" i="3"/>
  <c r="E152" i="3" s="1"/>
  <c r="B152" i="3"/>
  <c r="A152" i="3"/>
  <c r="AC151" i="3"/>
  <c r="AB151" i="3"/>
  <c r="AA151" i="3"/>
  <c r="Z151" i="3"/>
  <c r="T151" i="3"/>
  <c r="S151" i="3"/>
  <c r="U151" i="3" s="1"/>
  <c r="R151" i="3"/>
  <c r="P151" i="3"/>
  <c r="O151" i="3"/>
  <c r="N151" i="3"/>
  <c r="M151" i="3"/>
  <c r="K151" i="3"/>
  <c r="L151" i="3" s="1"/>
  <c r="I151" i="3"/>
  <c r="H151" i="3"/>
  <c r="J151" i="3" s="1"/>
  <c r="D151" i="3"/>
  <c r="F151" i="3" s="1"/>
  <c r="X151" i="3" s="1"/>
  <c r="C151" i="3"/>
  <c r="E151" i="3" s="1"/>
  <c r="W151" i="3" s="1"/>
  <c r="B151" i="3"/>
  <c r="A151" i="3"/>
  <c r="AC150" i="3"/>
  <c r="AB150" i="3"/>
  <c r="AA150" i="3"/>
  <c r="Z150" i="3"/>
  <c r="X150" i="3"/>
  <c r="U150" i="3"/>
  <c r="T150" i="3"/>
  <c r="S150" i="3"/>
  <c r="R150" i="3"/>
  <c r="P150" i="3"/>
  <c r="Q150" i="3" s="1"/>
  <c r="N150" i="3"/>
  <c r="M150" i="3"/>
  <c r="O150" i="3" s="1"/>
  <c r="I150" i="3"/>
  <c r="K150" i="3" s="1"/>
  <c r="L150" i="3" s="1"/>
  <c r="H150" i="3"/>
  <c r="J150" i="3" s="1"/>
  <c r="E150" i="3"/>
  <c r="D150" i="3"/>
  <c r="F150" i="3" s="1"/>
  <c r="C150" i="3"/>
  <c r="B150" i="3"/>
  <c r="A150" i="3"/>
  <c r="AC149" i="3"/>
  <c r="AB149" i="3"/>
  <c r="AA149" i="3"/>
  <c r="Z149" i="3"/>
  <c r="U149" i="3"/>
  <c r="V149" i="3" s="1"/>
  <c r="S149" i="3"/>
  <c r="R149" i="3"/>
  <c r="T149" i="3" s="1"/>
  <c r="N149" i="3"/>
  <c r="P149" i="3" s="1"/>
  <c r="Q149" i="3" s="1"/>
  <c r="M149" i="3"/>
  <c r="O149" i="3" s="1"/>
  <c r="J149" i="3"/>
  <c r="I149" i="3"/>
  <c r="K149" i="3" s="1"/>
  <c r="L149" i="3" s="1"/>
  <c r="H149" i="3"/>
  <c r="F149" i="3"/>
  <c r="E149" i="3"/>
  <c r="D149" i="3"/>
  <c r="C149" i="3"/>
  <c r="B149" i="3"/>
  <c r="A149" i="3"/>
  <c r="AC148" i="3"/>
  <c r="AB148" i="3"/>
  <c r="AA148" i="3"/>
  <c r="Z148" i="3"/>
  <c r="V148" i="3"/>
  <c r="S148" i="3"/>
  <c r="U148" i="3" s="1"/>
  <c r="R148" i="3"/>
  <c r="T148" i="3" s="1"/>
  <c r="O148" i="3"/>
  <c r="N148" i="3"/>
  <c r="P148" i="3" s="1"/>
  <c r="Q148" i="3" s="1"/>
  <c r="M148" i="3"/>
  <c r="K148" i="3"/>
  <c r="J148" i="3"/>
  <c r="I148" i="3"/>
  <c r="H148" i="3"/>
  <c r="F148" i="3"/>
  <c r="D148" i="3"/>
  <c r="C148" i="3"/>
  <c r="E148" i="3" s="1"/>
  <c r="W148" i="3" s="1"/>
  <c r="B148" i="3"/>
  <c r="A148" i="3"/>
  <c r="AC147" i="3"/>
  <c r="AB147" i="3"/>
  <c r="AA147" i="3"/>
  <c r="Z147" i="3"/>
  <c r="X147" i="3"/>
  <c r="T147" i="3"/>
  <c r="S147" i="3"/>
  <c r="U147" i="3" s="1"/>
  <c r="V147" i="3" s="1"/>
  <c r="R147" i="3"/>
  <c r="P147" i="3"/>
  <c r="Q147" i="3" s="1"/>
  <c r="O147" i="3"/>
  <c r="N147" i="3"/>
  <c r="M147" i="3"/>
  <c r="K147" i="3"/>
  <c r="I147" i="3"/>
  <c r="H147" i="3"/>
  <c r="J147" i="3" s="1"/>
  <c r="W147" i="3" s="1"/>
  <c r="G147" i="3"/>
  <c r="D147" i="3"/>
  <c r="F147" i="3" s="1"/>
  <c r="C147" i="3"/>
  <c r="E147" i="3" s="1"/>
  <c r="B147" i="3"/>
  <c r="A147" i="3"/>
  <c r="AC146" i="3"/>
  <c r="AB146" i="3"/>
  <c r="AA146" i="3"/>
  <c r="Z146" i="3"/>
  <c r="U146" i="3"/>
  <c r="V146" i="3" s="1"/>
  <c r="T146" i="3"/>
  <c r="S146" i="3"/>
  <c r="R146" i="3"/>
  <c r="Q146" i="3"/>
  <c r="P146" i="3"/>
  <c r="N146" i="3"/>
  <c r="M146" i="3"/>
  <c r="O146" i="3" s="1"/>
  <c r="L146" i="3"/>
  <c r="I146" i="3"/>
  <c r="K146" i="3" s="1"/>
  <c r="H146" i="3"/>
  <c r="J146" i="3" s="1"/>
  <c r="E146" i="3"/>
  <c r="D146" i="3"/>
  <c r="F146" i="3" s="1"/>
  <c r="G146" i="3" s="1"/>
  <c r="C146" i="3"/>
  <c r="B146" i="3"/>
  <c r="A146" i="3"/>
  <c r="AC145" i="3"/>
  <c r="AB145" i="3"/>
  <c r="AA145" i="3"/>
  <c r="Z145" i="3"/>
  <c r="U145" i="3"/>
  <c r="S145" i="3"/>
  <c r="R145" i="3"/>
  <c r="T145" i="3" s="1"/>
  <c r="V145" i="3" s="1"/>
  <c r="Q145" i="3"/>
  <c r="N145" i="3"/>
  <c r="P145" i="3" s="1"/>
  <c r="M145" i="3"/>
  <c r="O145" i="3" s="1"/>
  <c r="J145" i="3"/>
  <c r="I145" i="3"/>
  <c r="K145" i="3" s="1"/>
  <c r="H145" i="3"/>
  <c r="F145" i="3"/>
  <c r="E145" i="3"/>
  <c r="W145" i="3" s="1"/>
  <c r="D145" i="3"/>
  <c r="C145" i="3"/>
  <c r="B145" i="3"/>
  <c r="A145" i="3"/>
  <c r="AC144" i="3"/>
  <c r="AB144" i="3"/>
  <c r="AA144" i="3"/>
  <c r="Z144" i="3"/>
  <c r="S144" i="3"/>
  <c r="U144" i="3" s="1"/>
  <c r="V144" i="3" s="1"/>
  <c r="R144" i="3"/>
  <c r="T144" i="3" s="1"/>
  <c r="O144" i="3"/>
  <c r="N144" i="3"/>
  <c r="P144" i="3" s="1"/>
  <c r="M144" i="3"/>
  <c r="K144" i="3"/>
  <c r="L144" i="3" s="1"/>
  <c r="J144" i="3"/>
  <c r="W144" i="3" s="1"/>
  <c r="I144" i="3"/>
  <c r="H144" i="3"/>
  <c r="G144" i="3"/>
  <c r="F144" i="3"/>
  <c r="D144" i="3"/>
  <c r="C144" i="3"/>
  <c r="E144" i="3" s="1"/>
  <c r="B144" i="3"/>
  <c r="A144" i="3"/>
  <c r="AC143" i="3"/>
  <c r="AB143" i="3"/>
  <c r="AA143" i="3"/>
  <c r="Z143" i="3"/>
  <c r="T143" i="3"/>
  <c r="S143" i="3"/>
  <c r="U143" i="3" s="1"/>
  <c r="R143" i="3"/>
  <c r="P143" i="3"/>
  <c r="O143" i="3"/>
  <c r="N143" i="3"/>
  <c r="M143" i="3"/>
  <c r="K143" i="3"/>
  <c r="L143" i="3" s="1"/>
  <c r="I143" i="3"/>
  <c r="H143" i="3"/>
  <c r="J143" i="3" s="1"/>
  <c r="D143" i="3"/>
  <c r="F143" i="3" s="1"/>
  <c r="X143" i="3" s="1"/>
  <c r="C143" i="3"/>
  <c r="E143" i="3" s="1"/>
  <c r="W143" i="3" s="1"/>
  <c r="B143" i="3"/>
  <c r="A143" i="3"/>
  <c r="AC142" i="3"/>
  <c r="AB142" i="3"/>
  <c r="AA142" i="3"/>
  <c r="Z142" i="3"/>
  <c r="X142" i="3"/>
  <c r="U142" i="3"/>
  <c r="T142" i="3"/>
  <c r="S142" i="3"/>
  <c r="R142" i="3"/>
  <c r="P142" i="3"/>
  <c r="Q142" i="3" s="1"/>
  <c r="N142" i="3"/>
  <c r="M142" i="3"/>
  <c r="O142" i="3" s="1"/>
  <c r="I142" i="3"/>
  <c r="K142" i="3" s="1"/>
  <c r="L142" i="3" s="1"/>
  <c r="H142" i="3"/>
  <c r="J142" i="3" s="1"/>
  <c r="E142" i="3"/>
  <c r="D142" i="3"/>
  <c r="F142" i="3" s="1"/>
  <c r="C142" i="3"/>
  <c r="B142" i="3"/>
  <c r="A142" i="3"/>
  <c r="AC141" i="3"/>
  <c r="AB141" i="3"/>
  <c r="AA141" i="3"/>
  <c r="Z141" i="3"/>
  <c r="U141" i="3"/>
  <c r="V141" i="3" s="1"/>
  <c r="S141" i="3"/>
  <c r="R141" i="3"/>
  <c r="T141" i="3" s="1"/>
  <c r="N141" i="3"/>
  <c r="P141" i="3" s="1"/>
  <c r="Q141" i="3" s="1"/>
  <c r="M141" i="3"/>
  <c r="O141" i="3" s="1"/>
  <c r="J141" i="3"/>
  <c r="I141" i="3"/>
  <c r="K141" i="3" s="1"/>
  <c r="L141" i="3" s="1"/>
  <c r="H141" i="3"/>
  <c r="F141" i="3"/>
  <c r="E141" i="3"/>
  <c r="D141" i="3"/>
  <c r="C141" i="3"/>
  <c r="B141" i="3"/>
  <c r="A141" i="3"/>
  <c r="AC140" i="3"/>
  <c r="AB140" i="3"/>
  <c r="AA140" i="3"/>
  <c r="Z140" i="3"/>
  <c r="V140" i="3"/>
  <c r="S140" i="3"/>
  <c r="U140" i="3" s="1"/>
  <c r="R140" i="3"/>
  <c r="T140" i="3" s="1"/>
  <c r="O140" i="3"/>
  <c r="N140" i="3"/>
  <c r="P140" i="3" s="1"/>
  <c r="Q140" i="3" s="1"/>
  <c r="M140" i="3"/>
  <c r="K140" i="3"/>
  <c r="J140" i="3"/>
  <c r="I140" i="3"/>
  <c r="H140" i="3"/>
  <c r="F140" i="3"/>
  <c r="D140" i="3"/>
  <c r="C140" i="3"/>
  <c r="E140" i="3" s="1"/>
  <c r="W140" i="3" s="1"/>
  <c r="B140" i="3"/>
  <c r="A140" i="3"/>
  <c r="AC139" i="3"/>
  <c r="AB139" i="3"/>
  <c r="AA139" i="3"/>
  <c r="Z139" i="3"/>
  <c r="X139" i="3"/>
  <c r="T139" i="3"/>
  <c r="S139" i="3"/>
  <c r="U139" i="3" s="1"/>
  <c r="V139" i="3" s="1"/>
  <c r="R139" i="3"/>
  <c r="P139" i="3"/>
  <c r="Q139" i="3" s="1"/>
  <c r="O139" i="3"/>
  <c r="N139" i="3"/>
  <c r="M139" i="3"/>
  <c r="K139" i="3"/>
  <c r="I139" i="3"/>
  <c r="H139" i="3"/>
  <c r="J139" i="3" s="1"/>
  <c r="W139" i="3" s="1"/>
  <c r="G139" i="3"/>
  <c r="D139" i="3"/>
  <c r="F139" i="3" s="1"/>
  <c r="C139" i="3"/>
  <c r="E139" i="3" s="1"/>
  <c r="B139" i="3"/>
  <c r="A139" i="3"/>
  <c r="AC138" i="3"/>
  <c r="AB138" i="3"/>
  <c r="AA138" i="3"/>
  <c r="Z138" i="3"/>
  <c r="U138" i="3"/>
  <c r="V138" i="3" s="1"/>
  <c r="T138" i="3"/>
  <c r="S138" i="3"/>
  <c r="R138" i="3"/>
  <c r="Q138" i="3"/>
  <c r="P138" i="3"/>
  <c r="N138" i="3"/>
  <c r="M138" i="3"/>
  <c r="O138" i="3" s="1"/>
  <c r="L138" i="3"/>
  <c r="I138" i="3"/>
  <c r="K138" i="3" s="1"/>
  <c r="H138" i="3"/>
  <c r="J138" i="3" s="1"/>
  <c r="E138" i="3"/>
  <c r="D138" i="3"/>
  <c r="F138" i="3" s="1"/>
  <c r="G138" i="3" s="1"/>
  <c r="C138" i="3"/>
  <c r="B138" i="3"/>
  <c r="A138" i="3"/>
  <c r="AC137" i="3"/>
  <c r="AB137" i="3"/>
  <c r="AA137" i="3"/>
  <c r="Z137" i="3"/>
  <c r="U137" i="3"/>
  <c r="S137" i="3"/>
  <c r="R137" i="3"/>
  <c r="T137" i="3" s="1"/>
  <c r="V137" i="3" s="1"/>
  <c r="Q137" i="3"/>
  <c r="N137" i="3"/>
  <c r="P137" i="3" s="1"/>
  <c r="M137" i="3"/>
  <c r="O137" i="3" s="1"/>
  <c r="J137" i="3"/>
  <c r="I137" i="3"/>
  <c r="K137" i="3" s="1"/>
  <c r="H137" i="3"/>
  <c r="F137" i="3"/>
  <c r="E137" i="3"/>
  <c r="W137" i="3" s="1"/>
  <c r="D137" i="3"/>
  <c r="C137" i="3"/>
  <c r="B137" i="3"/>
  <c r="A137" i="3"/>
  <c r="AC136" i="3"/>
  <c r="AB136" i="3"/>
  <c r="AA136" i="3"/>
  <c r="Z136" i="3"/>
  <c r="S136" i="3"/>
  <c r="U136" i="3" s="1"/>
  <c r="V136" i="3" s="1"/>
  <c r="R136" i="3"/>
  <c r="T136" i="3" s="1"/>
  <c r="O136" i="3"/>
  <c r="N136" i="3"/>
  <c r="P136" i="3" s="1"/>
  <c r="M136" i="3"/>
  <c r="K136" i="3"/>
  <c r="L136" i="3" s="1"/>
  <c r="J136" i="3"/>
  <c r="W136" i="3" s="1"/>
  <c r="I136" i="3"/>
  <c r="H136" i="3"/>
  <c r="G136" i="3"/>
  <c r="F136" i="3"/>
  <c r="D136" i="3"/>
  <c r="C136" i="3"/>
  <c r="E136" i="3" s="1"/>
  <c r="B136" i="3"/>
  <c r="A136" i="3"/>
  <c r="AC135" i="3"/>
  <c r="AB135" i="3"/>
  <c r="AA135" i="3"/>
  <c r="Z135" i="3"/>
  <c r="T135" i="3"/>
  <c r="S135" i="3"/>
  <c r="U135" i="3" s="1"/>
  <c r="R135" i="3"/>
  <c r="P135" i="3"/>
  <c r="O135" i="3"/>
  <c r="N135" i="3"/>
  <c r="M135" i="3"/>
  <c r="K135" i="3"/>
  <c r="L135" i="3" s="1"/>
  <c r="I135" i="3"/>
  <c r="H135" i="3"/>
  <c r="J135" i="3" s="1"/>
  <c r="D135" i="3"/>
  <c r="F135" i="3" s="1"/>
  <c r="X135" i="3" s="1"/>
  <c r="C135" i="3"/>
  <c r="E135" i="3" s="1"/>
  <c r="W135" i="3" s="1"/>
  <c r="B135" i="3"/>
  <c r="A135" i="3"/>
  <c r="AC134" i="3"/>
  <c r="AB134" i="3"/>
  <c r="AA134" i="3"/>
  <c r="Z134" i="3"/>
  <c r="X134" i="3"/>
  <c r="U134" i="3"/>
  <c r="T134" i="3"/>
  <c r="S134" i="3"/>
  <c r="R134" i="3"/>
  <c r="P134" i="3"/>
  <c r="Q134" i="3" s="1"/>
  <c r="N134" i="3"/>
  <c r="M134" i="3"/>
  <c r="O134" i="3" s="1"/>
  <c r="I134" i="3"/>
  <c r="K134" i="3" s="1"/>
  <c r="L134" i="3" s="1"/>
  <c r="H134" i="3"/>
  <c r="J134" i="3" s="1"/>
  <c r="E134" i="3"/>
  <c r="D134" i="3"/>
  <c r="F134" i="3" s="1"/>
  <c r="C134" i="3"/>
  <c r="B134" i="3"/>
  <c r="A134" i="3"/>
  <c r="AC133" i="3"/>
  <c r="AB133" i="3"/>
  <c r="AA133" i="3"/>
  <c r="Z133" i="3"/>
  <c r="U133" i="3"/>
  <c r="V133" i="3" s="1"/>
  <c r="S133" i="3"/>
  <c r="R133" i="3"/>
  <c r="T133" i="3" s="1"/>
  <c r="N133" i="3"/>
  <c r="P133" i="3" s="1"/>
  <c r="Q133" i="3" s="1"/>
  <c r="M133" i="3"/>
  <c r="O133" i="3" s="1"/>
  <c r="J133" i="3"/>
  <c r="I133" i="3"/>
  <c r="K133" i="3" s="1"/>
  <c r="L133" i="3" s="1"/>
  <c r="H133" i="3"/>
  <c r="F133" i="3"/>
  <c r="E133" i="3"/>
  <c r="D133" i="3"/>
  <c r="C133" i="3"/>
  <c r="B133" i="3"/>
  <c r="A133" i="3"/>
  <c r="AC132" i="3"/>
  <c r="AB132" i="3"/>
  <c r="AA132" i="3"/>
  <c r="Z132" i="3"/>
  <c r="V132" i="3"/>
  <c r="S132" i="3"/>
  <c r="U132" i="3" s="1"/>
  <c r="R132" i="3"/>
  <c r="T132" i="3" s="1"/>
  <c r="O132" i="3"/>
  <c r="N132" i="3"/>
  <c r="P132" i="3" s="1"/>
  <c r="Q132" i="3" s="1"/>
  <c r="M132" i="3"/>
  <c r="K132" i="3"/>
  <c r="J132" i="3"/>
  <c r="I132" i="3"/>
  <c r="H132" i="3"/>
  <c r="F132" i="3"/>
  <c r="D132" i="3"/>
  <c r="C132" i="3"/>
  <c r="E132" i="3" s="1"/>
  <c r="W132" i="3" s="1"/>
  <c r="B132" i="3"/>
  <c r="A132" i="3"/>
  <c r="AC131" i="3"/>
  <c r="AB131" i="3"/>
  <c r="AA131" i="3"/>
  <c r="Z131" i="3"/>
  <c r="X131" i="3"/>
  <c r="T131" i="3"/>
  <c r="S131" i="3"/>
  <c r="U131" i="3" s="1"/>
  <c r="V131" i="3" s="1"/>
  <c r="R131" i="3"/>
  <c r="P131" i="3"/>
  <c r="Q131" i="3" s="1"/>
  <c r="O131" i="3"/>
  <c r="N131" i="3"/>
  <c r="M131" i="3"/>
  <c r="K131" i="3"/>
  <c r="I131" i="3"/>
  <c r="H131" i="3"/>
  <c r="J131" i="3" s="1"/>
  <c r="W131" i="3" s="1"/>
  <c r="G131" i="3"/>
  <c r="D131" i="3"/>
  <c r="F131" i="3" s="1"/>
  <c r="C131" i="3"/>
  <c r="E131" i="3" s="1"/>
  <c r="B131" i="3"/>
  <c r="A131" i="3"/>
  <c r="AC130" i="3"/>
  <c r="AB130" i="3"/>
  <c r="AA130" i="3"/>
  <c r="Z130" i="3"/>
  <c r="U130" i="3"/>
  <c r="V130" i="3" s="1"/>
  <c r="T130" i="3"/>
  <c r="S130" i="3"/>
  <c r="R130" i="3"/>
  <c r="Q130" i="3"/>
  <c r="P130" i="3"/>
  <c r="N130" i="3"/>
  <c r="M130" i="3"/>
  <c r="O130" i="3" s="1"/>
  <c r="L130" i="3"/>
  <c r="I130" i="3"/>
  <c r="K130" i="3" s="1"/>
  <c r="H130" i="3"/>
  <c r="J130" i="3" s="1"/>
  <c r="E130" i="3"/>
  <c r="D130" i="3"/>
  <c r="F130" i="3" s="1"/>
  <c r="G130" i="3" s="1"/>
  <c r="C130" i="3"/>
  <c r="B130" i="3"/>
  <c r="A130" i="3"/>
  <c r="AC129" i="3"/>
  <c r="AB129" i="3"/>
  <c r="AA129" i="3"/>
  <c r="Z129" i="3"/>
  <c r="U129" i="3"/>
  <c r="S129" i="3"/>
  <c r="R129" i="3"/>
  <c r="T129" i="3" s="1"/>
  <c r="V129" i="3" s="1"/>
  <c r="Q129" i="3"/>
  <c r="N129" i="3"/>
  <c r="P129" i="3" s="1"/>
  <c r="M129" i="3"/>
  <c r="O129" i="3" s="1"/>
  <c r="J129" i="3"/>
  <c r="I129" i="3"/>
  <c r="K129" i="3" s="1"/>
  <c r="H129" i="3"/>
  <c r="F129" i="3"/>
  <c r="E129" i="3"/>
  <c r="W129" i="3" s="1"/>
  <c r="D129" i="3"/>
  <c r="C129" i="3"/>
  <c r="B129" i="3"/>
  <c r="A129" i="3"/>
  <c r="AC128" i="3"/>
  <c r="AB128" i="3"/>
  <c r="AA128" i="3"/>
  <c r="Z128" i="3"/>
  <c r="S128" i="3"/>
  <c r="U128" i="3" s="1"/>
  <c r="V128" i="3" s="1"/>
  <c r="R128" i="3"/>
  <c r="T128" i="3" s="1"/>
  <c r="O128" i="3"/>
  <c r="N128" i="3"/>
  <c r="P128" i="3" s="1"/>
  <c r="M128" i="3"/>
  <c r="K128" i="3"/>
  <c r="L128" i="3" s="1"/>
  <c r="J128" i="3"/>
  <c r="W128" i="3" s="1"/>
  <c r="I128" i="3"/>
  <c r="H128" i="3"/>
  <c r="G128" i="3"/>
  <c r="F128" i="3"/>
  <c r="D128" i="3"/>
  <c r="C128" i="3"/>
  <c r="E128" i="3" s="1"/>
  <c r="B128" i="3"/>
  <c r="A128" i="3"/>
  <c r="AC127" i="3"/>
  <c r="AB127" i="3"/>
  <c r="AA127" i="3"/>
  <c r="Z127" i="3"/>
  <c r="T127" i="3"/>
  <c r="S127" i="3"/>
  <c r="U127" i="3" s="1"/>
  <c r="R127" i="3"/>
  <c r="P127" i="3"/>
  <c r="O127" i="3"/>
  <c r="N127" i="3"/>
  <c r="M127" i="3"/>
  <c r="K127" i="3"/>
  <c r="L127" i="3" s="1"/>
  <c r="I127" i="3"/>
  <c r="H127" i="3"/>
  <c r="J127" i="3" s="1"/>
  <c r="D127" i="3"/>
  <c r="F127" i="3" s="1"/>
  <c r="X127" i="3" s="1"/>
  <c r="C127" i="3"/>
  <c r="E127" i="3" s="1"/>
  <c r="W127" i="3" s="1"/>
  <c r="B127" i="3"/>
  <c r="A127" i="3"/>
  <c r="AC126" i="3"/>
  <c r="AB126" i="3"/>
  <c r="AA126" i="3"/>
  <c r="Z126" i="3"/>
  <c r="X126" i="3"/>
  <c r="U126" i="3"/>
  <c r="T126" i="3"/>
  <c r="S126" i="3"/>
  <c r="R126" i="3"/>
  <c r="P126" i="3"/>
  <c r="Q126" i="3" s="1"/>
  <c r="N126" i="3"/>
  <c r="M126" i="3"/>
  <c r="O126" i="3" s="1"/>
  <c r="I126" i="3"/>
  <c r="K126" i="3" s="1"/>
  <c r="L126" i="3" s="1"/>
  <c r="H126" i="3"/>
  <c r="J126" i="3" s="1"/>
  <c r="E126" i="3"/>
  <c r="D126" i="3"/>
  <c r="F126" i="3" s="1"/>
  <c r="C126" i="3"/>
  <c r="B126" i="3"/>
  <c r="A126" i="3"/>
  <c r="AC125" i="3"/>
  <c r="AB125" i="3"/>
  <c r="AA125" i="3"/>
  <c r="Z125" i="3"/>
  <c r="U125" i="3"/>
  <c r="V125" i="3" s="1"/>
  <c r="S125" i="3"/>
  <c r="R125" i="3"/>
  <c r="T125" i="3" s="1"/>
  <c r="N125" i="3"/>
  <c r="P125" i="3" s="1"/>
  <c r="Q125" i="3" s="1"/>
  <c r="M125" i="3"/>
  <c r="O125" i="3" s="1"/>
  <c r="J125" i="3"/>
  <c r="I125" i="3"/>
  <c r="K125" i="3" s="1"/>
  <c r="L125" i="3" s="1"/>
  <c r="H125" i="3"/>
  <c r="F125" i="3"/>
  <c r="E125" i="3"/>
  <c r="D125" i="3"/>
  <c r="C125" i="3"/>
  <c r="B125" i="3"/>
  <c r="A125" i="3"/>
  <c r="AC124" i="3"/>
  <c r="AB124" i="3"/>
  <c r="AA124" i="3"/>
  <c r="Z124" i="3"/>
  <c r="V124" i="3"/>
  <c r="S124" i="3"/>
  <c r="U124" i="3" s="1"/>
  <c r="R124" i="3"/>
  <c r="T124" i="3" s="1"/>
  <c r="O124" i="3"/>
  <c r="N124" i="3"/>
  <c r="P124" i="3" s="1"/>
  <c r="Q124" i="3" s="1"/>
  <c r="M124" i="3"/>
  <c r="K124" i="3"/>
  <c r="J124" i="3"/>
  <c r="I124" i="3"/>
  <c r="H124" i="3"/>
  <c r="F124" i="3"/>
  <c r="D124" i="3"/>
  <c r="C124" i="3"/>
  <c r="E124" i="3" s="1"/>
  <c r="W124" i="3" s="1"/>
  <c r="B124" i="3"/>
  <c r="A124" i="3"/>
  <c r="AC123" i="3"/>
  <c r="AB123" i="3"/>
  <c r="AA123" i="3"/>
  <c r="Z123" i="3"/>
  <c r="X123" i="3"/>
  <c r="T123" i="3"/>
  <c r="S123" i="3"/>
  <c r="U123" i="3" s="1"/>
  <c r="V123" i="3" s="1"/>
  <c r="R123" i="3"/>
  <c r="P123" i="3"/>
  <c r="Q123" i="3" s="1"/>
  <c r="O123" i="3"/>
  <c r="N123" i="3"/>
  <c r="M123" i="3"/>
  <c r="K123" i="3"/>
  <c r="I123" i="3"/>
  <c r="H123" i="3"/>
  <c r="J123" i="3" s="1"/>
  <c r="W123" i="3" s="1"/>
  <c r="G123" i="3"/>
  <c r="D123" i="3"/>
  <c r="F123" i="3" s="1"/>
  <c r="C123" i="3"/>
  <c r="E123" i="3" s="1"/>
  <c r="B123" i="3"/>
  <c r="A123" i="3"/>
  <c r="AC122" i="3"/>
  <c r="AB122" i="3"/>
  <c r="AA122" i="3"/>
  <c r="Z122" i="3"/>
  <c r="U122" i="3"/>
  <c r="V122" i="3" s="1"/>
  <c r="T122" i="3"/>
  <c r="S122" i="3"/>
  <c r="R122" i="3"/>
  <c r="Q122" i="3"/>
  <c r="P122" i="3"/>
  <c r="N122" i="3"/>
  <c r="M122" i="3"/>
  <c r="O122" i="3" s="1"/>
  <c r="L122" i="3"/>
  <c r="I122" i="3"/>
  <c r="K122" i="3" s="1"/>
  <c r="H122" i="3"/>
  <c r="J122" i="3" s="1"/>
  <c r="E122" i="3"/>
  <c r="D122" i="3"/>
  <c r="F122" i="3" s="1"/>
  <c r="G122" i="3" s="1"/>
  <c r="C122" i="3"/>
  <c r="B122" i="3"/>
  <c r="A122" i="3"/>
  <c r="AC121" i="3"/>
  <c r="AB121" i="3"/>
  <c r="AA121" i="3"/>
  <c r="Z121" i="3"/>
  <c r="U121" i="3"/>
  <c r="S121" i="3"/>
  <c r="R121" i="3"/>
  <c r="T121" i="3" s="1"/>
  <c r="V121" i="3" s="1"/>
  <c r="Q121" i="3"/>
  <c r="N121" i="3"/>
  <c r="P121" i="3" s="1"/>
  <c r="M121" i="3"/>
  <c r="O121" i="3" s="1"/>
  <c r="J121" i="3"/>
  <c r="I121" i="3"/>
  <c r="K121" i="3" s="1"/>
  <c r="H121" i="3"/>
  <c r="F121" i="3"/>
  <c r="E121" i="3"/>
  <c r="W121" i="3" s="1"/>
  <c r="D121" i="3"/>
  <c r="C121" i="3"/>
  <c r="B121" i="3"/>
  <c r="A121" i="3"/>
  <c r="AC120" i="3"/>
  <c r="AB120" i="3"/>
  <c r="AA120" i="3"/>
  <c r="Z120" i="3"/>
  <c r="S120" i="3"/>
  <c r="U120" i="3" s="1"/>
  <c r="V120" i="3" s="1"/>
  <c r="R120" i="3"/>
  <c r="T120" i="3" s="1"/>
  <c r="O120" i="3"/>
  <c r="N120" i="3"/>
  <c r="P120" i="3" s="1"/>
  <c r="M120" i="3"/>
  <c r="K120" i="3"/>
  <c r="L120" i="3" s="1"/>
  <c r="J120" i="3"/>
  <c r="W120" i="3" s="1"/>
  <c r="I120" i="3"/>
  <c r="H120" i="3"/>
  <c r="G120" i="3"/>
  <c r="F120" i="3"/>
  <c r="D120" i="3"/>
  <c r="C120" i="3"/>
  <c r="E120" i="3" s="1"/>
  <c r="B120" i="3"/>
  <c r="A120" i="3"/>
  <c r="AC119" i="3"/>
  <c r="AB119" i="3"/>
  <c r="AA119" i="3"/>
  <c r="Z119" i="3"/>
  <c r="T119" i="3"/>
  <c r="S119" i="3"/>
  <c r="U119" i="3" s="1"/>
  <c r="R119" i="3"/>
  <c r="P119" i="3"/>
  <c r="O119" i="3"/>
  <c r="N119" i="3"/>
  <c r="M119" i="3"/>
  <c r="K119" i="3"/>
  <c r="L119" i="3" s="1"/>
  <c r="I119" i="3"/>
  <c r="H119" i="3"/>
  <c r="J119" i="3" s="1"/>
  <c r="D119" i="3"/>
  <c r="F119" i="3" s="1"/>
  <c r="X119" i="3" s="1"/>
  <c r="C119" i="3"/>
  <c r="E119" i="3" s="1"/>
  <c r="W119" i="3" s="1"/>
  <c r="B119" i="3"/>
  <c r="A119" i="3"/>
  <c r="AC118" i="3"/>
  <c r="AB118" i="3"/>
  <c r="AA118" i="3"/>
  <c r="Z118" i="3"/>
  <c r="X118" i="3"/>
  <c r="U118" i="3"/>
  <c r="T118" i="3"/>
  <c r="S118" i="3"/>
  <c r="R118" i="3"/>
  <c r="P118" i="3"/>
  <c r="Q118" i="3" s="1"/>
  <c r="N118" i="3"/>
  <c r="M118" i="3"/>
  <c r="O118" i="3" s="1"/>
  <c r="I118" i="3"/>
  <c r="K118" i="3" s="1"/>
  <c r="L118" i="3" s="1"/>
  <c r="H118" i="3"/>
  <c r="J118" i="3" s="1"/>
  <c r="E118" i="3"/>
  <c r="D118" i="3"/>
  <c r="F118" i="3" s="1"/>
  <c r="C118" i="3"/>
  <c r="B118" i="3"/>
  <c r="A118" i="3"/>
  <c r="AC117" i="3"/>
  <c r="AB117" i="3"/>
  <c r="AA117" i="3"/>
  <c r="Z117" i="3"/>
  <c r="U117" i="3"/>
  <c r="V117" i="3" s="1"/>
  <c r="S117" i="3"/>
  <c r="R117" i="3"/>
  <c r="T117" i="3" s="1"/>
  <c r="N117" i="3"/>
  <c r="P117" i="3" s="1"/>
  <c r="Q117" i="3" s="1"/>
  <c r="M117" i="3"/>
  <c r="O117" i="3" s="1"/>
  <c r="J117" i="3"/>
  <c r="I117" i="3"/>
  <c r="K117" i="3" s="1"/>
  <c r="L117" i="3" s="1"/>
  <c r="H117" i="3"/>
  <c r="F117" i="3"/>
  <c r="E117" i="3"/>
  <c r="D117" i="3"/>
  <c r="C117" i="3"/>
  <c r="B117" i="3"/>
  <c r="A117" i="3"/>
  <c r="AC116" i="3"/>
  <c r="AB116" i="3"/>
  <c r="AA116" i="3"/>
  <c r="Z116" i="3"/>
  <c r="V116" i="3"/>
  <c r="S116" i="3"/>
  <c r="U116" i="3" s="1"/>
  <c r="R116" i="3"/>
  <c r="T116" i="3" s="1"/>
  <c r="O116" i="3"/>
  <c r="N116" i="3"/>
  <c r="P116" i="3" s="1"/>
  <c r="Q116" i="3" s="1"/>
  <c r="M116" i="3"/>
  <c r="K116" i="3"/>
  <c r="J116" i="3"/>
  <c r="I116" i="3"/>
  <c r="H116" i="3"/>
  <c r="F116" i="3"/>
  <c r="D116" i="3"/>
  <c r="C116" i="3"/>
  <c r="E116" i="3" s="1"/>
  <c r="W116" i="3" s="1"/>
  <c r="B116" i="3"/>
  <c r="A116" i="3"/>
  <c r="AC115" i="3"/>
  <c r="AB115" i="3"/>
  <c r="AA115" i="3"/>
  <c r="Z115" i="3"/>
  <c r="X115" i="3"/>
  <c r="T115" i="3"/>
  <c r="S115" i="3"/>
  <c r="U115" i="3" s="1"/>
  <c r="V115" i="3" s="1"/>
  <c r="R115" i="3"/>
  <c r="P115" i="3"/>
  <c r="Q115" i="3" s="1"/>
  <c r="O115" i="3"/>
  <c r="N115" i="3"/>
  <c r="M115" i="3"/>
  <c r="K115" i="3"/>
  <c r="I115" i="3"/>
  <c r="H115" i="3"/>
  <c r="J115" i="3" s="1"/>
  <c r="W115" i="3" s="1"/>
  <c r="G115" i="3"/>
  <c r="D115" i="3"/>
  <c r="F115" i="3" s="1"/>
  <c r="C115" i="3"/>
  <c r="E115" i="3" s="1"/>
  <c r="B115" i="3"/>
  <c r="A115" i="3"/>
  <c r="AC114" i="3"/>
  <c r="AB114" i="3"/>
  <c r="AA114" i="3"/>
  <c r="Z114" i="3"/>
  <c r="U114" i="3"/>
  <c r="V114" i="3" s="1"/>
  <c r="T114" i="3"/>
  <c r="S114" i="3"/>
  <c r="R114" i="3"/>
  <c r="Q114" i="3"/>
  <c r="P114" i="3"/>
  <c r="N114" i="3"/>
  <c r="M114" i="3"/>
  <c r="O114" i="3" s="1"/>
  <c r="L114" i="3"/>
  <c r="I114" i="3"/>
  <c r="K114" i="3" s="1"/>
  <c r="H114" i="3"/>
  <c r="J114" i="3" s="1"/>
  <c r="E114" i="3"/>
  <c r="D114" i="3"/>
  <c r="F114" i="3" s="1"/>
  <c r="G114" i="3" s="1"/>
  <c r="C114" i="3"/>
  <c r="B114" i="3"/>
  <c r="A114" i="3"/>
  <c r="AC113" i="3"/>
  <c r="AB113" i="3"/>
  <c r="AA113" i="3"/>
  <c r="Z113" i="3"/>
  <c r="U113" i="3"/>
  <c r="S113" i="3"/>
  <c r="R113" i="3"/>
  <c r="T113" i="3" s="1"/>
  <c r="V113" i="3" s="1"/>
  <c r="Q113" i="3"/>
  <c r="N113" i="3"/>
  <c r="P113" i="3" s="1"/>
  <c r="M113" i="3"/>
  <c r="O113" i="3" s="1"/>
  <c r="J113" i="3"/>
  <c r="I113" i="3"/>
  <c r="K113" i="3" s="1"/>
  <c r="H113" i="3"/>
  <c r="F113" i="3"/>
  <c r="E113" i="3"/>
  <c r="W113" i="3" s="1"/>
  <c r="D113" i="3"/>
  <c r="C113" i="3"/>
  <c r="B113" i="3"/>
  <c r="A113" i="3"/>
  <c r="AC112" i="3"/>
  <c r="AB112" i="3"/>
  <c r="AA112" i="3"/>
  <c r="Z112" i="3"/>
  <c r="S112" i="3"/>
  <c r="U112" i="3" s="1"/>
  <c r="V112" i="3" s="1"/>
  <c r="R112" i="3"/>
  <c r="T112" i="3" s="1"/>
  <c r="O112" i="3"/>
  <c r="N112" i="3"/>
  <c r="P112" i="3" s="1"/>
  <c r="M112" i="3"/>
  <c r="K112" i="3"/>
  <c r="L112" i="3" s="1"/>
  <c r="J112" i="3"/>
  <c r="W112" i="3" s="1"/>
  <c r="I112" i="3"/>
  <c r="H112" i="3"/>
  <c r="G112" i="3"/>
  <c r="F112" i="3"/>
  <c r="D112" i="3"/>
  <c r="C112" i="3"/>
  <c r="E112" i="3" s="1"/>
  <c r="B112" i="3"/>
  <c r="A112" i="3"/>
  <c r="AC111" i="3"/>
  <c r="AB111" i="3"/>
  <c r="AA111" i="3"/>
  <c r="Z111" i="3"/>
  <c r="T111" i="3"/>
  <c r="S111" i="3"/>
  <c r="U111" i="3" s="1"/>
  <c r="R111" i="3"/>
  <c r="P111" i="3"/>
  <c r="O111" i="3"/>
  <c r="N111" i="3"/>
  <c r="M111" i="3"/>
  <c r="K111" i="3"/>
  <c r="L111" i="3" s="1"/>
  <c r="I111" i="3"/>
  <c r="H111" i="3"/>
  <c r="J111" i="3" s="1"/>
  <c r="D111" i="3"/>
  <c r="F111" i="3" s="1"/>
  <c r="X111" i="3" s="1"/>
  <c r="C111" i="3"/>
  <c r="E111" i="3" s="1"/>
  <c r="W111" i="3" s="1"/>
  <c r="B111" i="3"/>
  <c r="A111" i="3"/>
  <c r="AC110" i="3"/>
  <c r="AB110" i="3"/>
  <c r="AA110" i="3"/>
  <c r="Z110" i="3"/>
  <c r="X110" i="3"/>
  <c r="U110" i="3"/>
  <c r="T110" i="3"/>
  <c r="S110" i="3"/>
  <c r="R110" i="3"/>
  <c r="P110" i="3"/>
  <c r="Q110" i="3" s="1"/>
  <c r="N110" i="3"/>
  <c r="M110" i="3"/>
  <c r="O110" i="3" s="1"/>
  <c r="I110" i="3"/>
  <c r="K110" i="3" s="1"/>
  <c r="L110" i="3" s="1"/>
  <c r="H110" i="3"/>
  <c r="J110" i="3" s="1"/>
  <c r="E110" i="3"/>
  <c r="D110" i="3"/>
  <c r="F110" i="3" s="1"/>
  <c r="C110" i="3"/>
  <c r="B110" i="3"/>
  <c r="A110" i="3"/>
  <c r="AC109" i="3"/>
  <c r="AB109" i="3"/>
  <c r="AA109" i="3"/>
  <c r="Z109" i="3"/>
  <c r="U109" i="3"/>
  <c r="V109" i="3" s="1"/>
  <c r="S109" i="3"/>
  <c r="R109" i="3"/>
  <c r="T109" i="3" s="1"/>
  <c r="N109" i="3"/>
  <c r="P109" i="3" s="1"/>
  <c r="Q109" i="3" s="1"/>
  <c r="M109" i="3"/>
  <c r="O109" i="3" s="1"/>
  <c r="J109" i="3"/>
  <c r="I109" i="3"/>
  <c r="K109" i="3" s="1"/>
  <c r="L109" i="3" s="1"/>
  <c r="H109" i="3"/>
  <c r="F109" i="3"/>
  <c r="E109" i="3"/>
  <c r="D109" i="3"/>
  <c r="C109" i="3"/>
  <c r="B109" i="3"/>
  <c r="A109" i="3"/>
  <c r="AC108" i="3"/>
  <c r="AB108" i="3"/>
  <c r="AA108" i="3"/>
  <c r="Z108" i="3"/>
  <c r="V108" i="3"/>
  <c r="S108" i="3"/>
  <c r="U108" i="3" s="1"/>
  <c r="R108" i="3"/>
  <c r="T108" i="3" s="1"/>
  <c r="O108" i="3"/>
  <c r="N108" i="3"/>
  <c r="P108" i="3" s="1"/>
  <c r="Q108" i="3" s="1"/>
  <c r="M108" i="3"/>
  <c r="K108" i="3"/>
  <c r="J108" i="3"/>
  <c r="I108" i="3"/>
  <c r="H108" i="3"/>
  <c r="F108" i="3"/>
  <c r="D108" i="3"/>
  <c r="C108" i="3"/>
  <c r="E108" i="3" s="1"/>
  <c r="W108" i="3" s="1"/>
  <c r="B108" i="3"/>
  <c r="A108" i="3"/>
  <c r="AC107" i="3"/>
  <c r="AB107" i="3"/>
  <c r="AA107" i="3"/>
  <c r="Z107" i="3"/>
  <c r="X107" i="3"/>
  <c r="T107" i="3"/>
  <c r="S107" i="3"/>
  <c r="U107" i="3" s="1"/>
  <c r="V107" i="3" s="1"/>
  <c r="R107" i="3"/>
  <c r="P107" i="3"/>
  <c r="Q107" i="3" s="1"/>
  <c r="O107" i="3"/>
  <c r="N107" i="3"/>
  <c r="M107" i="3"/>
  <c r="K107" i="3"/>
  <c r="I107" i="3"/>
  <c r="H107" i="3"/>
  <c r="J107" i="3" s="1"/>
  <c r="W107" i="3" s="1"/>
  <c r="G107" i="3"/>
  <c r="D107" i="3"/>
  <c r="F107" i="3" s="1"/>
  <c r="C107" i="3"/>
  <c r="E107" i="3" s="1"/>
  <c r="B107" i="3"/>
  <c r="A107" i="3"/>
  <c r="AC106" i="3"/>
  <c r="AB106" i="3"/>
  <c r="AA106" i="3"/>
  <c r="Z106" i="3"/>
  <c r="U106" i="3"/>
  <c r="V106" i="3" s="1"/>
  <c r="T106" i="3"/>
  <c r="S106" i="3"/>
  <c r="R106" i="3"/>
  <c r="Q106" i="3"/>
  <c r="P106" i="3"/>
  <c r="N106" i="3"/>
  <c r="M106" i="3"/>
  <c r="O106" i="3" s="1"/>
  <c r="L106" i="3"/>
  <c r="I106" i="3"/>
  <c r="K106" i="3" s="1"/>
  <c r="H106" i="3"/>
  <c r="J106" i="3" s="1"/>
  <c r="E106" i="3"/>
  <c r="D106" i="3"/>
  <c r="F106" i="3" s="1"/>
  <c r="G106" i="3" s="1"/>
  <c r="C106" i="3"/>
  <c r="B106" i="3"/>
  <c r="A106" i="3"/>
  <c r="AC105" i="3"/>
  <c r="AB105" i="3"/>
  <c r="AA105" i="3"/>
  <c r="Z105" i="3"/>
  <c r="U105" i="3"/>
  <c r="S105" i="3"/>
  <c r="R105" i="3"/>
  <c r="T105" i="3" s="1"/>
  <c r="V105" i="3" s="1"/>
  <c r="Q105" i="3"/>
  <c r="N105" i="3"/>
  <c r="P105" i="3" s="1"/>
  <c r="M105" i="3"/>
  <c r="O105" i="3" s="1"/>
  <c r="J105" i="3"/>
  <c r="I105" i="3"/>
  <c r="K105" i="3" s="1"/>
  <c r="H105" i="3"/>
  <c r="F105" i="3"/>
  <c r="E105" i="3"/>
  <c r="W105" i="3" s="1"/>
  <c r="D105" i="3"/>
  <c r="C105" i="3"/>
  <c r="B105" i="3"/>
  <c r="A105" i="3"/>
  <c r="AC104" i="3"/>
  <c r="AB104" i="3"/>
  <c r="AA104" i="3"/>
  <c r="Z104" i="3"/>
  <c r="S104" i="3"/>
  <c r="U104" i="3" s="1"/>
  <c r="V104" i="3" s="1"/>
  <c r="R104" i="3"/>
  <c r="T104" i="3" s="1"/>
  <c r="O104" i="3"/>
  <c r="N104" i="3"/>
  <c r="P104" i="3" s="1"/>
  <c r="M104" i="3"/>
  <c r="K104" i="3"/>
  <c r="L104" i="3" s="1"/>
  <c r="J104" i="3"/>
  <c r="W104" i="3" s="1"/>
  <c r="I104" i="3"/>
  <c r="H104" i="3"/>
  <c r="G104" i="3"/>
  <c r="F104" i="3"/>
  <c r="D104" i="3"/>
  <c r="C104" i="3"/>
  <c r="E104" i="3" s="1"/>
  <c r="B104" i="3"/>
  <c r="A104" i="3"/>
  <c r="AC103" i="3"/>
  <c r="AB103" i="3"/>
  <c r="AA103" i="3"/>
  <c r="Z103" i="3"/>
  <c r="T103" i="3"/>
  <c r="S103" i="3"/>
  <c r="U103" i="3" s="1"/>
  <c r="R103" i="3"/>
  <c r="P103" i="3"/>
  <c r="O103" i="3"/>
  <c r="N103" i="3"/>
  <c r="M103" i="3"/>
  <c r="K103" i="3"/>
  <c r="L103" i="3" s="1"/>
  <c r="I103" i="3"/>
  <c r="H103" i="3"/>
  <c r="J103" i="3" s="1"/>
  <c r="D103" i="3"/>
  <c r="F103" i="3" s="1"/>
  <c r="X103" i="3" s="1"/>
  <c r="C103" i="3"/>
  <c r="E103" i="3" s="1"/>
  <c r="W103" i="3" s="1"/>
  <c r="B103" i="3"/>
  <c r="A103" i="3"/>
  <c r="AC102" i="3"/>
  <c r="AB102" i="3"/>
  <c r="AA102" i="3"/>
  <c r="Z102" i="3"/>
  <c r="X102" i="3"/>
  <c r="U102" i="3"/>
  <c r="T102" i="3"/>
  <c r="S102" i="3"/>
  <c r="R102" i="3"/>
  <c r="P102" i="3"/>
  <c r="Q102" i="3" s="1"/>
  <c r="N102" i="3"/>
  <c r="M102" i="3"/>
  <c r="O102" i="3" s="1"/>
  <c r="I102" i="3"/>
  <c r="K102" i="3" s="1"/>
  <c r="L102" i="3" s="1"/>
  <c r="H102" i="3"/>
  <c r="J102" i="3" s="1"/>
  <c r="E102" i="3"/>
  <c r="D102" i="3"/>
  <c r="F102" i="3" s="1"/>
  <c r="C102" i="3"/>
  <c r="B102" i="3"/>
  <c r="A102" i="3"/>
  <c r="AC101" i="3"/>
  <c r="AB101" i="3"/>
  <c r="AA101" i="3"/>
  <c r="Z101" i="3"/>
  <c r="U101" i="3"/>
  <c r="V101" i="3" s="1"/>
  <c r="S101" i="3"/>
  <c r="R101" i="3"/>
  <c r="T101" i="3" s="1"/>
  <c r="N101" i="3"/>
  <c r="P101" i="3" s="1"/>
  <c r="Q101" i="3" s="1"/>
  <c r="M101" i="3"/>
  <c r="O101" i="3" s="1"/>
  <c r="J101" i="3"/>
  <c r="I101" i="3"/>
  <c r="K101" i="3" s="1"/>
  <c r="L101" i="3" s="1"/>
  <c r="H101" i="3"/>
  <c r="F101" i="3"/>
  <c r="E101" i="3"/>
  <c r="D101" i="3"/>
  <c r="C101" i="3"/>
  <c r="B101" i="3"/>
  <c r="A101" i="3"/>
  <c r="AC100" i="3"/>
  <c r="AB100" i="3"/>
  <c r="AA100" i="3"/>
  <c r="Z100" i="3"/>
  <c r="V100" i="3"/>
  <c r="S100" i="3"/>
  <c r="U100" i="3" s="1"/>
  <c r="R100" i="3"/>
  <c r="T100" i="3" s="1"/>
  <c r="O100" i="3"/>
  <c r="N100" i="3"/>
  <c r="P100" i="3" s="1"/>
  <c r="Q100" i="3" s="1"/>
  <c r="M100" i="3"/>
  <c r="K100" i="3"/>
  <c r="J100" i="3"/>
  <c r="I100" i="3"/>
  <c r="H100" i="3"/>
  <c r="F100" i="3"/>
  <c r="D100" i="3"/>
  <c r="C100" i="3"/>
  <c r="E100" i="3" s="1"/>
  <c r="W100" i="3" s="1"/>
  <c r="B100" i="3"/>
  <c r="A100" i="3"/>
  <c r="AC99" i="3"/>
  <c r="AB99" i="3"/>
  <c r="AA99" i="3"/>
  <c r="Z99" i="3"/>
  <c r="X99" i="3"/>
  <c r="T99" i="3"/>
  <c r="S99" i="3"/>
  <c r="U99" i="3" s="1"/>
  <c r="V99" i="3" s="1"/>
  <c r="R99" i="3"/>
  <c r="P99" i="3"/>
  <c r="Q99" i="3" s="1"/>
  <c r="O99" i="3"/>
  <c r="N99" i="3"/>
  <c r="M99" i="3"/>
  <c r="K99" i="3"/>
  <c r="I99" i="3"/>
  <c r="H99" i="3"/>
  <c r="J99" i="3" s="1"/>
  <c r="W99" i="3" s="1"/>
  <c r="G99" i="3"/>
  <c r="D99" i="3"/>
  <c r="F99" i="3" s="1"/>
  <c r="C99" i="3"/>
  <c r="E99" i="3" s="1"/>
  <c r="B99" i="3"/>
  <c r="A99" i="3"/>
  <c r="AC98" i="3"/>
  <c r="AB98" i="3"/>
  <c r="AA98" i="3"/>
  <c r="Z98" i="3"/>
  <c r="U98" i="3"/>
  <c r="V98" i="3" s="1"/>
  <c r="T98" i="3"/>
  <c r="S98" i="3"/>
  <c r="R98" i="3"/>
  <c r="Q98" i="3"/>
  <c r="P98" i="3"/>
  <c r="N98" i="3"/>
  <c r="M98" i="3"/>
  <c r="O98" i="3" s="1"/>
  <c r="L98" i="3"/>
  <c r="I98" i="3"/>
  <c r="K98" i="3" s="1"/>
  <c r="H98" i="3"/>
  <c r="J98" i="3" s="1"/>
  <c r="E98" i="3"/>
  <c r="D98" i="3"/>
  <c r="F98" i="3" s="1"/>
  <c r="G98" i="3" s="1"/>
  <c r="C98" i="3"/>
  <c r="B98" i="3"/>
  <c r="A98" i="3"/>
  <c r="AC97" i="3"/>
  <c r="AB97" i="3"/>
  <c r="AA97" i="3"/>
  <c r="Z97" i="3"/>
  <c r="U97" i="3"/>
  <c r="S97" i="3"/>
  <c r="R97" i="3"/>
  <c r="T97" i="3" s="1"/>
  <c r="V97" i="3" s="1"/>
  <c r="Q97" i="3"/>
  <c r="N97" i="3"/>
  <c r="P97" i="3" s="1"/>
  <c r="M97" i="3"/>
  <c r="O97" i="3" s="1"/>
  <c r="J97" i="3"/>
  <c r="I97" i="3"/>
  <c r="K97" i="3" s="1"/>
  <c r="H97" i="3"/>
  <c r="F97" i="3"/>
  <c r="E97" i="3"/>
  <c r="W97" i="3" s="1"/>
  <c r="D97" i="3"/>
  <c r="C97" i="3"/>
  <c r="B97" i="3"/>
  <c r="A97" i="3"/>
  <c r="AC96" i="3"/>
  <c r="AB96" i="3"/>
  <c r="AA96" i="3"/>
  <c r="Z96" i="3"/>
  <c r="S96" i="3"/>
  <c r="U96" i="3" s="1"/>
  <c r="V96" i="3" s="1"/>
  <c r="R96" i="3"/>
  <c r="T96" i="3" s="1"/>
  <c r="O96" i="3"/>
  <c r="N96" i="3"/>
  <c r="P96" i="3" s="1"/>
  <c r="M96" i="3"/>
  <c r="K96" i="3"/>
  <c r="L96" i="3" s="1"/>
  <c r="J96" i="3"/>
  <c r="W96" i="3" s="1"/>
  <c r="I96" i="3"/>
  <c r="H96" i="3"/>
  <c r="G96" i="3"/>
  <c r="F96" i="3"/>
  <c r="D96" i="3"/>
  <c r="C96" i="3"/>
  <c r="E96" i="3" s="1"/>
  <c r="B96" i="3"/>
  <c r="A96" i="3"/>
  <c r="AC95" i="3"/>
  <c r="AB95" i="3"/>
  <c r="AA95" i="3"/>
  <c r="Z95" i="3"/>
  <c r="T95" i="3"/>
  <c r="S95" i="3"/>
  <c r="U95" i="3" s="1"/>
  <c r="R95" i="3"/>
  <c r="P95" i="3"/>
  <c r="O95" i="3"/>
  <c r="N95" i="3"/>
  <c r="M95" i="3"/>
  <c r="K95" i="3"/>
  <c r="L95" i="3" s="1"/>
  <c r="J95" i="3"/>
  <c r="I95" i="3"/>
  <c r="H95" i="3"/>
  <c r="G95" i="3"/>
  <c r="F95" i="3"/>
  <c r="X95" i="3" s="1"/>
  <c r="Y95" i="3" s="1"/>
  <c r="D95" i="3"/>
  <c r="C95" i="3"/>
  <c r="E95" i="3" s="1"/>
  <c r="W95" i="3" s="1"/>
  <c r="B95" i="3"/>
  <c r="A95" i="3"/>
  <c r="AC94" i="3"/>
  <c r="AB94" i="3"/>
  <c r="AA94" i="3"/>
  <c r="Z94" i="3"/>
  <c r="U94" i="3"/>
  <c r="S94" i="3"/>
  <c r="R94" i="3"/>
  <c r="T94" i="3" s="1"/>
  <c r="N94" i="3"/>
  <c r="P94" i="3" s="1"/>
  <c r="Q94" i="3" s="1"/>
  <c r="M94" i="3"/>
  <c r="O94" i="3" s="1"/>
  <c r="J94" i="3"/>
  <c r="I94" i="3"/>
  <c r="K94" i="3" s="1"/>
  <c r="L94" i="3" s="1"/>
  <c r="H94" i="3"/>
  <c r="F94" i="3"/>
  <c r="E94" i="3"/>
  <c r="D94" i="3"/>
  <c r="C94" i="3"/>
  <c r="B94" i="3"/>
  <c r="A94" i="3"/>
  <c r="AC93" i="3"/>
  <c r="AB93" i="3"/>
  <c r="AA93" i="3"/>
  <c r="Z93" i="3"/>
  <c r="S93" i="3"/>
  <c r="U93" i="3" s="1"/>
  <c r="V93" i="3" s="1"/>
  <c r="R93" i="3"/>
  <c r="T93" i="3" s="1"/>
  <c r="O93" i="3"/>
  <c r="N93" i="3"/>
  <c r="P93" i="3" s="1"/>
  <c r="Q93" i="3" s="1"/>
  <c r="M93" i="3"/>
  <c r="K93" i="3"/>
  <c r="L93" i="3" s="1"/>
  <c r="J93" i="3"/>
  <c r="I93" i="3"/>
  <c r="H93" i="3"/>
  <c r="F93" i="3"/>
  <c r="D93" i="3"/>
  <c r="C93" i="3"/>
  <c r="E93" i="3" s="1"/>
  <c r="B93" i="3"/>
  <c r="A93" i="3"/>
  <c r="AC92" i="3"/>
  <c r="AB92" i="3"/>
  <c r="AA92" i="3"/>
  <c r="Z92" i="3"/>
  <c r="T92" i="3"/>
  <c r="S92" i="3"/>
  <c r="U92" i="3" s="1"/>
  <c r="V92" i="3" s="1"/>
  <c r="R92" i="3"/>
  <c r="P92" i="3"/>
  <c r="Q92" i="3" s="1"/>
  <c r="O92" i="3"/>
  <c r="N92" i="3"/>
  <c r="M92" i="3"/>
  <c r="K92" i="3"/>
  <c r="I92" i="3"/>
  <c r="H92" i="3"/>
  <c r="J92" i="3" s="1"/>
  <c r="L92" i="3" s="1"/>
  <c r="D92" i="3"/>
  <c r="F92" i="3" s="1"/>
  <c r="C92" i="3"/>
  <c r="E92" i="3" s="1"/>
  <c r="W92" i="3" s="1"/>
  <c r="B92" i="3"/>
  <c r="A92" i="3"/>
  <c r="AC91" i="3"/>
  <c r="AB91" i="3"/>
  <c r="AA91" i="3"/>
  <c r="Z91" i="3"/>
  <c r="U91" i="3"/>
  <c r="V91" i="3" s="1"/>
  <c r="T91" i="3"/>
  <c r="S91" i="3"/>
  <c r="R91" i="3"/>
  <c r="P91" i="3"/>
  <c r="N91" i="3"/>
  <c r="M91" i="3"/>
  <c r="O91" i="3" s="1"/>
  <c r="Q91" i="3" s="1"/>
  <c r="I91" i="3"/>
  <c r="K91" i="3" s="1"/>
  <c r="H91" i="3"/>
  <c r="J91" i="3" s="1"/>
  <c r="E91" i="3"/>
  <c r="D91" i="3"/>
  <c r="F91" i="3" s="1"/>
  <c r="C91" i="3"/>
  <c r="B91" i="3"/>
  <c r="A91" i="3"/>
  <c r="AC90" i="3"/>
  <c r="AB90" i="3"/>
  <c r="AA90" i="3"/>
  <c r="Z90" i="3"/>
  <c r="U90" i="3"/>
  <c r="S90" i="3"/>
  <c r="R90" i="3"/>
  <c r="T90" i="3" s="1"/>
  <c r="V90" i="3" s="1"/>
  <c r="N90" i="3"/>
  <c r="P90" i="3" s="1"/>
  <c r="Q90" i="3" s="1"/>
  <c r="M90" i="3"/>
  <c r="O90" i="3" s="1"/>
  <c r="J90" i="3"/>
  <c r="I90" i="3"/>
  <c r="K90" i="3" s="1"/>
  <c r="L90" i="3" s="1"/>
  <c r="H90" i="3"/>
  <c r="F90" i="3"/>
  <c r="E90" i="3"/>
  <c r="D90" i="3"/>
  <c r="C90" i="3"/>
  <c r="B90" i="3"/>
  <c r="A90" i="3"/>
  <c r="AC89" i="3"/>
  <c r="AB89" i="3"/>
  <c r="AA89" i="3"/>
  <c r="Z89" i="3"/>
  <c r="S89" i="3"/>
  <c r="U89" i="3" s="1"/>
  <c r="V89" i="3" s="1"/>
  <c r="R89" i="3"/>
  <c r="T89" i="3" s="1"/>
  <c r="O89" i="3"/>
  <c r="N89" i="3"/>
  <c r="P89" i="3" s="1"/>
  <c r="Q89" i="3" s="1"/>
  <c r="M89" i="3"/>
  <c r="K89" i="3"/>
  <c r="L89" i="3" s="1"/>
  <c r="J89" i="3"/>
  <c r="I89" i="3"/>
  <c r="H89" i="3"/>
  <c r="F89" i="3"/>
  <c r="D89" i="3"/>
  <c r="C89" i="3"/>
  <c r="E89" i="3" s="1"/>
  <c r="B89" i="3"/>
  <c r="A89" i="3"/>
  <c r="AC88" i="3"/>
  <c r="AB88" i="3"/>
  <c r="AA88" i="3"/>
  <c r="Z88" i="3"/>
  <c r="T88" i="3"/>
  <c r="S88" i="3"/>
  <c r="U88" i="3" s="1"/>
  <c r="V88" i="3" s="1"/>
  <c r="R88" i="3"/>
  <c r="P88" i="3"/>
  <c r="Q88" i="3" s="1"/>
  <c r="O88" i="3"/>
  <c r="N88" i="3"/>
  <c r="M88" i="3"/>
  <c r="K88" i="3"/>
  <c r="I88" i="3"/>
  <c r="H88" i="3"/>
  <c r="J88" i="3" s="1"/>
  <c r="L88" i="3" s="1"/>
  <c r="D88" i="3"/>
  <c r="F88" i="3" s="1"/>
  <c r="C88" i="3"/>
  <c r="E88" i="3" s="1"/>
  <c r="W88" i="3" s="1"/>
  <c r="B88" i="3"/>
  <c r="A88" i="3"/>
  <c r="AC87" i="3"/>
  <c r="AB87" i="3"/>
  <c r="AA87" i="3"/>
  <c r="Z87" i="3"/>
  <c r="U87" i="3"/>
  <c r="V87" i="3" s="1"/>
  <c r="T87" i="3"/>
  <c r="S87" i="3"/>
  <c r="R87" i="3"/>
  <c r="P87" i="3"/>
  <c r="N87" i="3"/>
  <c r="M87" i="3"/>
  <c r="O87" i="3" s="1"/>
  <c r="Q87" i="3" s="1"/>
  <c r="I87" i="3"/>
  <c r="K87" i="3" s="1"/>
  <c r="H87" i="3"/>
  <c r="J87" i="3" s="1"/>
  <c r="E87" i="3"/>
  <c r="D87" i="3"/>
  <c r="F87" i="3" s="1"/>
  <c r="C87" i="3"/>
  <c r="B87" i="3"/>
  <c r="A87" i="3"/>
  <c r="AC86" i="3"/>
  <c r="AB86" i="3"/>
  <c r="AA86" i="3"/>
  <c r="Z86" i="3"/>
  <c r="U86" i="3"/>
  <c r="S86" i="3"/>
  <c r="R86" i="3"/>
  <c r="T86" i="3" s="1"/>
  <c r="V86" i="3" s="1"/>
  <c r="N86" i="3"/>
  <c r="P86" i="3" s="1"/>
  <c r="Q86" i="3" s="1"/>
  <c r="M86" i="3"/>
  <c r="O86" i="3" s="1"/>
  <c r="J86" i="3"/>
  <c r="I86" i="3"/>
  <c r="K86" i="3" s="1"/>
  <c r="L86" i="3" s="1"/>
  <c r="H86" i="3"/>
  <c r="F86" i="3"/>
  <c r="E86" i="3"/>
  <c r="D86" i="3"/>
  <c r="C86" i="3"/>
  <c r="B86" i="3"/>
  <c r="A86" i="3"/>
  <c r="AC85" i="3"/>
  <c r="AB85" i="3"/>
  <c r="AA85" i="3"/>
  <c r="Z85" i="3"/>
  <c r="S85" i="3"/>
  <c r="U85" i="3" s="1"/>
  <c r="V85" i="3" s="1"/>
  <c r="R85" i="3"/>
  <c r="T85" i="3" s="1"/>
  <c r="O85" i="3"/>
  <c r="N85" i="3"/>
  <c r="P85" i="3" s="1"/>
  <c r="Q85" i="3" s="1"/>
  <c r="M85" i="3"/>
  <c r="K85" i="3"/>
  <c r="L85" i="3" s="1"/>
  <c r="J85" i="3"/>
  <c r="I85" i="3"/>
  <c r="H85" i="3"/>
  <c r="F85" i="3"/>
  <c r="D85" i="3"/>
  <c r="C85" i="3"/>
  <c r="E85" i="3" s="1"/>
  <c r="B85" i="3"/>
  <c r="A85" i="3"/>
  <c r="AC84" i="3"/>
  <c r="AB84" i="3"/>
  <c r="AA84" i="3"/>
  <c r="Z84" i="3"/>
  <c r="T84" i="3"/>
  <c r="S84" i="3"/>
  <c r="U84" i="3" s="1"/>
  <c r="V84" i="3" s="1"/>
  <c r="R84" i="3"/>
  <c r="P84" i="3"/>
  <c r="Q84" i="3" s="1"/>
  <c r="O84" i="3"/>
  <c r="N84" i="3"/>
  <c r="M84" i="3"/>
  <c r="K84" i="3"/>
  <c r="I84" i="3"/>
  <c r="H84" i="3"/>
  <c r="J84" i="3" s="1"/>
  <c r="L84" i="3" s="1"/>
  <c r="D84" i="3"/>
  <c r="F84" i="3" s="1"/>
  <c r="C84" i="3"/>
  <c r="E84" i="3" s="1"/>
  <c r="W84" i="3" s="1"/>
  <c r="B84" i="3"/>
  <c r="A84" i="3"/>
  <c r="AC83" i="3"/>
  <c r="AB83" i="3"/>
  <c r="AA83" i="3"/>
  <c r="Z83" i="3"/>
  <c r="U83" i="3"/>
  <c r="V83" i="3" s="1"/>
  <c r="T83" i="3"/>
  <c r="S83" i="3"/>
  <c r="R83" i="3"/>
  <c r="P83" i="3"/>
  <c r="N83" i="3"/>
  <c r="M83" i="3"/>
  <c r="O83" i="3" s="1"/>
  <c r="Q83" i="3" s="1"/>
  <c r="I83" i="3"/>
  <c r="K83" i="3" s="1"/>
  <c r="H83" i="3"/>
  <c r="J83" i="3" s="1"/>
  <c r="E83" i="3"/>
  <c r="D83" i="3"/>
  <c r="F83" i="3" s="1"/>
  <c r="C83" i="3"/>
  <c r="B83" i="3"/>
  <c r="A83" i="3"/>
  <c r="AC82" i="3"/>
  <c r="AB82" i="3"/>
  <c r="AA82" i="3"/>
  <c r="Z82" i="3"/>
  <c r="U82" i="3"/>
  <c r="S82" i="3"/>
  <c r="R82" i="3"/>
  <c r="T82" i="3" s="1"/>
  <c r="V82" i="3" s="1"/>
  <c r="N82" i="3"/>
  <c r="P82" i="3" s="1"/>
  <c r="Q82" i="3" s="1"/>
  <c r="M82" i="3"/>
  <c r="O82" i="3" s="1"/>
  <c r="J82" i="3"/>
  <c r="I82" i="3"/>
  <c r="K82" i="3" s="1"/>
  <c r="L82" i="3" s="1"/>
  <c r="H82" i="3"/>
  <c r="F82" i="3"/>
  <c r="E82" i="3"/>
  <c r="D82" i="3"/>
  <c r="C82" i="3"/>
  <c r="B82" i="3"/>
  <c r="A82" i="3"/>
  <c r="AC81" i="3"/>
  <c r="AB81" i="3"/>
  <c r="AA81" i="3"/>
  <c r="Z81" i="3"/>
  <c r="S81" i="3"/>
  <c r="U81" i="3" s="1"/>
  <c r="V81" i="3" s="1"/>
  <c r="R81" i="3"/>
  <c r="T81" i="3" s="1"/>
  <c r="O81" i="3"/>
  <c r="N81" i="3"/>
  <c r="P81" i="3" s="1"/>
  <c r="Q81" i="3" s="1"/>
  <c r="M81" i="3"/>
  <c r="K81" i="3"/>
  <c r="L81" i="3" s="1"/>
  <c r="J81" i="3"/>
  <c r="I81" i="3"/>
  <c r="H81" i="3"/>
  <c r="F81" i="3"/>
  <c r="D81" i="3"/>
  <c r="C81" i="3"/>
  <c r="E81" i="3" s="1"/>
  <c r="B81" i="3"/>
  <c r="A81" i="3"/>
  <c r="AC80" i="3"/>
  <c r="AB80" i="3"/>
  <c r="AA80" i="3"/>
  <c r="Z80" i="3"/>
  <c r="T80" i="3"/>
  <c r="S80" i="3"/>
  <c r="U80" i="3" s="1"/>
  <c r="V80" i="3" s="1"/>
  <c r="R80" i="3"/>
  <c r="P80" i="3"/>
  <c r="Q80" i="3" s="1"/>
  <c r="O80" i="3"/>
  <c r="N80" i="3"/>
  <c r="M80" i="3"/>
  <c r="K80" i="3"/>
  <c r="I80" i="3"/>
  <c r="H80" i="3"/>
  <c r="J80" i="3" s="1"/>
  <c r="L80" i="3" s="1"/>
  <c r="D80" i="3"/>
  <c r="F80" i="3" s="1"/>
  <c r="C80" i="3"/>
  <c r="E80" i="3" s="1"/>
  <c r="W80" i="3" s="1"/>
  <c r="B80" i="3"/>
  <c r="A80" i="3"/>
  <c r="AC79" i="3"/>
  <c r="AB79" i="3"/>
  <c r="AA79" i="3"/>
  <c r="Z79" i="3"/>
  <c r="U79" i="3"/>
  <c r="V79" i="3" s="1"/>
  <c r="T79" i="3"/>
  <c r="S79" i="3"/>
  <c r="R79" i="3"/>
  <c r="P79" i="3"/>
  <c r="N79" i="3"/>
  <c r="M79" i="3"/>
  <c r="O79" i="3" s="1"/>
  <c r="Q79" i="3" s="1"/>
  <c r="I79" i="3"/>
  <c r="K79" i="3" s="1"/>
  <c r="H79" i="3"/>
  <c r="J79" i="3" s="1"/>
  <c r="E79" i="3"/>
  <c r="D79" i="3"/>
  <c r="F79" i="3" s="1"/>
  <c r="C79" i="3"/>
  <c r="B79" i="3"/>
  <c r="A79" i="3"/>
  <c r="AC78" i="3"/>
  <c r="AB78" i="3"/>
  <c r="AA78" i="3"/>
  <c r="Z78" i="3"/>
  <c r="U78" i="3"/>
  <c r="S78" i="3"/>
  <c r="R78" i="3"/>
  <c r="T78" i="3" s="1"/>
  <c r="V78" i="3" s="1"/>
  <c r="N78" i="3"/>
  <c r="P78" i="3" s="1"/>
  <c r="Q78" i="3" s="1"/>
  <c r="M78" i="3"/>
  <c r="O78" i="3" s="1"/>
  <c r="J78" i="3"/>
  <c r="I78" i="3"/>
  <c r="K78" i="3" s="1"/>
  <c r="L78" i="3" s="1"/>
  <c r="H78" i="3"/>
  <c r="F78" i="3"/>
  <c r="E78" i="3"/>
  <c r="D78" i="3"/>
  <c r="C78" i="3"/>
  <c r="B78" i="3"/>
  <c r="A78" i="3"/>
  <c r="AC77" i="3"/>
  <c r="AB77" i="3"/>
  <c r="AA77" i="3"/>
  <c r="Z77" i="3"/>
  <c r="S77" i="3"/>
  <c r="U77" i="3" s="1"/>
  <c r="V77" i="3" s="1"/>
  <c r="R77" i="3"/>
  <c r="T77" i="3" s="1"/>
  <c r="O77" i="3"/>
  <c r="N77" i="3"/>
  <c r="P77" i="3" s="1"/>
  <c r="Q77" i="3" s="1"/>
  <c r="M77" i="3"/>
  <c r="K77" i="3"/>
  <c r="L77" i="3" s="1"/>
  <c r="J77" i="3"/>
  <c r="I77" i="3"/>
  <c r="H77" i="3"/>
  <c r="F77" i="3"/>
  <c r="D77" i="3"/>
  <c r="C77" i="3"/>
  <c r="E77" i="3" s="1"/>
  <c r="B77" i="3"/>
  <c r="A77" i="3"/>
  <c r="AC76" i="3"/>
  <c r="AB76" i="3"/>
  <c r="AA76" i="3"/>
  <c r="Z76" i="3"/>
  <c r="T76" i="3"/>
  <c r="S76" i="3"/>
  <c r="U76" i="3" s="1"/>
  <c r="V76" i="3" s="1"/>
  <c r="R76" i="3"/>
  <c r="P76" i="3"/>
  <c r="Q76" i="3" s="1"/>
  <c r="O76" i="3"/>
  <c r="N76" i="3"/>
  <c r="M76" i="3"/>
  <c r="K76" i="3"/>
  <c r="I76" i="3"/>
  <c r="H76" i="3"/>
  <c r="J76" i="3" s="1"/>
  <c r="L76" i="3" s="1"/>
  <c r="D76" i="3"/>
  <c r="F76" i="3" s="1"/>
  <c r="C76" i="3"/>
  <c r="E76" i="3" s="1"/>
  <c r="W76" i="3" s="1"/>
  <c r="B76" i="3"/>
  <c r="A76" i="3"/>
  <c r="AC75" i="3"/>
  <c r="AB75" i="3"/>
  <c r="AA75" i="3"/>
  <c r="Z75" i="3"/>
  <c r="U75" i="3"/>
  <c r="V75" i="3" s="1"/>
  <c r="T75" i="3"/>
  <c r="S75" i="3"/>
  <c r="R75" i="3"/>
  <c r="P75" i="3"/>
  <c r="N75" i="3"/>
  <c r="M75" i="3"/>
  <c r="O75" i="3" s="1"/>
  <c r="Q75" i="3" s="1"/>
  <c r="I75" i="3"/>
  <c r="K75" i="3" s="1"/>
  <c r="H75" i="3"/>
  <c r="J75" i="3" s="1"/>
  <c r="E75" i="3"/>
  <c r="D75" i="3"/>
  <c r="F75" i="3" s="1"/>
  <c r="C75" i="3"/>
  <c r="B75" i="3"/>
  <c r="A75" i="3"/>
  <c r="AC74" i="3"/>
  <c r="AB74" i="3"/>
  <c r="AA74" i="3"/>
  <c r="Z74" i="3"/>
  <c r="U74" i="3"/>
  <c r="S74" i="3"/>
  <c r="R74" i="3"/>
  <c r="T74" i="3" s="1"/>
  <c r="V74" i="3" s="1"/>
  <c r="N74" i="3"/>
  <c r="P74" i="3" s="1"/>
  <c r="Q74" i="3" s="1"/>
  <c r="M74" i="3"/>
  <c r="O74" i="3" s="1"/>
  <c r="J74" i="3"/>
  <c r="I74" i="3"/>
  <c r="K74" i="3" s="1"/>
  <c r="L74" i="3" s="1"/>
  <c r="H74" i="3"/>
  <c r="F74" i="3"/>
  <c r="E74" i="3"/>
  <c r="D74" i="3"/>
  <c r="C74" i="3"/>
  <c r="B74" i="3"/>
  <c r="A74" i="3"/>
  <c r="AC73" i="3"/>
  <c r="AB73" i="3"/>
  <c r="AA73" i="3"/>
  <c r="Z73" i="3"/>
  <c r="S73" i="3"/>
  <c r="U73" i="3" s="1"/>
  <c r="V73" i="3" s="1"/>
  <c r="R73" i="3"/>
  <c r="T73" i="3" s="1"/>
  <c r="O73" i="3"/>
  <c r="N73" i="3"/>
  <c r="P73" i="3" s="1"/>
  <c r="Q73" i="3" s="1"/>
  <c r="M73" i="3"/>
  <c r="K73" i="3"/>
  <c r="L73" i="3" s="1"/>
  <c r="J73" i="3"/>
  <c r="I73" i="3"/>
  <c r="H73" i="3"/>
  <c r="F73" i="3"/>
  <c r="D73" i="3"/>
  <c r="C73" i="3"/>
  <c r="E73" i="3" s="1"/>
  <c r="B73" i="3"/>
  <c r="A73" i="3"/>
  <c r="AC72" i="3"/>
  <c r="AB72" i="3"/>
  <c r="AA72" i="3"/>
  <c r="Z72" i="3"/>
  <c r="T72" i="3"/>
  <c r="S72" i="3"/>
  <c r="U72" i="3" s="1"/>
  <c r="V72" i="3" s="1"/>
  <c r="R72" i="3"/>
  <c r="P72" i="3"/>
  <c r="Q72" i="3" s="1"/>
  <c r="O72" i="3"/>
  <c r="N72" i="3"/>
  <c r="M72" i="3"/>
  <c r="K72" i="3"/>
  <c r="I72" i="3"/>
  <c r="H72" i="3"/>
  <c r="J72" i="3" s="1"/>
  <c r="L72" i="3" s="1"/>
  <c r="D72" i="3"/>
  <c r="F72" i="3" s="1"/>
  <c r="C72" i="3"/>
  <c r="E72" i="3" s="1"/>
  <c r="W72" i="3" s="1"/>
  <c r="B72" i="3"/>
  <c r="A72" i="3"/>
  <c r="AC71" i="3"/>
  <c r="AB71" i="3"/>
  <c r="AA71" i="3"/>
  <c r="Z71" i="3"/>
  <c r="U71" i="3"/>
  <c r="V71" i="3" s="1"/>
  <c r="T71" i="3"/>
  <c r="S71" i="3"/>
  <c r="R71" i="3"/>
  <c r="P71" i="3"/>
  <c r="N71" i="3"/>
  <c r="M71" i="3"/>
  <c r="O71" i="3" s="1"/>
  <c r="Q71" i="3" s="1"/>
  <c r="I71" i="3"/>
  <c r="K71" i="3" s="1"/>
  <c r="H71" i="3"/>
  <c r="J71" i="3" s="1"/>
  <c r="E71" i="3"/>
  <c r="D71" i="3"/>
  <c r="F71" i="3" s="1"/>
  <c r="C71" i="3"/>
  <c r="B71" i="3"/>
  <c r="A71" i="3"/>
  <c r="AC70" i="3"/>
  <c r="AB70" i="3"/>
  <c r="AA70" i="3"/>
  <c r="Z70" i="3"/>
  <c r="U70" i="3"/>
  <c r="S70" i="3"/>
  <c r="R70" i="3"/>
  <c r="T70" i="3" s="1"/>
  <c r="V70" i="3" s="1"/>
  <c r="N70" i="3"/>
  <c r="P70" i="3" s="1"/>
  <c r="Q70" i="3" s="1"/>
  <c r="M70" i="3"/>
  <c r="O70" i="3" s="1"/>
  <c r="J70" i="3"/>
  <c r="I70" i="3"/>
  <c r="K70" i="3" s="1"/>
  <c r="L70" i="3" s="1"/>
  <c r="H70" i="3"/>
  <c r="F70" i="3"/>
  <c r="E70" i="3"/>
  <c r="D70" i="3"/>
  <c r="C70" i="3"/>
  <c r="B70" i="3"/>
  <c r="A70" i="3"/>
  <c r="AC69" i="3"/>
  <c r="AB69" i="3"/>
  <c r="AA69" i="3"/>
  <c r="Z69" i="3"/>
  <c r="S69" i="3"/>
  <c r="U69" i="3" s="1"/>
  <c r="V69" i="3" s="1"/>
  <c r="R69" i="3"/>
  <c r="T69" i="3" s="1"/>
  <c r="O69" i="3"/>
  <c r="N69" i="3"/>
  <c r="P69" i="3" s="1"/>
  <c r="Q69" i="3" s="1"/>
  <c r="M69" i="3"/>
  <c r="K69" i="3"/>
  <c r="L69" i="3" s="1"/>
  <c r="J69" i="3"/>
  <c r="I69" i="3"/>
  <c r="H69" i="3"/>
  <c r="F69" i="3"/>
  <c r="D69" i="3"/>
  <c r="C69" i="3"/>
  <c r="E69" i="3" s="1"/>
  <c r="B69" i="3"/>
  <c r="A69" i="3"/>
  <c r="AC68" i="3"/>
  <c r="AB68" i="3"/>
  <c r="AA68" i="3"/>
  <c r="Z68" i="3"/>
  <c r="T68" i="3"/>
  <c r="S68" i="3"/>
  <c r="U68" i="3" s="1"/>
  <c r="V68" i="3" s="1"/>
  <c r="R68" i="3"/>
  <c r="P68" i="3"/>
  <c r="Q68" i="3" s="1"/>
  <c r="O68" i="3"/>
  <c r="N68" i="3"/>
  <c r="M68" i="3"/>
  <c r="K68" i="3"/>
  <c r="I68" i="3"/>
  <c r="H68" i="3"/>
  <c r="J68" i="3" s="1"/>
  <c r="L68" i="3" s="1"/>
  <c r="D68" i="3"/>
  <c r="F68" i="3" s="1"/>
  <c r="C68" i="3"/>
  <c r="E68" i="3" s="1"/>
  <c r="W68" i="3" s="1"/>
  <c r="B68" i="3"/>
  <c r="A68" i="3"/>
  <c r="AC67" i="3"/>
  <c r="AB67" i="3"/>
  <c r="AA67" i="3"/>
  <c r="Z67" i="3"/>
  <c r="U67" i="3"/>
  <c r="V67" i="3" s="1"/>
  <c r="T67" i="3"/>
  <c r="S67" i="3"/>
  <c r="R67" i="3"/>
  <c r="P67" i="3"/>
  <c r="N67" i="3"/>
  <c r="M67" i="3"/>
  <c r="O67" i="3" s="1"/>
  <c r="Q67" i="3" s="1"/>
  <c r="I67" i="3"/>
  <c r="K67" i="3" s="1"/>
  <c r="H67" i="3"/>
  <c r="J67" i="3" s="1"/>
  <c r="E67" i="3"/>
  <c r="D67" i="3"/>
  <c r="F67" i="3" s="1"/>
  <c r="C67" i="3"/>
  <c r="B67" i="3"/>
  <c r="A67" i="3"/>
  <c r="AC66" i="3"/>
  <c r="AB66" i="3"/>
  <c r="AA66" i="3"/>
  <c r="Z66" i="3"/>
  <c r="U66" i="3"/>
  <c r="S66" i="3"/>
  <c r="R66" i="3"/>
  <c r="T66" i="3" s="1"/>
  <c r="V66" i="3" s="1"/>
  <c r="N66" i="3"/>
  <c r="P66" i="3" s="1"/>
  <c r="Q66" i="3" s="1"/>
  <c r="M66" i="3"/>
  <c r="O66" i="3" s="1"/>
  <c r="J66" i="3"/>
  <c r="I66" i="3"/>
  <c r="K66" i="3" s="1"/>
  <c r="L66" i="3" s="1"/>
  <c r="H66" i="3"/>
  <c r="F66" i="3"/>
  <c r="E66" i="3"/>
  <c r="D66" i="3"/>
  <c r="C66" i="3"/>
  <c r="B66" i="3"/>
  <c r="A66" i="3"/>
  <c r="AC65" i="3"/>
  <c r="AB65" i="3"/>
  <c r="AA65" i="3"/>
  <c r="Z65" i="3"/>
  <c r="S65" i="3"/>
  <c r="U65" i="3" s="1"/>
  <c r="V65" i="3" s="1"/>
  <c r="R65" i="3"/>
  <c r="T65" i="3" s="1"/>
  <c r="O65" i="3"/>
  <c r="N65" i="3"/>
  <c r="P65" i="3" s="1"/>
  <c r="Q65" i="3" s="1"/>
  <c r="M65" i="3"/>
  <c r="K65" i="3"/>
  <c r="L65" i="3" s="1"/>
  <c r="J65" i="3"/>
  <c r="I65" i="3"/>
  <c r="H65" i="3"/>
  <c r="F65" i="3"/>
  <c r="D65" i="3"/>
  <c r="C65" i="3"/>
  <c r="E65" i="3" s="1"/>
  <c r="B65" i="3"/>
  <c r="A65" i="3"/>
  <c r="AC64" i="3"/>
  <c r="AB64" i="3"/>
  <c r="AA64" i="3"/>
  <c r="Z64" i="3"/>
  <c r="T64" i="3"/>
  <c r="S64" i="3"/>
  <c r="U64" i="3" s="1"/>
  <c r="V64" i="3" s="1"/>
  <c r="R64" i="3"/>
  <c r="P64" i="3"/>
  <c r="Q64" i="3" s="1"/>
  <c r="O64" i="3"/>
  <c r="N64" i="3"/>
  <c r="M64" i="3"/>
  <c r="K64" i="3"/>
  <c r="I64" i="3"/>
  <c r="H64" i="3"/>
  <c r="J64" i="3" s="1"/>
  <c r="L64" i="3" s="1"/>
  <c r="D64" i="3"/>
  <c r="F64" i="3" s="1"/>
  <c r="C64" i="3"/>
  <c r="E64" i="3" s="1"/>
  <c r="W64" i="3" s="1"/>
  <c r="B64" i="3"/>
  <c r="A64" i="3"/>
  <c r="AC63" i="3"/>
  <c r="AB63" i="3"/>
  <c r="AA63" i="3"/>
  <c r="Z63" i="3"/>
  <c r="U63" i="3"/>
  <c r="V63" i="3" s="1"/>
  <c r="T63" i="3"/>
  <c r="S63" i="3"/>
  <c r="R63" i="3"/>
  <c r="P63" i="3"/>
  <c r="N63" i="3"/>
  <c r="M63" i="3"/>
  <c r="O63" i="3" s="1"/>
  <c r="Q63" i="3" s="1"/>
  <c r="I63" i="3"/>
  <c r="K63" i="3" s="1"/>
  <c r="H63" i="3"/>
  <c r="J63" i="3" s="1"/>
  <c r="E63" i="3"/>
  <c r="D63" i="3"/>
  <c r="F63" i="3" s="1"/>
  <c r="C63" i="3"/>
  <c r="B63" i="3"/>
  <c r="A63" i="3"/>
  <c r="AC62" i="3"/>
  <c r="AB62" i="3"/>
  <c r="AA62" i="3"/>
  <c r="Z62" i="3"/>
  <c r="U62" i="3"/>
  <c r="S62" i="3"/>
  <c r="R62" i="3"/>
  <c r="T62" i="3" s="1"/>
  <c r="V62" i="3" s="1"/>
  <c r="N62" i="3"/>
  <c r="P62" i="3" s="1"/>
  <c r="Q62" i="3" s="1"/>
  <c r="M62" i="3"/>
  <c r="O62" i="3" s="1"/>
  <c r="J62" i="3"/>
  <c r="I62" i="3"/>
  <c r="K62" i="3" s="1"/>
  <c r="L62" i="3" s="1"/>
  <c r="H62" i="3"/>
  <c r="F62" i="3"/>
  <c r="E62" i="3"/>
  <c r="D62" i="3"/>
  <c r="C62" i="3"/>
  <c r="B62" i="3"/>
  <c r="A62" i="3"/>
  <c r="AC61" i="3"/>
  <c r="AB61" i="3"/>
  <c r="AA61" i="3"/>
  <c r="Z61" i="3"/>
  <c r="S61" i="3"/>
  <c r="U61" i="3" s="1"/>
  <c r="V61" i="3" s="1"/>
  <c r="R61" i="3"/>
  <c r="T61" i="3" s="1"/>
  <c r="O61" i="3"/>
  <c r="N61" i="3"/>
  <c r="P61" i="3" s="1"/>
  <c r="Q61" i="3" s="1"/>
  <c r="M61" i="3"/>
  <c r="K61" i="3"/>
  <c r="L61" i="3" s="1"/>
  <c r="J61" i="3"/>
  <c r="I61" i="3"/>
  <c r="H61" i="3"/>
  <c r="F61" i="3"/>
  <c r="D61" i="3"/>
  <c r="C61" i="3"/>
  <c r="E61" i="3" s="1"/>
  <c r="B61" i="3"/>
  <c r="A61" i="3"/>
  <c r="AC60" i="3"/>
  <c r="AB60" i="3"/>
  <c r="AA60" i="3"/>
  <c r="Z60" i="3"/>
  <c r="T60" i="3"/>
  <c r="S60" i="3"/>
  <c r="U60" i="3" s="1"/>
  <c r="V60" i="3" s="1"/>
  <c r="R60" i="3"/>
  <c r="P60" i="3"/>
  <c r="Q60" i="3" s="1"/>
  <c r="O60" i="3"/>
  <c r="N60" i="3"/>
  <c r="M60" i="3"/>
  <c r="K60" i="3"/>
  <c r="I60" i="3"/>
  <c r="H60" i="3"/>
  <c r="J60" i="3" s="1"/>
  <c r="L60" i="3" s="1"/>
  <c r="D60" i="3"/>
  <c r="F60" i="3" s="1"/>
  <c r="C60" i="3"/>
  <c r="E60" i="3" s="1"/>
  <c r="W60" i="3" s="1"/>
  <c r="B60" i="3"/>
  <c r="A60" i="3"/>
  <c r="AC59" i="3"/>
  <c r="AB59" i="3"/>
  <c r="AA59" i="3"/>
  <c r="Z59" i="3"/>
  <c r="U59" i="3"/>
  <c r="V59" i="3" s="1"/>
  <c r="T59" i="3"/>
  <c r="S59" i="3"/>
  <c r="R59" i="3"/>
  <c r="P59" i="3"/>
  <c r="N59" i="3"/>
  <c r="M59" i="3"/>
  <c r="O59" i="3" s="1"/>
  <c r="Q59" i="3" s="1"/>
  <c r="I59" i="3"/>
  <c r="K59" i="3" s="1"/>
  <c r="H59" i="3"/>
  <c r="J59" i="3" s="1"/>
  <c r="E59" i="3"/>
  <c r="D59" i="3"/>
  <c r="F59" i="3" s="1"/>
  <c r="C59" i="3"/>
  <c r="B59" i="3"/>
  <c r="A59" i="3"/>
  <c r="AC58" i="3"/>
  <c r="AB58" i="3"/>
  <c r="AA58" i="3"/>
  <c r="Z58" i="3"/>
  <c r="U58" i="3"/>
  <c r="S58" i="3"/>
  <c r="R58" i="3"/>
  <c r="T58" i="3" s="1"/>
  <c r="V58" i="3" s="1"/>
  <c r="N58" i="3"/>
  <c r="P58" i="3" s="1"/>
  <c r="Q58" i="3" s="1"/>
  <c r="M58" i="3"/>
  <c r="O58" i="3" s="1"/>
  <c r="J58" i="3"/>
  <c r="I58" i="3"/>
  <c r="K58" i="3" s="1"/>
  <c r="L58" i="3" s="1"/>
  <c r="H58" i="3"/>
  <c r="F58" i="3"/>
  <c r="E58" i="3"/>
  <c r="D58" i="3"/>
  <c r="C58" i="3"/>
  <c r="B58" i="3"/>
  <c r="A58" i="3"/>
  <c r="AC57" i="3"/>
  <c r="AB57" i="3"/>
  <c r="AA57" i="3"/>
  <c r="Z57" i="3"/>
  <c r="S57" i="3"/>
  <c r="U57" i="3" s="1"/>
  <c r="V57" i="3" s="1"/>
  <c r="R57" i="3"/>
  <c r="T57" i="3" s="1"/>
  <c r="O57" i="3"/>
  <c r="N57" i="3"/>
  <c r="P57" i="3" s="1"/>
  <c r="Q57" i="3" s="1"/>
  <c r="M57" i="3"/>
  <c r="K57" i="3"/>
  <c r="L57" i="3" s="1"/>
  <c r="J57" i="3"/>
  <c r="I57" i="3"/>
  <c r="H57" i="3"/>
  <c r="F57" i="3"/>
  <c r="D57" i="3"/>
  <c r="C57" i="3"/>
  <c r="E57" i="3" s="1"/>
  <c r="B57" i="3"/>
  <c r="A57" i="3"/>
  <c r="AC56" i="3"/>
  <c r="AB56" i="3"/>
  <c r="AA56" i="3"/>
  <c r="Z56" i="3"/>
  <c r="T56" i="3"/>
  <c r="S56" i="3"/>
  <c r="U56" i="3" s="1"/>
  <c r="V56" i="3" s="1"/>
  <c r="R56" i="3"/>
  <c r="P56" i="3"/>
  <c r="Q56" i="3" s="1"/>
  <c r="O56" i="3"/>
  <c r="N56" i="3"/>
  <c r="M56" i="3"/>
  <c r="K56" i="3"/>
  <c r="I56" i="3"/>
  <c r="H56" i="3"/>
  <c r="J56" i="3" s="1"/>
  <c r="L56" i="3" s="1"/>
  <c r="D56" i="3"/>
  <c r="F56" i="3" s="1"/>
  <c r="C56" i="3"/>
  <c r="E56" i="3" s="1"/>
  <c r="W56" i="3" s="1"/>
  <c r="B56" i="3"/>
  <c r="A56" i="3"/>
  <c r="AC55" i="3"/>
  <c r="AB55" i="3"/>
  <c r="AA55" i="3"/>
  <c r="Z55" i="3"/>
  <c r="U55" i="3"/>
  <c r="V55" i="3" s="1"/>
  <c r="T55" i="3"/>
  <c r="S55" i="3"/>
  <c r="R55" i="3"/>
  <c r="P55" i="3"/>
  <c r="N55" i="3"/>
  <c r="M55" i="3"/>
  <c r="O55" i="3" s="1"/>
  <c r="Q55" i="3" s="1"/>
  <c r="I55" i="3"/>
  <c r="K55" i="3" s="1"/>
  <c r="H55" i="3"/>
  <c r="J55" i="3" s="1"/>
  <c r="E55" i="3"/>
  <c r="D55" i="3"/>
  <c r="F55" i="3" s="1"/>
  <c r="C55" i="3"/>
  <c r="B55" i="3"/>
  <c r="A55" i="3"/>
  <c r="AC54" i="3"/>
  <c r="AB54" i="3"/>
  <c r="AA54" i="3"/>
  <c r="Z54" i="3"/>
  <c r="U54" i="3"/>
  <c r="S54" i="3"/>
  <c r="R54" i="3"/>
  <c r="T54" i="3" s="1"/>
  <c r="V54" i="3" s="1"/>
  <c r="N54" i="3"/>
  <c r="P54" i="3" s="1"/>
  <c r="Q54" i="3" s="1"/>
  <c r="M54" i="3"/>
  <c r="O54" i="3" s="1"/>
  <c r="J54" i="3"/>
  <c r="I54" i="3"/>
  <c r="K54" i="3" s="1"/>
  <c r="L54" i="3" s="1"/>
  <c r="H54" i="3"/>
  <c r="F54" i="3"/>
  <c r="E54" i="3"/>
  <c r="D54" i="3"/>
  <c r="C54" i="3"/>
  <c r="B54" i="3"/>
  <c r="A54" i="3"/>
  <c r="AC53" i="3"/>
  <c r="AB53" i="3"/>
  <c r="AA53" i="3"/>
  <c r="Z53" i="3"/>
  <c r="S53" i="3"/>
  <c r="U53" i="3" s="1"/>
  <c r="V53" i="3" s="1"/>
  <c r="R53" i="3"/>
  <c r="T53" i="3" s="1"/>
  <c r="O53" i="3"/>
  <c r="N53" i="3"/>
  <c r="P53" i="3" s="1"/>
  <c r="Q53" i="3" s="1"/>
  <c r="M53" i="3"/>
  <c r="K53" i="3"/>
  <c r="L53" i="3" s="1"/>
  <c r="J53" i="3"/>
  <c r="I53" i="3"/>
  <c r="H53" i="3"/>
  <c r="F53" i="3"/>
  <c r="D53" i="3"/>
  <c r="C53" i="3"/>
  <c r="E53" i="3" s="1"/>
  <c r="B53" i="3"/>
  <c r="A53" i="3"/>
  <c r="AC52" i="3"/>
  <c r="AB52" i="3"/>
  <c r="AA52" i="3"/>
  <c r="Z52" i="3"/>
  <c r="T52" i="3"/>
  <c r="S52" i="3"/>
  <c r="U52" i="3" s="1"/>
  <c r="V52" i="3" s="1"/>
  <c r="R52" i="3"/>
  <c r="P52" i="3"/>
  <c r="Q52" i="3" s="1"/>
  <c r="O52" i="3"/>
  <c r="N52" i="3"/>
  <c r="M52" i="3"/>
  <c r="K52" i="3"/>
  <c r="I52" i="3"/>
  <c r="H52" i="3"/>
  <c r="J52" i="3" s="1"/>
  <c r="L52" i="3" s="1"/>
  <c r="D52" i="3"/>
  <c r="F52" i="3" s="1"/>
  <c r="C52" i="3"/>
  <c r="E52" i="3" s="1"/>
  <c r="W52" i="3" s="1"/>
  <c r="B52" i="3"/>
  <c r="A52" i="3"/>
  <c r="AC51" i="3"/>
  <c r="AB51" i="3"/>
  <c r="AA51" i="3"/>
  <c r="Z51" i="3"/>
  <c r="U51" i="3"/>
  <c r="V51" i="3" s="1"/>
  <c r="T51" i="3"/>
  <c r="S51" i="3"/>
  <c r="R51" i="3"/>
  <c r="P51" i="3"/>
  <c r="N51" i="3"/>
  <c r="M51" i="3"/>
  <c r="O51" i="3" s="1"/>
  <c r="Q51" i="3" s="1"/>
  <c r="I51" i="3"/>
  <c r="K51" i="3" s="1"/>
  <c r="H51" i="3"/>
  <c r="J51" i="3" s="1"/>
  <c r="E51" i="3"/>
  <c r="D51" i="3"/>
  <c r="F51" i="3" s="1"/>
  <c r="C51" i="3"/>
  <c r="B51" i="3"/>
  <c r="A51" i="3"/>
  <c r="AC50" i="3"/>
  <c r="AB50" i="3"/>
  <c r="AA50" i="3"/>
  <c r="Z50" i="3"/>
  <c r="U50" i="3"/>
  <c r="S50" i="3"/>
  <c r="R50" i="3"/>
  <c r="T50" i="3" s="1"/>
  <c r="V50" i="3" s="1"/>
  <c r="N50" i="3"/>
  <c r="P50" i="3" s="1"/>
  <c r="Q50" i="3" s="1"/>
  <c r="M50" i="3"/>
  <c r="O50" i="3" s="1"/>
  <c r="J50" i="3"/>
  <c r="I50" i="3"/>
  <c r="K50" i="3" s="1"/>
  <c r="L50" i="3" s="1"/>
  <c r="H50" i="3"/>
  <c r="F50" i="3"/>
  <c r="E50" i="3"/>
  <c r="D50" i="3"/>
  <c r="C50" i="3"/>
  <c r="B50" i="3"/>
  <c r="A50" i="3"/>
  <c r="AC49" i="3"/>
  <c r="AB49" i="3"/>
  <c r="AA49" i="3"/>
  <c r="Z49" i="3"/>
  <c r="S49" i="3"/>
  <c r="U49" i="3" s="1"/>
  <c r="V49" i="3" s="1"/>
  <c r="R49" i="3"/>
  <c r="T49" i="3" s="1"/>
  <c r="O49" i="3"/>
  <c r="N49" i="3"/>
  <c r="P49" i="3" s="1"/>
  <c r="Q49" i="3" s="1"/>
  <c r="M49" i="3"/>
  <c r="K49" i="3"/>
  <c r="L49" i="3" s="1"/>
  <c r="J49" i="3"/>
  <c r="I49" i="3"/>
  <c r="H49" i="3"/>
  <c r="F49" i="3"/>
  <c r="D49" i="3"/>
  <c r="C49" i="3"/>
  <c r="E49" i="3" s="1"/>
  <c r="B49" i="3"/>
  <c r="A49" i="3"/>
  <c r="AC48" i="3"/>
  <c r="AB48" i="3"/>
  <c r="AA48" i="3"/>
  <c r="Z48" i="3"/>
  <c r="T48" i="3"/>
  <c r="S48" i="3"/>
  <c r="U48" i="3" s="1"/>
  <c r="V48" i="3" s="1"/>
  <c r="R48" i="3"/>
  <c r="P48" i="3"/>
  <c r="Q48" i="3" s="1"/>
  <c r="O48" i="3"/>
  <c r="N48" i="3"/>
  <c r="M48" i="3"/>
  <c r="K48" i="3"/>
  <c r="I48" i="3"/>
  <c r="H48" i="3"/>
  <c r="J48" i="3" s="1"/>
  <c r="L48" i="3" s="1"/>
  <c r="D48" i="3"/>
  <c r="F48" i="3" s="1"/>
  <c r="C48" i="3"/>
  <c r="E48" i="3" s="1"/>
  <c r="W48" i="3" s="1"/>
  <c r="B48" i="3"/>
  <c r="A48" i="3"/>
  <c r="AC47" i="3"/>
  <c r="AB47" i="3"/>
  <c r="AA47" i="3"/>
  <c r="Z47" i="3"/>
  <c r="U47" i="3"/>
  <c r="V47" i="3" s="1"/>
  <c r="T47" i="3"/>
  <c r="S47" i="3"/>
  <c r="R47" i="3"/>
  <c r="P47" i="3"/>
  <c r="N47" i="3"/>
  <c r="M47" i="3"/>
  <c r="O47" i="3" s="1"/>
  <c r="Q47" i="3" s="1"/>
  <c r="I47" i="3"/>
  <c r="K47" i="3" s="1"/>
  <c r="H47" i="3"/>
  <c r="J47" i="3" s="1"/>
  <c r="E47" i="3"/>
  <c r="D47" i="3"/>
  <c r="F47" i="3" s="1"/>
  <c r="C47" i="3"/>
  <c r="B47" i="3"/>
  <c r="A47" i="3"/>
  <c r="AC46" i="3"/>
  <c r="AB46" i="3"/>
  <c r="AA46" i="3"/>
  <c r="Z46" i="3"/>
  <c r="U46" i="3"/>
  <c r="S46" i="3"/>
  <c r="R46" i="3"/>
  <c r="T46" i="3" s="1"/>
  <c r="V46" i="3" s="1"/>
  <c r="N46" i="3"/>
  <c r="P46" i="3" s="1"/>
  <c r="Q46" i="3" s="1"/>
  <c r="M46" i="3"/>
  <c r="O46" i="3" s="1"/>
  <c r="J46" i="3"/>
  <c r="I46" i="3"/>
  <c r="K46" i="3" s="1"/>
  <c r="L46" i="3" s="1"/>
  <c r="H46" i="3"/>
  <c r="F46" i="3"/>
  <c r="E46" i="3"/>
  <c r="D46" i="3"/>
  <c r="C46" i="3"/>
  <c r="B46" i="3"/>
  <c r="A46" i="3"/>
  <c r="AC45" i="3"/>
  <c r="AB45" i="3"/>
  <c r="AA45" i="3"/>
  <c r="Z45" i="3"/>
  <c r="S45" i="3"/>
  <c r="U45" i="3" s="1"/>
  <c r="V45" i="3" s="1"/>
  <c r="R45" i="3"/>
  <c r="T45" i="3" s="1"/>
  <c r="O45" i="3"/>
  <c r="N45" i="3"/>
  <c r="P45" i="3" s="1"/>
  <c r="Q45" i="3" s="1"/>
  <c r="M45" i="3"/>
  <c r="K45" i="3"/>
  <c r="L45" i="3" s="1"/>
  <c r="J45" i="3"/>
  <c r="I45" i="3"/>
  <c r="H45" i="3"/>
  <c r="F45" i="3"/>
  <c r="D45" i="3"/>
  <c r="C45" i="3"/>
  <c r="E45" i="3" s="1"/>
  <c r="B45" i="3"/>
  <c r="A45" i="3"/>
  <c r="AC44" i="3"/>
  <c r="AB44" i="3"/>
  <c r="AA44" i="3"/>
  <c r="Z44" i="3"/>
  <c r="T44" i="3"/>
  <c r="S44" i="3"/>
  <c r="U44" i="3" s="1"/>
  <c r="V44" i="3" s="1"/>
  <c r="R44" i="3"/>
  <c r="P44" i="3"/>
  <c r="Q44" i="3" s="1"/>
  <c r="O44" i="3"/>
  <c r="N44" i="3"/>
  <c r="M44" i="3"/>
  <c r="K44" i="3"/>
  <c r="I44" i="3"/>
  <c r="H44" i="3"/>
  <c r="J44" i="3" s="1"/>
  <c r="L44" i="3" s="1"/>
  <c r="D44" i="3"/>
  <c r="F44" i="3" s="1"/>
  <c r="C44" i="3"/>
  <c r="E44" i="3" s="1"/>
  <c r="W44" i="3" s="1"/>
  <c r="B44" i="3"/>
  <c r="A44" i="3"/>
  <c r="AC43" i="3"/>
  <c r="AB43" i="3"/>
  <c r="AA43" i="3"/>
  <c r="Z43" i="3"/>
  <c r="U43" i="3"/>
  <c r="V43" i="3" s="1"/>
  <c r="T43" i="3"/>
  <c r="S43" i="3"/>
  <c r="R43" i="3"/>
  <c r="P43" i="3"/>
  <c r="N43" i="3"/>
  <c r="M43" i="3"/>
  <c r="O43" i="3" s="1"/>
  <c r="Q43" i="3" s="1"/>
  <c r="I43" i="3"/>
  <c r="K43" i="3" s="1"/>
  <c r="H43" i="3"/>
  <c r="J43" i="3" s="1"/>
  <c r="E43" i="3"/>
  <c r="D43" i="3"/>
  <c r="F43" i="3" s="1"/>
  <c r="C43" i="3"/>
  <c r="B43" i="3"/>
  <c r="A43" i="3"/>
  <c r="AC42" i="3"/>
  <c r="AB42" i="3"/>
  <c r="AA42" i="3"/>
  <c r="Z42" i="3"/>
  <c r="U42" i="3"/>
  <c r="S42" i="3"/>
  <c r="R42" i="3"/>
  <c r="T42" i="3" s="1"/>
  <c r="V42" i="3" s="1"/>
  <c r="N42" i="3"/>
  <c r="P42" i="3" s="1"/>
  <c r="Q42" i="3" s="1"/>
  <c r="M42" i="3"/>
  <c r="O42" i="3" s="1"/>
  <c r="J42" i="3"/>
  <c r="I42" i="3"/>
  <c r="K42" i="3" s="1"/>
  <c r="L42" i="3" s="1"/>
  <c r="H42" i="3"/>
  <c r="F42" i="3"/>
  <c r="E42" i="3"/>
  <c r="D42" i="3"/>
  <c r="C42" i="3"/>
  <c r="B42" i="3"/>
  <c r="A42" i="3"/>
  <c r="AC41" i="3"/>
  <c r="AB41" i="3"/>
  <c r="AA41" i="3"/>
  <c r="Z41" i="3"/>
  <c r="S41" i="3"/>
  <c r="U41" i="3" s="1"/>
  <c r="V41" i="3" s="1"/>
  <c r="R41" i="3"/>
  <c r="T41" i="3" s="1"/>
  <c r="O41" i="3"/>
  <c r="N41" i="3"/>
  <c r="P41" i="3" s="1"/>
  <c r="Q41" i="3" s="1"/>
  <c r="M41" i="3"/>
  <c r="K41" i="3"/>
  <c r="L41" i="3" s="1"/>
  <c r="J41" i="3"/>
  <c r="I41" i="3"/>
  <c r="H41" i="3"/>
  <c r="F41" i="3"/>
  <c r="D41" i="3"/>
  <c r="C41" i="3"/>
  <c r="E41" i="3" s="1"/>
  <c r="B41" i="3"/>
  <c r="A41" i="3"/>
  <c r="AC40" i="3"/>
  <c r="AB40" i="3"/>
  <c r="AA40" i="3"/>
  <c r="Z40" i="3"/>
  <c r="T40" i="3"/>
  <c r="S40" i="3"/>
  <c r="U40" i="3" s="1"/>
  <c r="V40" i="3" s="1"/>
  <c r="R40" i="3"/>
  <c r="P40" i="3"/>
  <c r="Q40" i="3" s="1"/>
  <c r="O40" i="3"/>
  <c r="N40" i="3"/>
  <c r="M40" i="3"/>
  <c r="K40" i="3"/>
  <c r="I40" i="3"/>
  <c r="H40" i="3"/>
  <c r="J40" i="3" s="1"/>
  <c r="L40" i="3" s="1"/>
  <c r="D40" i="3"/>
  <c r="F40" i="3" s="1"/>
  <c r="C40" i="3"/>
  <c r="E40" i="3" s="1"/>
  <c r="W40" i="3" s="1"/>
  <c r="B40" i="3"/>
  <c r="A40" i="3"/>
  <c r="AC39" i="3"/>
  <c r="AB39" i="3"/>
  <c r="AA39" i="3"/>
  <c r="Z39" i="3"/>
  <c r="U39" i="3"/>
  <c r="V39" i="3" s="1"/>
  <c r="T39" i="3"/>
  <c r="S39" i="3"/>
  <c r="R39" i="3"/>
  <c r="P39" i="3"/>
  <c r="N39" i="3"/>
  <c r="M39" i="3"/>
  <c r="O39" i="3" s="1"/>
  <c r="Q39" i="3" s="1"/>
  <c r="I39" i="3"/>
  <c r="K39" i="3" s="1"/>
  <c r="H39" i="3"/>
  <c r="J39" i="3" s="1"/>
  <c r="E39" i="3"/>
  <c r="D39" i="3"/>
  <c r="F39" i="3" s="1"/>
  <c r="C39" i="3"/>
  <c r="B39" i="3"/>
  <c r="A39" i="3"/>
  <c r="AC38" i="3"/>
  <c r="AB38" i="3"/>
  <c r="AA38" i="3"/>
  <c r="Z38" i="3"/>
  <c r="U38" i="3"/>
  <c r="S38" i="3"/>
  <c r="R38" i="3"/>
  <c r="T38" i="3" s="1"/>
  <c r="V38" i="3" s="1"/>
  <c r="N38" i="3"/>
  <c r="P38" i="3" s="1"/>
  <c r="Q38" i="3" s="1"/>
  <c r="M38" i="3"/>
  <c r="O38" i="3" s="1"/>
  <c r="J38" i="3"/>
  <c r="I38" i="3"/>
  <c r="K38" i="3" s="1"/>
  <c r="L38" i="3" s="1"/>
  <c r="H38" i="3"/>
  <c r="F38" i="3"/>
  <c r="E38" i="3"/>
  <c r="D38" i="3"/>
  <c r="C38" i="3"/>
  <c r="B38" i="3"/>
  <c r="A38" i="3"/>
  <c r="AC37" i="3"/>
  <c r="AB37" i="3"/>
  <c r="AA37" i="3"/>
  <c r="Z37" i="3"/>
  <c r="S37" i="3"/>
  <c r="U37" i="3" s="1"/>
  <c r="V37" i="3" s="1"/>
  <c r="R37" i="3"/>
  <c r="T37" i="3" s="1"/>
  <c r="O37" i="3"/>
  <c r="N37" i="3"/>
  <c r="P37" i="3" s="1"/>
  <c r="Q37" i="3" s="1"/>
  <c r="M37" i="3"/>
  <c r="K37" i="3"/>
  <c r="L37" i="3" s="1"/>
  <c r="J37" i="3"/>
  <c r="I37" i="3"/>
  <c r="H37" i="3"/>
  <c r="F37" i="3"/>
  <c r="D37" i="3"/>
  <c r="C37" i="3"/>
  <c r="E37" i="3" s="1"/>
  <c r="B37" i="3"/>
  <c r="A37" i="3"/>
  <c r="AC36" i="3"/>
  <c r="AB36" i="3"/>
  <c r="AA36" i="3"/>
  <c r="Z36" i="3"/>
  <c r="T36" i="3"/>
  <c r="S36" i="3"/>
  <c r="U36" i="3" s="1"/>
  <c r="V36" i="3" s="1"/>
  <c r="R36" i="3"/>
  <c r="P36" i="3"/>
  <c r="Q36" i="3" s="1"/>
  <c r="O36" i="3"/>
  <c r="N36" i="3"/>
  <c r="M36" i="3"/>
  <c r="K36" i="3"/>
  <c r="I36" i="3"/>
  <c r="H36" i="3"/>
  <c r="J36" i="3" s="1"/>
  <c r="L36" i="3" s="1"/>
  <c r="D36" i="3"/>
  <c r="F36" i="3" s="1"/>
  <c r="C36" i="3"/>
  <c r="E36" i="3" s="1"/>
  <c r="W36" i="3" s="1"/>
  <c r="B36" i="3"/>
  <c r="A36" i="3"/>
  <c r="AC35" i="3"/>
  <c r="AB35" i="3"/>
  <c r="AA35" i="3"/>
  <c r="Z35" i="3"/>
  <c r="U35" i="3"/>
  <c r="V35" i="3" s="1"/>
  <c r="T35" i="3"/>
  <c r="S35" i="3"/>
  <c r="R35" i="3"/>
  <c r="P35" i="3"/>
  <c r="N35" i="3"/>
  <c r="M35" i="3"/>
  <c r="O35" i="3" s="1"/>
  <c r="Q35" i="3" s="1"/>
  <c r="I35" i="3"/>
  <c r="K35" i="3" s="1"/>
  <c r="H35" i="3"/>
  <c r="J35" i="3" s="1"/>
  <c r="E35" i="3"/>
  <c r="D35" i="3"/>
  <c r="F35" i="3" s="1"/>
  <c r="C35" i="3"/>
  <c r="B35" i="3"/>
  <c r="A35" i="3"/>
  <c r="AC34" i="3"/>
  <c r="AB34" i="3"/>
  <c r="AA34" i="3"/>
  <c r="Z34" i="3"/>
  <c r="U34" i="3"/>
  <c r="S34" i="3"/>
  <c r="R34" i="3"/>
  <c r="T34" i="3" s="1"/>
  <c r="V34" i="3" s="1"/>
  <c r="N34" i="3"/>
  <c r="P34" i="3" s="1"/>
  <c r="Q34" i="3" s="1"/>
  <c r="M34" i="3"/>
  <c r="O34" i="3" s="1"/>
  <c r="J34" i="3"/>
  <c r="I34" i="3"/>
  <c r="K34" i="3" s="1"/>
  <c r="L34" i="3" s="1"/>
  <c r="H34" i="3"/>
  <c r="F34" i="3"/>
  <c r="E34" i="3"/>
  <c r="D34" i="3"/>
  <c r="C34" i="3"/>
  <c r="B34" i="3"/>
  <c r="A34" i="3"/>
  <c r="AC33" i="3"/>
  <c r="AB33" i="3"/>
  <c r="AA33" i="3"/>
  <c r="Z33" i="3"/>
  <c r="S33" i="3"/>
  <c r="U33" i="3" s="1"/>
  <c r="V33" i="3" s="1"/>
  <c r="R33" i="3"/>
  <c r="T33" i="3" s="1"/>
  <c r="O33" i="3"/>
  <c r="N33" i="3"/>
  <c r="P33" i="3" s="1"/>
  <c r="Q33" i="3" s="1"/>
  <c r="M33" i="3"/>
  <c r="K33" i="3"/>
  <c r="L33" i="3" s="1"/>
  <c r="J33" i="3"/>
  <c r="I33" i="3"/>
  <c r="H33" i="3"/>
  <c r="F33" i="3"/>
  <c r="D33" i="3"/>
  <c r="C33" i="3"/>
  <c r="E33" i="3" s="1"/>
  <c r="B33" i="3"/>
  <c r="A33" i="3"/>
  <c r="AC32" i="3"/>
  <c r="AB32" i="3"/>
  <c r="AA32" i="3"/>
  <c r="Z32" i="3"/>
  <c r="T32" i="3"/>
  <c r="S32" i="3"/>
  <c r="U32" i="3" s="1"/>
  <c r="V32" i="3" s="1"/>
  <c r="R32" i="3"/>
  <c r="P32" i="3"/>
  <c r="Q32" i="3" s="1"/>
  <c r="O32" i="3"/>
  <c r="N32" i="3"/>
  <c r="M32" i="3"/>
  <c r="K32" i="3"/>
  <c r="I32" i="3"/>
  <c r="H32" i="3"/>
  <c r="J32" i="3" s="1"/>
  <c r="L32" i="3" s="1"/>
  <c r="D32" i="3"/>
  <c r="F32" i="3" s="1"/>
  <c r="C32" i="3"/>
  <c r="E32" i="3" s="1"/>
  <c r="W32" i="3" s="1"/>
  <c r="B32" i="3"/>
  <c r="A32" i="3"/>
  <c r="AC31" i="3"/>
  <c r="AB31" i="3"/>
  <c r="AA31" i="3"/>
  <c r="Z31" i="3"/>
  <c r="U31" i="3"/>
  <c r="V31" i="3" s="1"/>
  <c r="T31" i="3"/>
  <c r="S31" i="3"/>
  <c r="R31" i="3"/>
  <c r="P31" i="3"/>
  <c r="N31" i="3"/>
  <c r="M31" i="3"/>
  <c r="O31" i="3" s="1"/>
  <c r="Q31" i="3" s="1"/>
  <c r="I31" i="3"/>
  <c r="K31" i="3" s="1"/>
  <c r="H31" i="3"/>
  <c r="J31" i="3" s="1"/>
  <c r="E31" i="3"/>
  <c r="D31" i="3"/>
  <c r="F31" i="3" s="1"/>
  <c r="C31" i="3"/>
  <c r="B31" i="3"/>
  <c r="A31" i="3"/>
  <c r="AC30" i="3"/>
  <c r="AB30" i="3"/>
  <c r="AA30" i="3"/>
  <c r="Z30" i="3"/>
  <c r="U30" i="3"/>
  <c r="S30" i="3"/>
  <c r="R30" i="3"/>
  <c r="T30" i="3" s="1"/>
  <c r="N30" i="3"/>
  <c r="P30" i="3" s="1"/>
  <c r="Q30" i="3" s="1"/>
  <c r="M30" i="3"/>
  <c r="O30" i="3" s="1"/>
  <c r="J30" i="3"/>
  <c r="I30" i="3"/>
  <c r="K30" i="3" s="1"/>
  <c r="L30" i="3" s="1"/>
  <c r="H30" i="3"/>
  <c r="F30" i="3"/>
  <c r="E30" i="3"/>
  <c r="D30" i="3"/>
  <c r="C30" i="3"/>
  <c r="B30" i="3"/>
  <c r="A30" i="3"/>
  <c r="AC29" i="3"/>
  <c r="AB29" i="3"/>
  <c r="AA29" i="3"/>
  <c r="Z29" i="3"/>
  <c r="S29" i="3"/>
  <c r="U29" i="3" s="1"/>
  <c r="V29" i="3" s="1"/>
  <c r="R29" i="3"/>
  <c r="T29" i="3" s="1"/>
  <c r="O29" i="3"/>
  <c r="N29" i="3"/>
  <c r="P29" i="3" s="1"/>
  <c r="Q29" i="3" s="1"/>
  <c r="M29" i="3"/>
  <c r="K29" i="3"/>
  <c r="L29" i="3" s="1"/>
  <c r="J29" i="3"/>
  <c r="I29" i="3"/>
  <c r="H29" i="3"/>
  <c r="F29" i="3"/>
  <c r="D29" i="3"/>
  <c r="C29" i="3"/>
  <c r="E29" i="3" s="1"/>
  <c r="W29" i="3" s="1"/>
  <c r="B29" i="3"/>
  <c r="A29" i="3"/>
  <c r="AC28" i="3"/>
  <c r="AB28" i="3"/>
  <c r="AA28" i="3"/>
  <c r="Z28" i="3"/>
  <c r="T28" i="3"/>
  <c r="S28" i="3"/>
  <c r="U28" i="3" s="1"/>
  <c r="V28" i="3" s="1"/>
  <c r="R28" i="3"/>
  <c r="P28" i="3"/>
  <c r="Q28" i="3" s="1"/>
  <c r="O28" i="3"/>
  <c r="N28" i="3"/>
  <c r="M28" i="3"/>
  <c r="K28" i="3"/>
  <c r="I28" i="3"/>
  <c r="H28" i="3"/>
  <c r="J28" i="3" s="1"/>
  <c r="D28" i="3"/>
  <c r="F28" i="3" s="1"/>
  <c r="C28" i="3"/>
  <c r="E28" i="3" s="1"/>
  <c r="W28" i="3" s="1"/>
  <c r="B28" i="3"/>
  <c r="A28" i="3"/>
  <c r="AC27" i="3"/>
  <c r="AB27" i="3"/>
  <c r="AA27" i="3"/>
  <c r="Z27" i="3"/>
  <c r="U27" i="3"/>
  <c r="V27" i="3" s="1"/>
  <c r="T27" i="3"/>
  <c r="S27" i="3"/>
  <c r="R27" i="3"/>
  <c r="P27" i="3"/>
  <c r="Q27" i="3" s="1"/>
  <c r="N27" i="3"/>
  <c r="M27" i="3"/>
  <c r="O27" i="3" s="1"/>
  <c r="I27" i="3"/>
  <c r="K27" i="3" s="1"/>
  <c r="H27" i="3"/>
  <c r="J27" i="3" s="1"/>
  <c r="E27" i="3"/>
  <c r="D27" i="3"/>
  <c r="F27" i="3" s="1"/>
  <c r="C27" i="3"/>
  <c r="B27" i="3"/>
  <c r="A27" i="3"/>
  <c r="AC26" i="3"/>
  <c r="AB26" i="3"/>
  <c r="AA26" i="3"/>
  <c r="Z26" i="3"/>
  <c r="U26" i="3"/>
  <c r="S26" i="3"/>
  <c r="R26" i="3"/>
  <c r="T26" i="3" s="1"/>
  <c r="N26" i="3"/>
  <c r="P26" i="3" s="1"/>
  <c r="Q26" i="3" s="1"/>
  <c r="M26" i="3"/>
  <c r="O26" i="3" s="1"/>
  <c r="J26" i="3"/>
  <c r="I26" i="3"/>
  <c r="K26" i="3" s="1"/>
  <c r="L26" i="3" s="1"/>
  <c r="H26" i="3"/>
  <c r="F26" i="3"/>
  <c r="E26" i="3"/>
  <c r="D26" i="3"/>
  <c r="C26" i="3"/>
  <c r="B26" i="3"/>
  <c r="A26" i="3"/>
  <c r="AC25" i="3"/>
  <c r="AB25" i="3"/>
  <c r="AA25" i="3"/>
  <c r="Z25" i="3"/>
  <c r="S25" i="3"/>
  <c r="U25" i="3" s="1"/>
  <c r="V25" i="3" s="1"/>
  <c r="R25" i="3"/>
  <c r="T25" i="3" s="1"/>
  <c r="O25" i="3"/>
  <c r="N25" i="3"/>
  <c r="P25" i="3" s="1"/>
  <c r="Q25" i="3" s="1"/>
  <c r="M25" i="3"/>
  <c r="K25" i="3"/>
  <c r="L25" i="3" s="1"/>
  <c r="J25" i="3"/>
  <c r="I25" i="3"/>
  <c r="H25" i="3"/>
  <c r="F25" i="3"/>
  <c r="G25" i="3" s="1"/>
  <c r="D25" i="3"/>
  <c r="C25" i="3"/>
  <c r="E25" i="3" s="1"/>
  <c r="W25" i="3" s="1"/>
  <c r="B25" i="3"/>
  <c r="A25" i="3"/>
  <c r="AC24" i="3"/>
  <c r="AB24" i="3"/>
  <c r="AA24" i="3"/>
  <c r="Z24" i="3"/>
  <c r="T24" i="3"/>
  <c r="S24" i="3"/>
  <c r="U24" i="3" s="1"/>
  <c r="V24" i="3" s="1"/>
  <c r="R24" i="3"/>
  <c r="P24" i="3"/>
  <c r="Q24" i="3" s="1"/>
  <c r="O24" i="3"/>
  <c r="N24" i="3"/>
  <c r="M24" i="3"/>
  <c r="K24" i="3"/>
  <c r="I24" i="3"/>
  <c r="H24" i="3"/>
  <c r="J24" i="3" s="1"/>
  <c r="D24" i="3"/>
  <c r="F24" i="3" s="1"/>
  <c r="C24" i="3"/>
  <c r="E24" i="3" s="1"/>
  <c r="W24" i="3" s="1"/>
  <c r="B24" i="3"/>
  <c r="A24" i="3"/>
  <c r="AC23" i="3"/>
  <c r="AB23" i="3"/>
  <c r="AA23" i="3"/>
  <c r="Z23" i="3"/>
  <c r="U23" i="3"/>
  <c r="V23" i="3" s="1"/>
  <c r="T23" i="3"/>
  <c r="S23" i="3"/>
  <c r="R23" i="3"/>
  <c r="P23" i="3"/>
  <c r="Q23" i="3" s="1"/>
  <c r="N23" i="3"/>
  <c r="M23" i="3"/>
  <c r="O23" i="3" s="1"/>
  <c r="I23" i="3"/>
  <c r="K23" i="3" s="1"/>
  <c r="H23" i="3"/>
  <c r="J23" i="3" s="1"/>
  <c r="E23" i="3"/>
  <c r="D23" i="3"/>
  <c r="F23" i="3" s="1"/>
  <c r="C23" i="3"/>
  <c r="B23" i="3"/>
  <c r="A23" i="3"/>
  <c r="AC22" i="3"/>
  <c r="AB22" i="3"/>
  <c r="AA22" i="3"/>
  <c r="Z22" i="3"/>
  <c r="U22" i="3"/>
  <c r="S22" i="3"/>
  <c r="R22" i="3"/>
  <c r="T22" i="3" s="1"/>
  <c r="N22" i="3"/>
  <c r="P22" i="3" s="1"/>
  <c r="Q22" i="3" s="1"/>
  <c r="M22" i="3"/>
  <c r="O22" i="3" s="1"/>
  <c r="J22" i="3"/>
  <c r="I22" i="3"/>
  <c r="K22" i="3" s="1"/>
  <c r="L22" i="3" s="1"/>
  <c r="H22" i="3"/>
  <c r="F22" i="3"/>
  <c r="E22" i="3"/>
  <c r="D22" i="3"/>
  <c r="C22" i="3"/>
  <c r="B22" i="3"/>
  <c r="A22" i="3"/>
  <c r="AC21" i="3"/>
  <c r="AB21" i="3"/>
  <c r="AA21" i="3"/>
  <c r="Z21" i="3"/>
  <c r="S21" i="3"/>
  <c r="U21" i="3" s="1"/>
  <c r="V21" i="3" s="1"/>
  <c r="R21" i="3"/>
  <c r="T21" i="3" s="1"/>
  <c r="O21" i="3"/>
  <c r="N21" i="3"/>
  <c r="P21" i="3" s="1"/>
  <c r="Q21" i="3" s="1"/>
  <c r="M21" i="3"/>
  <c r="K21" i="3"/>
  <c r="L21" i="3" s="1"/>
  <c r="J21" i="3"/>
  <c r="I21" i="3"/>
  <c r="H21" i="3"/>
  <c r="F21" i="3"/>
  <c r="D21" i="3"/>
  <c r="C21" i="3"/>
  <c r="E21" i="3" s="1"/>
  <c r="W21" i="3" s="1"/>
  <c r="B21" i="3"/>
  <c r="A21" i="3"/>
  <c r="AC20" i="3"/>
  <c r="AB20" i="3"/>
  <c r="AA20" i="3"/>
  <c r="Z20" i="3"/>
  <c r="T20" i="3"/>
  <c r="S20" i="3"/>
  <c r="U20" i="3" s="1"/>
  <c r="V20" i="3" s="1"/>
  <c r="R20" i="3"/>
  <c r="P20" i="3"/>
  <c r="Q20" i="3" s="1"/>
  <c r="O20" i="3"/>
  <c r="N20" i="3"/>
  <c r="M20" i="3"/>
  <c r="K20" i="3"/>
  <c r="L20" i="3" s="1"/>
  <c r="I20" i="3"/>
  <c r="H20" i="3"/>
  <c r="J20" i="3" s="1"/>
  <c r="D20" i="3"/>
  <c r="F20" i="3" s="1"/>
  <c r="C20" i="3"/>
  <c r="E20" i="3" s="1"/>
  <c r="W20" i="3" s="1"/>
  <c r="B20" i="3"/>
  <c r="A20" i="3"/>
  <c r="AC19" i="3"/>
  <c r="AB19" i="3"/>
  <c r="AA19" i="3"/>
  <c r="Z19" i="3"/>
  <c r="U19" i="3"/>
  <c r="V19" i="3" s="1"/>
  <c r="T19" i="3"/>
  <c r="S19" i="3"/>
  <c r="R19" i="3"/>
  <c r="P19" i="3"/>
  <c r="Q19" i="3" s="1"/>
  <c r="N19" i="3"/>
  <c r="M19" i="3"/>
  <c r="O19" i="3" s="1"/>
  <c r="I19" i="3"/>
  <c r="K19" i="3" s="1"/>
  <c r="H19" i="3"/>
  <c r="J19" i="3" s="1"/>
  <c r="E19" i="3"/>
  <c r="D19" i="3"/>
  <c r="F19" i="3" s="1"/>
  <c r="C19" i="3"/>
  <c r="B19" i="3"/>
  <c r="A19" i="3"/>
  <c r="AC18" i="3"/>
  <c r="AB18" i="3"/>
  <c r="AA18" i="3"/>
  <c r="Z18" i="3"/>
  <c r="U18" i="3"/>
  <c r="S18" i="3"/>
  <c r="R18" i="3"/>
  <c r="T18" i="3" s="1"/>
  <c r="N18" i="3"/>
  <c r="P18" i="3" s="1"/>
  <c r="Q18" i="3" s="1"/>
  <c r="M18" i="3"/>
  <c r="O18" i="3" s="1"/>
  <c r="J18" i="3"/>
  <c r="I18" i="3"/>
  <c r="K18" i="3" s="1"/>
  <c r="L18" i="3" s="1"/>
  <c r="H18" i="3"/>
  <c r="F18" i="3"/>
  <c r="E18" i="3"/>
  <c r="D18" i="3"/>
  <c r="C18" i="3"/>
  <c r="B18" i="3"/>
  <c r="A18" i="3"/>
  <c r="AC17" i="3"/>
  <c r="AB17" i="3"/>
  <c r="AA17" i="3"/>
  <c r="Z17" i="3"/>
  <c r="S17" i="3"/>
  <c r="U17" i="3" s="1"/>
  <c r="V17" i="3" s="1"/>
  <c r="R17" i="3"/>
  <c r="T17" i="3" s="1"/>
  <c r="O17" i="3"/>
  <c r="N17" i="3"/>
  <c r="P17" i="3" s="1"/>
  <c r="Q17" i="3" s="1"/>
  <c r="M17" i="3"/>
  <c r="K17" i="3"/>
  <c r="L17" i="3" s="1"/>
  <c r="J17" i="3"/>
  <c r="I17" i="3"/>
  <c r="H17" i="3"/>
  <c r="F17" i="3"/>
  <c r="G17" i="3" s="1"/>
  <c r="D17" i="3"/>
  <c r="C17" i="3"/>
  <c r="E17" i="3" s="1"/>
  <c r="B17" i="3"/>
  <c r="A17" i="3"/>
  <c r="AC16" i="3"/>
  <c r="AB16" i="3"/>
  <c r="AA16" i="3"/>
  <c r="Z16" i="3"/>
  <c r="T16" i="3"/>
  <c r="S16" i="3"/>
  <c r="U16" i="3" s="1"/>
  <c r="V16" i="3" s="1"/>
  <c r="R16" i="3"/>
  <c r="P16" i="3"/>
  <c r="Q16" i="3" s="1"/>
  <c r="O16" i="3"/>
  <c r="N16" i="3"/>
  <c r="M16" i="3"/>
  <c r="K16" i="3"/>
  <c r="L16" i="3" s="1"/>
  <c r="I16" i="3"/>
  <c r="H16" i="3"/>
  <c r="J16" i="3" s="1"/>
  <c r="D16" i="3"/>
  <c r="F16" i="3" s="1"/>
  <c r="C16" i="3"/>
  <c r="E16" i="3" s="1"/>
  <c r="W16" i="3" s="1"/>
  <c r="B16" i="3"/>
  <c r="A16" i="3"/>
  <c r="AC15" i="3"/>
  <c r="AB15" i="3"/>
  <c r="AA15" i="3"/>
  <c r="Z15" i="3"/>
  <c r="U15" i="3"/>
  <c r="V15" i="3" s="1"/>
  <c r="T15" i="3"/>
  <c r="S15" i="3"/>
  <c r="R15" i="3"/>
  <c r="P15" i="3"/>
  <c r="Q15" i="3" s="1"/>
  <c r="N15" i="3"/>
  <c r="M15" i="3"/>
  <c r="O15" i="3" s="1"/>
  <c r="I15" i="3"/>
  <c r="K15" i="3" s="1"/>
  <c r="H15" i="3"/>
  <c r="J15" i="3" s="1"/>
  <c r="E15" i="3"/>
  <c r="D15" i="3"/>
  <c r="F15" i="3" s="1"/>
  <c r="C15" i="3"/>
  <c r="B15" i="3"/>
  <c r="A15" i="3"/>
  <c r="AC14" i="3"/>
  <c r="AB14" i="3"/>
  <c r="AA14" i="3"/>
  <c r="Z14" i="3"/>
  <c r="U14" i="3"/>
  <c r="S14" i="3"/>
  <c r="R14" i="3"/>
  <c r="T14" i="3" s="1"/>
  <c r="N14" i="3"/>
  <c r="P14" i="3" s="1"/>
  <c r="Q14" i="3" s="1"/>
  <c r="M14" i="3"/>
  <c r="O14" i="3" s="1"/>
  <c r="J14" i="3"/>
  <c r="I14" i="3"/>
  <c r="K14" i="3" s="1"/>
  <c r="L14" i="3" s="1"/>
  <c r="H14" i="3"/>
  <c r="F14" i="3"/>
  <c r="E14" i="3"/>
  <c r="D14" i="3"/>
  <c r="C14" i="3"/>
  <c r="B14" i="3"/>
  <c r="A14" i="3"/>
  <c r="AC13" i="3"/>
  <c r="AB13" i="3"/>
  <c r="AA13" i="3"/>
  <c r="Z13" i="3"/>
  <c r="S13" i="3"/>
  <c r="U13" i="3" s="1"/>
  <c r="V13" i="3" s="1"/>
  <c r="R13" i="3"/>
  <c r="T13" i="3" s="1"/>
  <c r="O13" i="3"/>
  <c r="N13" i="3"/>
  <c r="P13" i="3" s="1"/>
  <c r="Q13" i="3" s="1"/>
  <c r="M13" i="3"/>
  <c r="K13" i="3"/>
  <c r="L13" i="3" s="1"/>
  <c r="J13" i="3"/>
  <c r="I13" i="3"/>
  <c r="H13" i="3"/>
  <c r="F13" i="3"/>
  <c r="D13" i="3"/>
  <c r="C13" i="3"/>
  <c r="E13" i="3" s="1"/>
  <c r="B13" i="3"/>
  <c r="A13" i="3"/>
  <c r="AC12" i="3"/>
  <c r="AB12" i="3"/>
  <c r="AA12" i="3"/>
  <c r="Z12" i="3"/>
  <c r="T12" i="3"/>
  <c r="S12" i="3"/>
  <c r="U12" i="3" s="1"/>
  <c r="V12" i="3" s="1"/>
  <c r="R12" i="3"/>
  <c r="P12" i="3"/>
  <c r="Q12" i="3" s="1"/>
  <c r="O12" i="3"/>
  <c r="N12" i="3"/>
  <c r="M12" i="3"/>
  <c r="K12" i="3"/>
  <c r="L12" i="3" s="1"/>
  <c r="I12" i="3"/>
  <c r="H12" i="3"/>
  <c r="J12" i="3" s="1"/>
  <c r="D12" i="3"/>
  <c r="F12" i="3" s="1"/>
  <c r="C12" i="3"/>
  <c r="E12" i="3" s="1"/>
  <c r="W12" i="3" s="1"/>
  <c r="B12" i="3"/>
  <c r="A12" i="3"/>
  <c r="AC11" i="3"/>
  <c r="AB11" i="3"/>
  <c r="AA11" i="3"/>
  <c r="Z11" i="3"/>
  <c r="U11" i="3"/>
  <c r="V11" i="3" s="1"/>
  <c r="T11" i="3"/>
  <c r="S11" i="3"/>
  <c r="R11" i="3"/>
  <c r="P11" i="3"/>
  <c r="Q11" i="3" s="1"/>
  <c r="N11" i="3"/>
  <c r="M11" i="3"/>
  <c r="O11" i="3" s="1"/>
  <c r="I11" i="3"/>
  <c r="K11" i="3" s="1"/>
  <c r="H11" i="3"/>
  <c r="J11" i="3" s="1"/>
  <c r="E11" i="3"/>
  <c r="D11" i="3"/>
  <c r="F11" i="3" s="1"/>
  <c r="C11" i="3"/>
  <c r="B11" i="3"/>
  <c r="A11" i="3"/>
  <c r="AC10" i="3"/>
  <c r="AB10" i="3"/>
  <c r="AA10" i="3"/>
  <c r="Z10" i="3"/>
  <c r="U10" i="3"/>
  <c r="S10" i="3"/>
  <c r="R10" i="3"/>
  <c r="T10" i="3" s="1"/>
  <c r="N10" i="3"/>
  <c r="P10" i="3" s="1"/>
  <c r="Q10" i="3" s="1"/>
  <c r="M10" i="3"/>
  <c r="O10" i="3" s="1"/>
  <c r="J10" i="3"/>
  <c r="I10" i="3"/>
  <c r="K10" i="3" s="1"/>
  <c r="L10" i="3" s="1"/>
  <c r="H10" i="3"/>
  <c r="F10" i="3"/>
  <c r="E10" i="3"/>
  <c r="D10" i="3"/>
  <c r="C10" i="3"/>
  <c r="B10" i="3"/>
  <c r="A10" i="3"/>
  <c r="AC9" i="3"/>
  <c r="AB9" i="3"/>
  <c r="AA9" i="3"/>
  <c r="Z9" i="3"/>
  <c r="S9" i="3"/>
  <c r="U9" i="3" s="1"/>
  <c r="V9" i="3" s="1"/>
  <c r="R9" i="3"/>
  <c r="T9" i="3" s="1"/>
  <c r="O9" i="3"/>
  <c r="N9" i="3"/>
  <c r="P9" i="3" s="1"/>
  <c r="Q9" i="3" s="1"/>
  <c r="M9" i="3"/>
  <c r="K9" i="3"/>
  <c r="L9" i="3" s="1"/>
  <c r="J9" i="3"/>
  <c r="I9" i="3"/>
  <c r="H9" i="3"/>
  <c r="F9" i="3"/>
  <c r="D9" i="3"/>
  <c r="C9" i="3"/>
  <c r="E9" i="3" s="1"/>
  <c r="B9" i="3"/>
  <c r="A9" i="3"/>
  <c r="AC8" i="3"/>
  <c r="AB8" i="3"/>
  <c r="AA8" i="3"/>
  <c r="Z8" i="3"/>
  <c r="T8" i="3"/>
  <c r="S8" i="3"/>
  <c r="U8" i="3" s="1"/>
  <c r="V8" i="3" s="1"/>
  <c r="R8" i="3"/>
  <c r="P8" i="3"/>
  <c r="Q8" i="3" s="1"/>
  <c r="O8" i="3"/>
  <c r="N8" i="3"/>
  <c r="M8" i="3"/>
  <c r="K8" i="3"/>
  <c r="L8" i="3" s="1"/>
  <c r="I8" i="3"/>
  <c r="H8" i="3"/>
  <c r="J8" i="3" s="1"/>
  <c r="D8" i="3"/>
  <c r="F8" i="3" s="1"/>
  <c r="C8" i="3"/>
  <c r="E8" i="3" s="1"/>
  <c r="W8" i="3" s="1"/>
  <c r="B8" i="3"/>
  <c r="A8" i="3"/>
  <c r="AC7" i="3"/>
  <c r="AB7" i="3"/>
  <c r="AA7" i="3"/>
  <c r="Z7" i="3"/>
  <c r="U7" i="3"/>
  <c r="V7" i="3" s="1"/>
  <c r="T7" i="3"/>
  <c r="S7" i="3"/>
  <c r="R7" i="3"/>
  <c r="P7" i="3"/>
  <c r="Q7" i="3" s="1"/>
  <c r="N7" i="3"/>
  <c r="M7" i="3"/>
  <c r="O7" i="3" s="1"/>
  <c r="I7" i="3"/>
  <c r="K7" i="3" s="1"/>
  <c r="H7" i="3"/>
  <c r="J7" i="3" s="1"/>
  <c r="E7" i="3"/>
  <c r="D7" i="3"/>
  <c r="F7" i="3" s="1"/>
  <c r="C7" i="3"/>
  <c r="B7" i="3"/>
  <c r="A7" i="3"/>
  <c r="AC6" i="3"/>
  <c r="AB6" i="3"/>
  <c r="AA6" i="3"/>
  <c r="Z6" i="3"/>
  <c r="U6" i="3"/>
  <c r="S6" i="3"/>
  <c r="R6" i="3"/>
  <c r="T6" i="3" s="1"/>
  <c r="N6" i="3"/>
  <c r="P6" i="3" s="1"/>
  <c r="Q6" i="3" s="1"/>
  <c r="M6" i="3"/>
  <c r="O6" i="3" s="1"/>
  <c r="J6" i="3"/>
  <c r="I6" i="3"/>
  <c r="K6" i="3" s="1"/>
  <c r="L6" i="3" s="1"/>
  <c r="H6" i="3"/>
  <c r="F6" i="3"/>
  <c r="E6" i="3"/>
  <c r="D6" i="3"/>
  <c r="C6" i="3"/>
  <c r="B6" i="3"/>
  <c r="A6" i="3"/>
  <c r="AC5" i="3"/>
  <c r="AB5" i="3"/>
  <c r="AA5" i="3"/>
  <c r="Z5" i="3"/>
  <c r="S5" i="3"/>
  <c r="U5" i="3" s="1"/>
  <c r="V5" i="3" s="1"/>
  <c r="R5" i="3"/>
  <c r="T5" i="3" s="1"/>
  <c r="O5" i="3"/>
  <c r="N5" i="3"/>
  <c r="P5" i="3" s="1"/>
  <c r="Q5" i="3" s="1"/>
  <c r="M5" i="3"/>
  <c r="K5" i="3"/>
  <c r="L5" i="3" s="1"/>
  <c r="J5" i="3"/>
  <c r="I5" i="3"/>
  <c r="H5" i="3"/>
  <c r="F5" i="3"/>
  <c r="D5" i="3"/>
  <c r="C5" i="3"/>
  <c r="E5" i="3" s="1"/>
  <c r="B5" i="3"/>
  <c r="A5" i="3"/>
  <c r="AC4" i="3"/>
  <c r="AB4" i="3"/>
  <c r="AA4" i="3"/>
  <c r="Z4" i="3"/>
  <c r="T4" i="3"/>
  <c r="S4" i="3"/>
  <c r="U4" i="3" s="1"/>
  <c r="V4" i="3" s="1"/>
  <c r="R4" i="3"/>
  <c r="P4" i="3"/>
  <c r="Q4" i="3" s="1"/>
  <c r="O4" i="3"/>
  <c r="N4" i="3"/>
  <c r="M4" i="3"/>
  <c r="K4" i="3"/>
  <c r="L4" i="3" s="1"/>
  <c r="I4" i="3"/>
  <c r="H4" i="3"/>
  <c r="J4" i="3" s="1"/>
  <c r="D4" i="3"/>
  <c r="F4" i="3" s="1"/>
  <c r="C4" i="3"/>
  <c r="E4" i="3" s="1"/>
  <c r="W4" i="3" s="1"/>
  <c r="B4" i="3"/>
  <c r="A4" i="3"/>
  <c r="AC3" i="3"/>
  <c r="AB3" i="3"/>
  <c r="AA3" i="3"/>
  <c r="Z3" i="3"/>
  <c r="U3" i="3"/>
  <c r="V3" i="3" s="1"/>
  <c r="T3" i="3"/>
  <c r="S3" i="3"/>
  <c r="R3" i="3"/>
  <c r="P3" i="3"/>
  <c r="Q3" i="3" s="1"/>
  <c r="N3" i="3"/>
  <c r="M3" i="3"/>
  <c r="O3" i="3" s="1"/>
  <c r="I3" i="3"/>
  <c r="K3" i="3" s="1"/>
  <c r="H3" i="3"/>
  <c r="J3" i="3" s="1"/>
  <c r="E3" i="3"/>
  <c r="D3" i="3"/>
  <c r="F3" i="3" s="1"/>
  <c r="C3" i="3"/>
  <c r="B3" i="3"/>
  <c r="A3" i="3"/>
  <c r="AC2" i="3"/>
  <c r="AB2" i="3"/>
  <c r="AA2" i="3"/>
  <c r="Z2" i="3"/>
  <c r="U2" i="3"/>
  <c r="S2" i="3"/>
  <c r="R2" i="3"/>
  <c r="T2" i="3" s="1"/>
  <c r="N2" i="3"/>
  <c r="P2" i="3" s="1"/>
  <c r="Q2" i="3" s="1"/>
  <c r="M2" i="3"/>
  <c r="O2" i="3" s="1"/>
  <c r="J2" i="3"/>
  <c r="I2" i="3"/>
  <c r="K2" i="3" s="1"/>
  <c r="L2" i="3" s="1"/>
  <c r="H2" i="3"/>
  <c r="F2" i="3"/>
  <c r="E2" i="3"/>
  <c r="D2" i="3"/>
  <c r="C2" i="3"/>
  <c r="B2" i="3"/>
  <c r="A2" i="3"/>
  <c r="X8" i="3" l="1"/>
  <c r="Y8" i="3" s="1"/>
  <c r="G8" i="3"/>
  <c r="G24" i="3"/>
  <c r="X24" i="3"/>
  <c r="Y24" i="3" s="1"/>
  <c r="G88" i="3"/>
  <c r="X88" i="3"/>
  <c r="Y88" i="3" s="1"/>
  <c r="W2" i="3"/>
  <c r="W5" i="3"/>
  <c r="W6" i="3"/>
  <c r="W9" i="3"/>
  <c r="W10" i="3"/>
  <c r="W14" i="3"/>
  <c r="W17" i="3"/>
  <c r="W18" i="3"/>
  <c r="X2" i="3"/>
  <c r="Y2" i="3" s="1"/>
  <c r="V2" i="3"/>
  <c r="G3" i="3"/>
  <c r="X3" i="3"/>
  <c r="X6" i="3"/>
  <c r="Y6" i="3" s="1"/>
  <c r="V6" i="3"/>
  <c r="G7" i="3"/>
  <c r="X7" i="3"/>
  <c r="X10" i="3"/>
  <c r="Y10" i="3" s="1"/>
  <c r="V10" i="3"/>
  <c r="X11" i="3"/>
  <c r="G11" i="3"/>
  <c r="X14" i="3"/>
  <c r="V14" i="3"/>
  <c r="G15" i="3"/>
  <c r="X15" i="3"/>
  <c r="X18" i="3"/>
  <c r="Y18" i="3" s="1"/>
  <c r="V18" i="3"/>
  <c r="G19" i="3"/>
  <c r="X19" i="3"/>
  <c r="X22" i="3"/>
  <c r="V22" i="3"/>
  <c r="X23" i="3"/>
  <c r="G23" i="3"/>
  <c r="X26" i="3"/>
  <c r="V26" i="3"/>
  <c r="X27" i="3"/>
  <c r="G27" i="3"/>
  <c r="X30" i="3"/>
  <c r="V30" i="3"/>
  <c r="X31" i="3"/>
  <c r="G31" i="3"/>
  <c r="X34" i="3"/>
  <c r="X35" i="3"/>
  <c r="Y35" i="3" s="1"/>
  <c r="G35" i="3"/>
  <c r="X38" i="3"/>
  <c r="X39" i="3"/>
  <c r="G39" i="3"/>
  <c r="X42" i="3"/>
  <c r="X43" i="3"/>
  <c r="G43" i="3"/>
  <c r="X46" i="3"/>
  <c r="X47" i="3"/>
  <c r="G47" i="3"/>
  <c r="X50" i="3"/>
  <c r="X51" i="3"/>
  <c r="Y51" i="3" s="1"/>
  <c r="G51" i="3"/>
  <c r="X54" i="3"/>
  <c r="X55" i="3"/>
  <c r="G55" i="3"/>
  <c r="X58" i="3"/>
  <c r="X59" i="3"/>
  <c r="G59" i="3"/>
  <c r="X62" i="3"/>
  <c r="X63" i="3"/>
  <c r="G63" i="3"/>
  <c r="X66" i="3"/>
  <c r="X67" i="3"/>
  <c r="Y67" i="3" s="1"/>
  <c r="G67" i="3"/>
  <c r="X70" i="3"/>
  <c r="X71" i="3"/>
  <c r="G71" i="3"/>
  <c r="X74" i="3"/>
  <c r="X75" i="3"/>
  <c r="G75" i="3"/>
  <c r="X78" i="3"/>
  <c r="X79" i="3"/>
  <c r="G79" i="3"/>
  <c r="X82" i="3"/>
  <c r="X83" i="3"/>
  <c r="Y83" i="3" s="1"/>
  <c r="G83" i="3"/>
  <c r="X86" i="3"/>
  <c r="X87" i="3"/>
  <c r="G87" i="3"/>
  <c r="X90" i="3"/>
  <c r="X91" i="3"/>
  <c r="G91" i="3"/>
  <c r="X94" i="3"/>
  <c r="X4" i="3"/>
  <c r="Y4" i="3" s="1"/>
  <c r="G4" i="3"/>
  <c r="X12" i="3"/>
  <c r="Y12" i="3" s="1"/>
  <c r="G12" i="3"/>
  <c r="G28" i="3"/>
  <c r="X28" i="3"/>
  <c r="Y28" i="3" s="1"/>
  <c r="G32" i="3"/>
  <c r="X32" i="3"/>
  <c r="Y32" i="3" s="1"/>
  <c r="G40" i="3"/>
  <c r="X40" i="3"/>
  <c r="Y40" i="3" s="1"/>
  <c r="G64" i="3"/>
  <c r="X64" i="3"/>
  <c r="Y64" i="3" s="1"/>
  <c r="G92" i="3"/>
  <c r="X92" i="3"/>
  <c r="Y92" i="3" s="1"/>
  <c r="W3" i="3"/>
  <c r="X5" i="3"/>
  <c r="W7" i="3"/>
  <c r="X9" i="3"/>
  <c r="Y9" i="3" s="1"/>
  <c r="W11" i="3"/>
  <c r="X13" i="3"/>
  <c r="W15" i="3"/>
  <c r="W19" i="3"/>
  <c r="X21" i="3"/>
  <c r="Y21" i="3" s="1"/>
  <c r="W23" i="3"/>
  <c r="L24" i="3"/>
  <c r="W27" i="3"/>
  <c r="L28" i="3"/>
  <c r="X29" i="3"/>
  <c r="Y29" i="3" s="1"/>
  <c r="W31" i="3"/>
  <c r="X33" i="3"/>
  <c r="Y33" i="3" s="1"/>
  <c r="W35" i="3"/>
  <c r="X37" i="3"/>
  <c r="W39" i="3"/>
  <c r="X41" i="3"/>
  <c r="Y41" i="3" s="1"/>
  <c r="W43" i="3"/>
  <c r="X45" i="3"/>
  <c r="W47" i="3"/>
  <c r="X49" i="3"/>
  <c r="Y49" i="3" s="1"/>
  <c r="W51" i="3"/>
  <c r="X53" i="3"/>
  <c r="W55" i="3"/>
  <c r="X57" i="3"/>
  <c r="Y57" i="3" s="1"/>
  <c r="W59" i="3"/>
  <c r="X61" i="3"/>
  <c r="W63" i="3"/>
  <c r="X65" i="3"/>
  <c r="Y65" i="3" s="1"/>
  <c r="W67" i="3"/>
  <c r="X69" i="3"/>
  <c r="W71" i="3"/>
  <c r="X73" i="3"/>
  <c r="Y73" i="3" s="1"/>
  <c r="W75" i="3"/>
  <c r="X77" i="3"/>
  <c r="W79" i="3"/>
  <c r="X81" i="3"/>
  <c r="Y81" i="3" s="1"/>
  <c r="W83" i="3"/>
  <c r="X85" i="3"/>
  <c r="W87" i="3"/>
  <c r="X89" i="3"/>
  <c r="Y89" i="3" s="1"/>
  <c r="W91" i="3"/>
  <c r="X93" i="3"/>
  <c r="G16" i="3"/>
  <c r="X16" i="3"/>
  <c r="Y16" i="3" s="1"/>
  <c r="G20" i="3"/>
  <c r="X20" i="3"/>
  <c r="Y20" i="3" s="1"/>
  <c r="G36" i="3"/>
  <c r="X36" i="3"/>
  <c r="Y36" i="3" s="1"/>
  <c r="G44" i="3"/>
  <c r="X44" i="3"/>
  <c r="Y44" i="3" s="1"/>
  <c r="G48" i="3"/>
  <c r="X48" i="3"/>
  <c r="Y48" i="3" s="1"/>
  <c r="G52" i="3"/>
  <c r="X52" i="3"/>
  <c r="Y52" i="3" s="1"/>
  <c r="G56" i="3"/>
  <c r="X56" i="3"/>
  <c r="Y56" i="3" s="1"/>
  <c r="G60" i="3"/>
  <c r="X60" i="3"/>
  <c r="Y60" i="3" s="1"/>
  <c r="G68" i="3"/>
  <c r="X68" i="3"/>
  <c r="Y68" i="3" s="1"/>
  <c r="G72" i="3"/>
  <c r="X72" i="3"/>
  <c r="Y72" i="3" s="1"/>
  <c r="G76" i="3"/>
  <c r="X76" i="3"/>
  <c r="Y76" i="3" s="1"/>
  <c r="G80" i="3"/>
  <c r="X80" i="3"/>
  <c r="Y80" i="3" s="1"/>
  <c r="G84" i="3"/>
  <c r="X84" i="3"/>
  <c r="Y84" i="3" s="1"/>
  <c r="L3" i="3"/>
  <c r="L7" i="3"/>
  <c r="L11" i="3"/>
  <c r="W13" i="3"/>
  <c r="L15" i="3"/>
  <c r="L19" i="3"/>
  <c r="W22" i="3"/>
  <c r="L23" i="3"/>
  <c r="W26" i="3"/>
  <c r="L27" i="3"/>
  <c r="W30" i="3"/>
  <c r="L31" i="3"/>
  <c r="W33" i="3"/>
  <c r="G33" i="3"/>
  <c r="W34" i="3"/>
  <c r="L35" i="3"/>
  <c r="W37" i="3"/>
  <c r="G37" i="3"/>
  <c r="W38" i="3"/>
  <c r="L39" i="3"/>
  <c r="W41" i="3"/>
  <c r="G41" i="3"/>
  <c r="W42" i="3"/>
  <c r="L43" i="3"/>
  <c r="W45" i="3"/>
  <c r="G45" i="3"/>
  <c r="W46" i="3"/>
  <c r="L47" i="3"/>
  <c r="W49" i="3"/>
  <c r="G49" i="3"/>
  <c r="W50" i="3"/>
  <c r="L51" i="3"/>
  <c r="W53" i="3"/>
  <c r="G53" i="3"/>
  <c r="W54" i="3"/>
  <c r="L55" i="3"/>
  <c r="W57" i="3"/>
  <c r="G57" i="3"/>
  <c r="W58" i="3"/>
  <c r="L59" i="3"/>
  <c r="W61" i="3"/>
  <c r="G61" i="3"/>
  <c r="W62" i="3"/>
  <c r="L63" i="3"/>
  <c r="W65" i="3"/>
  <c r="G65" i="3"/>
  <c r="W66" i="3"/>
  <c r="L67" i="3"/>
  <c r="W69" i="3"/>
  <c r="G69" i="3"/>
  <c r="W70" i="3"/>
  <c r="L71" i="3"/>
  <c r="W73" i="3"/>
  <c r="G73" i="3"/>
  <c r="W74" i="3"/>
  <c r="L75" i="3"/>
  <c r="W77" i="3"/>
  <c r="G77" i="3"/>
  <c r="W78" i="3"/>
  <c r="L79" i="3"/>
  <c r="W81" i="3"/>
  <c r="G81" i="3"/>
  <c r="W82" i="3"/>
  <c r="L83" i="3"/>
  <c r="W85" i="3"/>
  <c r="G85" i="3"/>
  <c r="W86" i="3"/>
  <c r="L87" i="3"/>
  <c r="W89" i="3"/>
  <c r="G89" i="3"/>
  <c r="W90" i="3"/>
  <c r="L91" i="3"/>
  <c r="W93" i="3"/>
  <c r="G93" i="3"/>
  <c r="W94" i="3"/>
  <c r="Y103" i="3"/>
  <c r="Y111" i="3"/>
  <c r="Y119" i="3"/>
  <c r="Y127" i="3"/>
  <c r="Y135" i="3"/>
  <c r="Y143" i="3"/>
  <c r="Y151" i="3"/>
  <c r="Y159" i="3"/>
  <c r="Y167" i="3"/>
  <c r="Y175" i="3"/>
  <c r="Y183" i="3"/>
  <c r="D10" i="4"/>
  <c r="C9" i="4"/>
  <c r="E6" i="6" s="1"/>
  <c r="E8" i="8" s="1"/>
  <c r="C5" i="4"/>
  <c r="B7" i="6" s="1"/>
  <c r="B9" i="8" s="1"/>
  <c r="D2" i="4"/>
  <c r="C10" i="4"/>
  <c r="E7" i="6" s="1"/>
  <c r="E9" i="8" s="1"/>
  <c r="D7" i="4"/>
  <c r="D3" i="4"/>
  <c r="C2" i="4"/>
  <c r="B4" i="6" s="1"/>
  <c r="B6" i="8" s="1"/>
  <c r="D8" i="4"/>
  <c r="C7" i="4"/>
  <c r="E4" i="6" s="1"/>
  <c r="E6" i="8" s="1"/>
  <c r="D4" i="4"/>
  <c r="C3" i="4"/>
  <c r="B5" i="6" s="1"/>
  <c r="B7" i="8" s="1"/>
  <c r="D9" i="4"/>
  <c r="C8" i="4"/>
  <c r="E5" i="6" s="1"/>
  <c r="E7" i="8" s="1"/>
  <c r="D5" i="4"/>
  <c r="C4" i="4"/>
  <c r="B6" i="6" s="1"/>
  <c r="B8" i="8" s="1"/>
  <c r="G5" i="3"/>
  <c r="G9" i="3"/>
  <c r="Y99" i="3"/>
  <c r="Y107" i="3"/>
  <c r="Y115" i="3"/>
  <c r="Y123" i="3"/>
  <c r="Y131" i="3"/>
  <c r="Y139" i="3"/>
  <c r="Y147" i="3"/>
  <c r="Y155" i="3"/>
  <c r="Y163" i="3"/>
  <c r="Y171" i="3"/>
  <c r="Y179" i="3"/>
  <c r="Y187" i="3"/>
  <c r="Y195" i="3"/>
  <c r="Y203" i="3"/>
  <c r="Y211" i="3"/>
  <c r="X216" i="3"/>
  <c r="G216" i="3"/>
  <c r="X226" i="3"/>
  <c r="X232" i="3"/>
  <c r="G232" i="3"/>
  <c r="X242" i="3"/>
  <c r="X248" i="3"/>
  <c r="Y248" i="3" s="1"/>
  <c r="G248" i="3"/>
  <c r="X256" i="3"/>
  <c r="Y256" i="3" s="1"/>
  <c r="G256" i="3"/>
  <c r="G260" i="3"/>
  <c r="W260" i="3"/>
  <c r="Q267" i="3"/>
  <c r="X267" i="3"/>
  <c r="Y267" i="3" s="1"/>
  <c r="X269" i="3"/>
  <c r="Y269" i="3" s="1"/>
  <c r="G269" i="3"/>
  <c r="G13" i="3"/>
  <c r="G21" i="3"/>
  <c r="G29" i="3"/>
  <c r="G2" i="3"/>
  <c r="G6" i="3"/>
  <c r="G10" i="3"/>
  <c r="G14" i="3"/>
  <c r="X17" i="3"/>
  <c r="Y17" i="3" s="1"/>
  <c r="G18" i="3"/>
  <c r="G22" i="3"/>
  <c r="X25" i="3"/>
  <c r="Y25" i="3" s="1"/>
  <c r="G26" i="3"/>
  <c r="G30" i="3"/>
  <c r="G34" i="3"/>
  <c r="G38" i="3"/>
  <c r="G42" i="3"/>
  <c r="G46" i="3"/>
  <c r="G50" i="3"/>
  <c r="G54" i="3"/>
  <c r="G58" i="3"/>
  <c r="G62" i="3"/>
  <c r="G66" i="3"/>
  <c r="G70" i="3"/>
  <c r="G74" i="3"/>
  <c r="G78" i="3"/>
  <c r="G82" i="3"/>
  <c r="G86" i="3"/>
  <c r="G90" i="3"/>
  <c r="G94" i="3"/>
  <c r="Q95" i="3"/>
  <c r="X97" i="3"/>
  <c r="Y97" i="3" s="1"/>
  <c r="G97" i="3"/>
  <c r="W98" i="3"/>
  <c r="C6" i="4" s="1"/>
  <c r="B8" i="6" s="1"/>
  <c r="B10" i="8" s="1"/>
  <c r="X98" i="3"/>
  <c r="Y98" i="3" s="1"/>
  <c r="X100" i="3"/>
  <c r="Y100" i="3" s="1"/>
  <c r="G103" i="3"/>
  <c r="Q103" i="3"/>
  <c r="X105" i="3"/>
  <c r="Y105" i="3" s="1"/>
  <c r="G105" i="3"/>
  <c r="W106" i="3"/>
  <c r="X106" i="3"/>
  <c r="X108" i="3"/>
  <c r="Y108" i="3" s="1"/>
  <c r="G111" i="3"/>
  <c r="Q111" i="3"/>
  <c r="X113" i="3"/>
  <c r="Y113" i="3" s="1"/>
  <c r="G113" i="3"/>
  <c r="W114" i="3"/>
  <c r="X114" i="3"/>
  <c r="X116" i="3"/>
  <c r="Y116" i="3" s="1"/>
  <c r="G119" i="3"/>
  <c r="Q119" i="3"/>
  <c r="X121" i="3"/>
  <c r="Y121" i="3" s="1"/>
  <c r="G121" i="3"/>
  <c r="W122" i="3"/>
  <c r="X122" i="3"/>
  <c r="Y122" i="3" s="1"/>
  <c r="X124" i="3"/>
  <c r="Y124" i="3" s="1"/>
  <c r="G127" i="3"/>
  <c r="Q127" i="3"/>
  <c r="X129" i="3"/>
  <c r="Y129" i="3" s="1"/>
  <c r="G129" i="3"/>
  <c r="W130" i="3"/>
  <c r="X130" i="3"/>
  <c r="Y130" i="3" s="1"/>
  <c r="X132" i="3"/>
  <c r="Y132" i="3" s="1"/>
  <c r="G135" i="3"/>
  <c r="Q135" i="3"/>
  <c r="X137" i="3"/>
  <c r="Y137" i="3" s="1"/>
  <c r="G137" i="3"/>
  <c r="W138" i="3"/>
  <c r="X138" i="3"/>
  <c r="X140" i="3"/>
  <c r="Y140" i="3" s="1"/>
  <c r="G143" i="3"/>
  <c r="Q143" i="3"/>
  <c r="X145" i="3"/>
  <c r="Y145" i="3" s="1"/>
  <c r="G145" i="3"/>
  <c r="W146" i="3"/>
  <c r="X146" i="3"/>
  <c r="X148" i="3"/>
  <c r="Y148" i="3" s="1"/>
  <c r="G151" i="3"/>
  <c r="Q151" i="3"/>
  <c r="X153" i="3"/>
  <c r="Y153" i="3" s="1"/>
  <c r="G153" i="3"/>
  <c r="W154" i="3"/>
  <c r="X154" i="3"/>
  <c r="Y154" i="3" s="1"/>
  <c r="X156" i="3"/>
  <c r="Y156" i="3" s="1"/>
  <c r="G159" i="3"/>
  <c r="Q159" i="3"/>
  <c r="X161" i="3"/>
  <c r="Y161" i="3" s="1"/>
  <c r="G161" i="3"/>
  <c r="W162" i="3"/>
  <c r="X162" i="3"/>
  <c r="Y162" i="3" s="1"/>
  <c r="X164" i="3"/>
  <c r="Y164" i="3" s="1"/>
  <c r="G167" i="3"/>
  <c r="Q167" i="3"/>
  <c r="X169" i="3"/>
  <c r="Y169" i="3" s="1"/>
  <c r="G169" i="3"/>
  <c r="W170" i="3"/>
  <c r="X170" i="3"/>
  <c r="X172" i="3"/>
  <c r="Y172" i="3" s="1"/>
  <c r="G175" i="3"/>
  <c r="Q175" i="3"/>
  <c r="X177" i="3"/>
  <c r="Y177" i="3" s="1"/>
  <c r="G177" i="3"/>
  <c r="W178" i="3"/>
  <c r="X178" i="3"/>
  <c r="X180" i="3"/>
  <c r="Y180" i="3" s="1"/>
  <c r="G183" i="3"/>
  <c r="Q183" i="3"/>
  <c r="X185" i="3"/>
  <c r="Y185" i="3" s="1"/>
  <c r="G185" i="3"/>
  <c r="W186" i="3"/>
  <c r="X186" i="3"/>
  <c r="Y186" i="3" s="1"/>
  <c r="X188" i="3"/>
  <c r="Y188" i="3" s="1"/>
  <c r="G191" i="3"/>
  <c r="Q191" i="3"/>
  <c r="X193" i="3"/>
  <c r="Y193" i="3" s="1"/>
  <c r="G193" i="3"/>
  <c r="W194" i="3"/>
  <c r="X194" i="3"/>
  <c r="Y194" i="3" s="1"/>
  <c r="X196" i="3"/>
  <c r="Y196" i="3" s="1"/>
  <c r="G199" i="3"/>
  <c r="Q199" i="3"/>
  <c r="X201" i="3"/>
  <c r="Y201" i="3" s="1"/>
  <c r="G201" i="3"/>
  <c r="W202" i="3"/>
  <c r="X202" i="3"/>
  <c r="X204" i="3"/>
  <c r="Y204" i="3" s="1"/>
  <c r="G207" i="3"/>
  <c r="Q207" i="3"/>
  <c r="X209" i="3"/>
  <c r="Y209" i="3" s="1"/>
  <c r="G209" i="3"/>
  <c r="W210" i="3"/>
  <c r="X210" i="3"/>
  <c r="X212" i="3"/>
  <c r="G212" i="3"/>
  <c r="L212" i="3"/>
  <c r="X213" i="3"/>
  <c r="Y213" i="3" s="1"/>
  <c r="V217" i="3"/>
  <c r="Q218" i="3"/>
  <c r="V218" i="3"/>
  <c r="W220" i="3"/>
  <c r="X222" i="3"/>
  <c r="X223" i="3"/>
  <c r="Y223" i="3" s="1"/>
  <c r="L223" i="3"/>
  <c r="Q223" i="3"/>
  <c r="W223" i="3"/>
  <c r="W225" i="3"/>
  <c r="W226" i="3"/>
  <c r="G227" i="3"/>
  <c r="X228" i="3"/>
  <c r="G228" i="3"/>
  <c r="L228" i="3"/>
  <c r="X229" i="3"/>
  <c r="Y229" i="3" s="1"/>
  <c r="V233" i="3"/>
  <c r="Q234" i="3"/>
  <c r="V234" i="3"/>
  <c r="W236" i="3"/>
  <c r="X238" i="3"/>
  <c r="X239" i="3"/>
  <c r="Y239" i="3" s="1"/>
  <c r="L239" i="3"/>
  <c r="Q239" i="3"/>
  <c r="W239" i="3"/>
  <c r="W241" i="3"/>
  <c r="W242" i="3"/>
  <c r="G243" i="3"/>
  <c r="X244" i="3"/>
  <c r="G244" i="3"/>
  <c r="L244" i="3"/>
  <c r="X245" i="3"/>
  <c r="Y245" i="3" s="1"/>
  <c r="V249" i="3"/>
  <c r="Q250" i="3"/>
  <c r="V250" i="3"/>
  <c r="W252" i="3"/>
  <c r="X254" i="3"/>
  <c r="Y254" i="3" s="1"/>
  <c r="X255" i="3"/>
  <c r="Y255" i="3" s="1"/>
  <c r="Q259" i="3"/>
  <c r="X259" i="3"/>
  <c r="Y259" i="3" s="1"/>
  <c r="X261" i="3"/>
  <c r="G261" i="3"/>
  <c r="Q269" i="3"/>
  <c r="W270" i="3"/>
  <c r="X280" i="3"/>
  <c r="Y280" i="3" s="1"/>
  <c r="G280" i="3"/>
  <c r="G284" i="3"/>
  <c r="W284" i="3"/>
  <c r="Y286" i="3"/>
  <c r="Y293" i="3"/>
  <c r="L298" i="3"/>
  <c r="X306" i="3"/>
  <c r="Y306" i="3" s="1"/>
  <c r="X307" i="3"/>
  <c r="Y307" i="3" s="1"/>
  <c r="G307" i="3"/>
  <c r="Q96" i="3"/>
  <c r="G100" i="3"/>
  <c r="L100" i="3"/>
  <c r="W101" i="3"/>
  <c r="G102" i="3"/>
  <c r="V102" i="3"/>
  <c r="Q104" i="3"/>
  <c r="G108" i="3"/>
  <c r="L108" i="3"/>
  <c r="W109" i="3"/>
  <c r="G110" i="3"/>
  <c r="V110" i="3"/>
  <c r="Q112" i="3"/>
  <c r="G116" i="3"/>
  <c r="L116" i="3"/>
  <c r="W117" i="3"/>
  <c r="G118" i="3"/>
  <c r="V118" i="3"/>
  <c r="Q120" i="3"/>
  <c r="G124" i="3"/>
  <c r="L124" i="3"/>
  <c r="W125" i="3"/>
  <c r="G126" i="3"/>
  <c r="V126" i="3"/>
  <c r="Q128" i="3"/>
  <c r="G132" i="3"/>
  <c r="L132" i="3"/>
  <c r="W133" i="3"/>
  <c r="G134" i="3"/>
  <c r="V134" i="3"/>
  <c r="Q136" i="3"/>
  <c r="G140" i="3"/>
  <c r="L140" i="3"/>
  <c r="W141" i="3"/>
  <c r="G142" i="3"/>
  <c r="V142" i="3"/>
  <c r="Q144" i="3"/>
  <c r="G148" i="3"/>
  <c r="L148" i="3"/>
  <c r="W149" i="3"/>
  <c r="G150" i="3"/>
  <c r="V150" i="3"/>
  <c r="Q152" i="3"/>
  <c r="G156" i="3"/>
  <c r="L156" i="3"/>
  <c r="W157" i="3"/>
  <c r="G158" i="3"/>
  <c r="V158" i="3"/>
  <c r="Q160" i="3"/>
  <c r="G164" i="3"/>
  <c r="L164" i="3"/>
  <c r="W165" i="3"/>
  <c r="G166" i="3"/>
  <c r="V166" i="3"/>
  <c r="Q168" i="3"/>
  <c r="G172" i="3"/>
  <c r="L172" i="3"/>
  <c r="W173" i="3"/>
  <c r="G174" i="3"/>
  <c r="V174" i="3"/>
  <c r="Q176" i="3"/>
  <c r="G180" i="3"/>
  <c r="L180" i="3"/>
  <c r="W181" i="3"/>
  <c r="G182" i="3"/>
  <c r="V182" i="3"/>
  <c r="Q184" i="3"/>
  <c r="G188" i="3"/>
  <c r="L188" i="3"/>
  <c r="W189" i="3"/>
  <c r="G190" i="3"/>
  <c r="V190" i="3"/>
  <c r="Q192" i="3"/>
  <c r="G196" i="3"/>
  <c r="L196" i="3"/>
  <c r="W197" i="3"/>
  <c r="G198" i="3"/>
  <c r="V198" i="3"/>
  <c r="Q200" i="3"/>
  <c r="G204" i="3"/>
  <c r="L204" i="3"/>
  <c r="W205" i="3"/>
  <c r="G206" i="3"/>
  <c r="V206" i="3"/>
  <c r="Q208" i="3"/>
  <c r="V213" i="3"/>
  <c r="Q214" i="3"/>
  <c r="W216" i="3"/>
  <c r="X218" i="3"/>
  <c r="Y218" i="3" s="1"/>
  <c r="X219" i="3"/>
  <c r="Y219" i="3" s="1"/>
  <c r="L219" i="3"/>
  <c r="Q219" i="3"/>
  <c r="W221" i="3"/>
  <c r="W222" i="3"/>
  <c r="X224" i="3"/>
  <c r="Y224" i="3" s="1"/>
  <c r="G224" i="3"/>
  <c r="X225" i="3"/>
  <c r="Y225" i="3" s="1"/>
  <c r="V229" i="3"/>
  <c r="Q230" i="3"/>
  <c r="W232" i="3"/>
  <c r="X234" i="3"/>
  <c r="Y234" i="3" s="1"/>
  <c r="X235" i="3"/>
  <c r="Y235" i="3" s="1"/>
  <c r="L235" i="3"/>
  <c r="Q235" i="3"/>
  <c r="W237" i="3"/>
  <c r="W238" i="3"/>
  <c r="X240" i="3"/>
  <c r="Y240" i="3" s="1"/>
  <c r="G240" i="3"/>
  <c r="X241" i="3"/>
  <c r="Y241" i="3" s="1"/>
  <c r="V245" i="3"/>
  <c r="Q246" i="3"/>
  <c r="W248" i="3"/>
  <c r="X250" i="3"/>
  <c r="Y250" i="3" s="1"/>
  <c r="X251" i="3"/>
  <c r="Y251" i="3" s="1"/>
  <c r="L251" i="3"/>
  <c r="Q251" i="3"/>
  <c r="W253" i="3"/>
  <c r="Q270" i="3"/>
  <c r="X272" i="3"/>
  <c r="Y272" i="3" s="1"/>
  <c r="G272" i="3"/>
  <c r="G276" i="3"/>
  <c r="W276" i="3"/>
  <c r="Y278" i="3"/>
  <c r="X279" i="3"/>
  <c r="Y279" i="3" s="1"/>
  <c r="Q283" i="3"/>
  <c r="X283" i="3"/>
  <c r="Y283" i="3" s="1"/>
  <c r="X285" i="3"/>
  <c r="G285" i="3"/>
  <c r="X290" i="3"/>
  <c r="Y290" i="3" s="1"/>
  <c r="X291" i="3"/>
  <c r="Y291" i="3" s="1"/>
  <c r="G291" i="3"/>
  <c r="W294" i="3"/>
  <c r="C11" i="4" s="1"/>
  <c r="E8" i="6" s="1"/>
  <c r="E10" i="8" s="1"/>
  <c r="Y297" i="3"/>
  <c r="V94" i="3"/>
  <c r="V95" i="3"/>
  <c r="X96" i="3"/>
  <c r="Y96" i="3" s="1"/>
  <c r="L97" i="3"/>
  <c r="L99" i="3"/>
  <c r="X101" i="3"/>
  <c r="G101" i="3"/>
  <c r="W102" i="3"/>
  <c r="Y102" i="3" s="1"/>
  <c r="V103" i="3"/>
  <c r="X104" i="3"/>
  <c r="Y104" i="3" s="1"/>
  <c r="L105" i="3"/>
  <c r="L107" i="3"/>
  <c r="X109" i="3"/>
  <c r="Y109" i="3" s="1"/>
  <c r="G109" i="3"/>
  <c r="W110" i="3"/>
  <c r="Y110" i="3" s="1"/>
  <c r="V111" i="3"/>
  <c r="X112" i="3"/>
  <c r="Y112" i="3" s="1"/>
  <c r="L113" i="3"/>
  <c r="L115" i="3"/>
  <c r="X117" i="3"/>
  <c r="Y117" i="3" s="1"/>
  <c r="G117" i="3"/>
  <c r="W118" i="3"/>
  <c r="Y118" i="3" s="1"/>
  <c r="V119" i="3"/>
  <c r="X120" i="3"/>
  <c r="Y120" i="3" s="1"/>
  <c r="L121" i="3"/>
  <c r="L123" i="3"/>
  <c r="X125" i="3"/>
  <c r="Y125" i="3" s="1"/>
  <c r="G125" i="3"/>
  <c r="W126" i="3"/>
  <c r="Y126" i="3" s="1"/>
  <c r="V127" i="3"/>
  <c r="X128" i="3"/>
  <c r="Y128" i="3" s="1"/>
  <c r="L129" i="3"/>
  <c r="L131" i="3"/>
  <c r="X133" i="3"/>
  <c r="G133" i="3"/>
  <c r="W134" i="3"/>
  <c r="Y134" i="3" s="1"/>
  <c r="V135" i="3"/>
  <c r="X136" i="3"/>
  <c r="Y136" i="3" s="1"/>
  <c r="L137" i="3"/>
  <c r="L139" i="3"/>
  <c r="X141" i="3"/>
  <c r="Y141" i="3" s="1"/>
  <c r="G141" i="3"/>
  <c r="W142" i="3"/>
  <c r="Y142" i="3" s="1"/>
  <c r="V143" i="3"/>
  <c r="X144" i="3"/>
  <c r="Y144" i="3" s="1"/>
  <c r="L145" i="3"/>
  <c r="L147" i="3"/>
  <c r="X149" i="3"/>
  <c r="Y149" i="3" s="1"/>
  <c r="G149" i="3"/>
  <c r="W150" i="3"/>
  <c r="Y150" i="3" s="1"/>
  <c r="V151" i="3"/>
  <c r="X152" i="3"/>
  <c r="Y152" i="3" s="1"/>
  <c r="L153" i="3"/>
  <c r="L155" i="3"/>
  <c r="X157" i="3"/>
  <c r="Y157" i="3" s="1"/>
  <c r="G157" i="3"/>
  <c r="W158" i="3"/>
  <c r="Y158" i="3" s="1"/>
  <c r="V159" i="3"/>
  <c r="X160" i="3"/>
  <c r="Y160" i="3" s="1"/>
  <c r="L161" i="3"/>
  <c r="L163" i="3"/>
  <c r="X165" i="3"/>
  <c r="G165" i="3"/>
  <c r="W166" i="3"/>
  <c r="Y166" i="3" s="1"/>
  <c r="V167" i="3"/>
  <c r="X168" i="3"/>
  <c r="Y168" i="3" s="1"/>
  <c r="L169" i="3"/>
  <c r="L171" i="3"/>
  <c r="X173" i="3"/>
  <c r="Y173" i="3" s="1"/>
  <c r="G173" i="3"/>
  <c r="W174" i="3"/>
  <c r="Y174" i="3" s="1"/>
  <c r="V175" i="3"/>
  <c r="X176" i="3"/>
  <c r="Y176" i="3" s="1"/>
  <c r="L177" i="3"/>
  <c r="L179" i="3"/>
  <c r="X181" i="3"/>
  <c r="Y181" i="3" s="1"/>
  <c r="G181" i="3"/>
  <c r="W182" i="3"/>
  <c r="Y182" i="3" s="1"/>
  <c r="V183" i="3"/>
  <c r="X184" i="3"/>
  <c r="Y184" i="3" s="1"/>
  <c r="L185" i="3"/>
  <c r="L187" i="3"/>
  <c r="X189" i="3"/>
  <c r="Y189" i="3" s="1"/>
  <c r="G189" i="3"/>
  <c r="W190" i="3"/>
  <c r="Y190" i="3" s="1"/>
  <c r="V191" i="3"/>
  <c r="X192" i="3"/>
  <c r="Y192" i="3" s="1"/>
  <c r="L193" i="3"/>
  <c r="L195" i="3"/>
  <c r="X197" i="3"/>
  <c r="G197" i="3"/>
  <c r="W198" i="3"/>
  <c r="Y198" i="3" s="1"/>
  <c r="V199" i="3"/>
  <c r="X200" i="3"/>
  <c r="Y200" i="3" s="1"/>
  <c r="L201" i="3"/>
  <c r="L203" i="3"/>
  <c r="X205" i="3"/>
  <c r="Y205" i="3" s="1"/>
  <c r="G205" i="3"/>
  <c r="W206" i="3"/>
  <c r="Y206" i="3" s="1"/>
  <c r="V207" i="3"/>
  <c r="X208" i="3"/>
  <c r="Y208" i="3" s="1"/>
  <c r="L209" i="3"/>
  <c r="L211" i="3"/>
  <c r="W212" i="3"/>
  <c r="X214" i="3"/>
  <c r="Y214" i="3" s="1"/>
  <c r="W217" i="3"/>
  <c r="Y217" i="3" s="1"/>
  <c r="W218" i="3"/>
  <c r="X220" i="3"/>
  <c r="Y220" i="3" s="1"/>
  <c r="G220" i="3"/>
  <c r="X221" i="3"/>
  <c r="W228" i="3"/>
  <c r="X230" i="3"/>
  <c r="Y230" i="3" s="1"/>
  <c r="W233" i="3"/>
  <c r="Y233" i="3" s="1"/>
  <c r="W234" i="3"/>
  <c r="X236" i="3"/>
  <c r="Y236" i="3" s="1"/>
  <c r="G236" i="3"/>
  <c r="X237" i="3"/>
  <c r="W244" i="3"/>
  <c r="X246" i="3"/>
  <c r="Y246" i="3" s="1"/>
  <c r="W249" i="3"/>
  <c r="Y249" i="3" s="1"/>
  <c r="W250" i="3"/>
  <c r="X252" i="3"/>
  <c r="G252" i="3"/>
  <c r="X253" i="3"/>
  <c r="Y253" i="3" s="1"/>
  <c r="X264" i="3"/>
  <c r="Y264" i="3" s="1"/>
  <c r="G264" i="3"/>
  <c r="G268" i="3"/>
  <c r="W268" i="3"/>
  <c r="Y270" i="3"/>
  <c r="X271" i="3"/>
  <c r="Y271" i="3" s="1"/>
  <c r="Q275" i="3"/>
  <c r="X275" i="3"/>
  <c r="Y275" i="3" s="1"/>
  <c r="X277" i="3"/>
  <c r="G277" i="3"/>
  <c r="X296" i="3"/>
  <c r="Y296" i="3" s="1"/>
  <c r="G296" i="3"/>
  <c r="G312" i="3"/>
  <c r="X312" i="3"/>
  <c r="G316" i="3"/>
  <c r="X316" i="3"/>
  <c r="G320" i="3"/>
  <c r="X320" i="3"/>
  <c r="G324" i="3"/>
  <c r="X324" i="3"/>
  <c r="G328" i="3"/>
  <c r="X328" i="3"/>
  <c r="G330" i="3"/>
  <c r="X330" i="3"/>
  <c r="Y330" i="3" s="1"/>
  <c r="G332" i="3"/>
  <c r="X332" i="3"/>
  <c r="G334" i="3"/>
  <c r="X334" i="3"/>
  <c r="G336" i="3"/>
  <c r="X336" i="3"/>
  <c r="G338" i="3"/>
  <c r="X338" i="3"/>
  <c r="Y338" i="3" s="1"/>
  <c r="G340" i="3"/>
  <c r="X340" i="3"/>
  <c r="G342" i="3"/>
  <c r="X342" i="3"/>
  <c r="G344" i="3"/>
  <c r="X344" i="3"/>
  <c r="G348" i="3"/>
  <c r="X348" i="3"/>
  <c r="Y348" i="3" s="1"/>
  <c r="G350" i="3"/>
  <c r="X350" i="3"/>
  <c r="G351" i="3"/>
  <c r="W351" i="3"/>
  <c r="W353" i="3"/>
  <c r="G353" i="3"/>
  <c r="L256" i="3"/>
  <c r="V258" i="3"/>
  <c r="L264" i="3"/>
  <c r="V266" i="3"/>
  <c r="L272" i="3"/>
  <c r="V274" i="3"/>
  <c r="L280" i="3"/>
  <c r="V282" i="3"/>
  <c r="Y287" i="3"/>
  <c r="Q287" i="3"/>
  <c r="X292" i="3"/>
  <c r="Y292" i="3" s="1"/>
  <c r="G292" i="3"/>
  <c r="L292" i="3"/>
  <c r="V298" i="3"/>
  <c r="X302" i="3"/>
  <c r="Y303" i="3"/>
  <c r="Q303" i="3"/>
  <c r="X308" i="3"/>
  <c r="Y308" i="3" s="1"/>
  <c r="G308" i="3"/>
  <c r="L308" i="3"/>
  <c r="Y309" i="3"/>
  <c r="X310" i="3"/>
  <c r="G310" i="3"/>
  <c r="V312" i="3"/>
  <c r="G322" i="3"/>
  <c r="X322" i="3"/>
  <c r="Y322" i="3" s="1"/>
  <c r="G331" i="3"/>
  <c r="W331" i="3"/>
  <c r="G333" i="3"/>
  <c r="W333" i="3"/>
  <c r="G335" i="3"/>
  <c r="W335" i="3"/>
  <c r="G337" i="3"/>
  <c r="W337" i="3"/>
  <c r="G339" i="3"/>
  <c r="W339" i="3"/>
  <c r="G341" i="3"/>
  <c r="W341" i="3"/>
  <c r="G343" i="3"/>
  <c r="W343" i="3"/>
  <c r="W345" i="3"/>
  <c r="G345" i="3"/>
  <c r="L346" i="3"/>
  <c r="Q351" i="3"/>
  <c r="G354" i="3"/>
  <c r="X354" i="3"/>
  <c r="Y354" i="3" s="1"/>
  <c r="G213" i="3"/>
  <c r="G217" i="3"/>
  <c r="G221" i="3"/>
  <c r="G225" i="3"/>
  <c r="G229" i="3"/>
  <c r="G233" i="3"/>
  <c r="G237" i="3"/>
  <c r="G241" i="3"/>
  <c r="G245" i="3"/>
  <c r="G249" i="3"/>
  <c r="G253" i="3"/>
  <c r="G255" i="3"/>
  <c r="Q255" i="3"/>
  <c r="X257" i="3"/>
  <c r="Y257" i="3" s="1"/>
  <c r="G257" i="3"/>
  <c r="W258" i="3"/>
  <c r="X258" i="3"/>
  <c r="V259" i="3"/>
  <c r="X260" i="3"/>
  <c r="Y260" i="3" s="1"/>
  <c r="G263" i="3"/>
  <c r="Q263" i="3"/>
  <c r="X265" i="3"/>
  <c r="Y265" i="3" s="1"/>
  <c r="G265" i="3"/>
  <c r="W266" i="3"/>
  <c r="X266" i="3"/>
  <c r="V267" i="3"/>
  <c r="X268" i="3"/>
  <c r="G271" i="3"/>
  <c r="Q271" i="3"/>
  <c r="X273" i="3"/>
  <c r="Y273" i="3" s="1"/>
  <c r="G273" i="3"/>
  <c r="W274" i="3"/>
  <c r="X274" i="3"/>
  <c r="V275" i="3"/>
  <c r="X276" i="3"/>
  <c r="Y276" i="3" s="1"/>
  <c r="L277" i="3"/>
  <c r="G279" i="3"/>
  <c r="Q279" i="3"/>
  <c r="X281" i="3"/>
  <c r="Y281" i="3" s="1"/>
  <c r="G281" i="3"/>
  <c r="W282" i="3"/>
  <c r="X282" i="3"/>
  <c r="V283" i="3"/>
  <c r="X284" i="3"/>
  <c r="Y284" i="3" s="1"/>
  <c r="L285" i="3"/>
  <c r="G287" i="3"/>
  <c r="X288" i="3"/>
  <c r="Y288" i="3" s="1"/>
  <c r="G288" i="3"/>
  <c r="L288" i="3"/>
  <c r="X289" i="3"/>
  <c r="Y289" i="3" s="1"/>
  <c r="V293" i="3"/>
  <c r="Q294" i="3"/>
  <c r="V294" i="3"/>
  <c r="W296" i="3"/>
  <c r="X298" i="3"/>
  <c r="X299" i="3"/>
  <c r="Y299" i="3" s="1"/>
  <c r="L299" i="3"/>
  <c r="Q299" i="3"/>
  <c r="W299" i="3"/>
  <c r="W301" i="3"/>
  <c r="W302" i="3"/>
  <c r="G303" i="3"/>
  <c r="X304" i="3"/>
  <c r="Y304" i="3" s="1"/>
  <c r="G304" i="3"/>
  <c r="L304" i="3"/>
  <c r="X305" i="3"/>
  <c r="Y305" i="3" s="1"/>
  <c r="Q309" i="3"/>
  <c r="W310" i="3"/>
  <c r="Q319" i="3"/>
  <c r="G327" i="3"/>
  <c r="W327" i="3"/>
  <c r="Q329" i="3"/>
  <c r="Q331" i="3"/>
  <c r="Q333" i="3"/>
  <c r="Q335" i="3"/>
  <c r="Q337" i="3"/>
  <c r="Q339" i="3"/>
  <c r="Q341" i="3"/>
  <c r="Q343" i="3"/>
  <c r="G346" i="3"/>
  <c r="X346" i="3"/>
  <c r="Y346" i="3" s="1"/>
  <c r="Q349" i="3"/>
  <c r="G356" i="3"/>
  <c r="X356" i="3"/>
  <c r="Y356" i="3" s="1"/>
  <c r="V254" i="3"/>
  <c r="Q256" i="3"/>
  <c r="W261" i="3"/>
  <c r="G262" i="3"/>
  <c r="V262" i="3"/>
  <c r="Q264" i="3"/>
  <c r="W269" i="3"/>
  <c r="G270" i="3"/>
  <c r="V270" i="3"/>
  <c r="Q272" i="3"/>
  <c r="W277" i="3"/>
  <c r="G278" i="3"/>
  <c r="Q280" i="3"/>
  <c r="W285" i="3"/>
  <c r="G286" i="3"/>
  <c r="V289" i="3"/>
  <c r="Q290" i="3"/>
  <c r="W292" i="3"/>
  <c r="X294" i="3"/>
  <c r="Y294" i="3" s="1"/>
  <c r="X295" i="3"/>
  <c r="Y295" i="3" s="1"/>
  <c r="L295" i="3"/>
  <c r="Q295" i="3"/>
  <c r="W297" i="3"/>
  <c r="W298" i="3"/>
  <c r="X300" i="3"/>
  <c r="Y300" i="3" s="1"/>
  <c r="G300" i="3"/>
  <c r="X301" i="3"/>
  <c r="V305" i="3"/>
  <c r="Q306" i="3"/>
  <c r="W308" i="3"/>
  <c r="Q310" i="3"/>
  <c r="W321" i="3"/>
  <c r="G321" i="3"/>
  <c r="G352" i="3"/>
  <c r="X352" i="3"/>
  <c r="X311" i="3"/>
  <c r="Y311" i="3" s="1"/>
  <c r="X314" i="3"/>
  <c r="Y314" i="3" s="1"/>
  <c r="X315" i="3"/>
  <c r="Y315" i="3" s="1"/>
  <c r="X317" i="3"/>
  <c r="Y317" i="3" s="1"/>
  <c r="X318" i="3"/>
  <c r="Y318" i="3" s="1"/>
  <c r="X319" i="3"/>
  <c r="Y319" i="3" s="1"/>
  <c r="X325" i="3"/>
  <c r="Y325" i="3" s="1"/>
  <c r="W328" i="3"/>
  <c r="X329" i="3"/>
  <c r="Y329" i="3" s="1"/>
  <c r="G347" i="3"/>
  <c r="W348" i="3"/>
  <c r="X349" i="3"/>
  <c r="Y349" i="3" s="1"/>
  <c r="W350" i="3"/>
  <c r="G355" i="3"/>
  <c r="G357" i="3"/>
  <c r="G358" i="3"/>
  <c r="X366" i="3"/>
  <c r="G366" i="3"/>
  <c r="V368" i="3"/>
  <c r="X369" i="3"/>
  <c r="G369" i="3"/>
  <c r="Q373" i="3"/>
  <c r="G375" i="3"/>
  <c r="X375" i="3"/>
  <c r="Y375" i="3" s="1"/>
  <c r="V375" i="3"/>
  <c r="L377" i="3"/>
  <c r="W381" i="3"/>
  <c r="Q381" i="3"/>
  <c r="G383" i="3"/>
  <c r="X383" i="3"/>
  <c r="Y383" i="3" s="1"/>
  <c r="L385" i="3"/>
  <c r="Y388" i="3"/>
  <c r="Q389" i="3"/>
  <c r="V392" i="3"/>
  <c r="X393" i="3"/>
  <c r="Y393" i="3" s="1"/>
  <c r="G393" i="3"/>
  <c r="Y402" i="3"/>
  <c r="G289" i="3"/>
  <c r="G293" i="3"/>
  <c r="G297" i="3"/>
  <c r="G301" i="3"/>
  <c r="G305" i="3"/>
  <c r="G309" i="3"/>
  <c r="G317" i="3"/>
  <c r="W318" i="3"/>
  <c r="W322" i="3"/>
  <c r="G325" i="3"/>
  <c r="X326" i="3"/>
  <c r="X327" i="3"/>
  <c r="X331" i="3"/>
  <c r="Y331" i="3" s="1"/>
  <c r="X333" i="3"/>
  <c r="X335" i="3"/>
  <c r="Y335" i="3" s="1"/>
  <c r="X337" i="3"/>
  <c r="X339" i="3"/>
  <c r="Y339" i="3" s="1"/>
  <c r="X341" i="3"/>
  <c r="X343" i="3"/>
  <c r="Y343" i="3" s="1"/>
  <c r="X345" i="3"/>
  <c r="W346" i="3"/>
  <c r="X351" i="3"/>
  <c r="X353" i="3"/>
  <c r="Y353" i="3" s="1"/>
  <c r="X360" i="3"/>
  <c r="Y360" i="3" s="1"/>
  <c r="G360" i="3"/>
  <c r="X362" i="3"/>
  <c r="Y362" i="3" s="1"/>
  <c r="G362" i="3"/>
  <c r="W363" i="3"/>
  <c r="L363" i="3"/>
  <c r="Q365" i="3"/>
  <c r="W366" i="3"/>
  <c r="G367" i="3"/>
  <c r="X367" i="3"/>
  <c r="Y367" i="3" s="1"/>
  <c r="W368" i="3"/>
  <c r="W369" i="3"/>
  <c r="V369" i="3"/>
  <c r="X370" i="3"/>
  <c r="Y370" i="3" s="1"/>
  <c r="G370" i="3"/>
  <c r="G371" i="3"/>
  <c r="X371" i="3"/>
  <c r="Y371" i="3" s="1"/>
  <c r="X376" i="3"/>
  <c r="Y376" i="3" s="1"/>
  <c r="V376" i="3"/>
  <c r="X377" i="3"/>
  <c r="G377" i="3"/>
  <c r="V377" i="3"/>
  <c r="X378" i="3"/>
  <c r="Y378" i="3" s="1"/>
  <c r="G378" i="3"/>
  <c r="W379" i="3"/>
  <c r="L379" i="3"/>
  <c r="W380" i="3"/>
  <c r="Y380" i="3" s="1"/>
  <c r="L382" i="3"/>
  <c r="V383" i="3"/>
  <c r="V384" i="3"/>
  <c r="X385" i="3"/>
  <c r="Y385" i="3" s="1"/>
  <c r="G385" i="3"/>
  <c r="W386" i="3"/>
  <c r="X387" i="3"/>
  <c r="Q388" i="3"/>
  <c r="L390" i="3"/>
  <c r="W393" i="3"/>
  <c r="V393" i="3"/>
  <c r="X394" i="3"/>
  <c r="Y394" i="3" s="1"/>
  <c r="G394" i="3"/>
  <c r="W395" i="3"/>
  <c r="G311" i="3"/>
  <c r="G315" i="3"/>
  <c r="W316" i="3"/>
  <c r="G319" i="3"/>
  <c r="W320" i="3"/>
  <c r="X321" i="3"/>
  <c r="W324" i="3"/>
  <c r="G329" i="3"/>
  <c r="W330" i="3"/>
  <c r="W332" i="3"/>
  <c r="W334" i="3"/>
  <c r="W336" i="3"/>
  <c r="W338" i="3"/>
  <c r="W340" i="3"/>
  <c r="W342" i="3"/>
  <c r="W344" i="3"/>
  <c r="X347" i="3"/>
  <c r="Y347" i="3" s="1"/>
  <c r="G349" i="3"/>
  <c r="W352" i="3"/>
  <c r="X355" i="3"/>
  <c r="Y355" i="3" s="1"/>
  <c r="X357" i="3"/>
  <c r="Y357" i="3" s="1"/>
  <c r="Q358" i="3"/>
  <c r="X358" i="3"/>
  <c r="Y358" i="3" s="1"/>
  <c r="X359" i="3"/>
  <c r="Y359" i="3" s="1"/>
  <c r="L359" i="3"/>
  <c r="X361" i="3"/>
  <c r="Y361" i="3" s="1"/>
  <c r="G361" i="3"/>
  <c r="G363" i="3"/>
  <c r="X363" i="3"/>
  <c r="V363" i="3"/>
  <c r="Q366" i="3"/>
  <c r="Q369" i="3"/>
  <c r="Q370" i="3"/>
  <c r="X372" i="3"/>
  <c r="Y372" i="3" s="1"/>
  <c r="V372" i="3"/>
  <c r="X373" i="3"/>
  <c r="Y373" i="3" s="1"/>
  <c r="G373" i="3"/>
  <c r="W374" i="3"/>
  <c r="W377" i="3"/>
  <c r="Q377" i="3"/>
  <c r="G379" i="3"/>
  <c r="X379" i="3"/>
  <c r="Y379" i="3" s="1"/>
  <c r="W382" i="3"/>
  <c r="X384" i="3"/>
  <c r="Y384" i="3" s="1"/>
  <c r="W385" i="3"/>
  <c r="X386" i="3"/>
  <c r="Y386" i="3" s="1"/>
  <c r="G386" i="3"/>
  <c r="W390" i="3"/>
  <c r="W391" i="3"/>
  <c r="L391" i="3"/>
  <c r="W392" i="3"/>
  <c r="Y392" i="3" s="1"/>
  <c r="Q393" i="3"/>
  <c r="X395" i="3"/>
  <c r="G395" i="3"/>
  <c r="W312" i="3"/>
  <c r="X313" i="3"/>
  <c r="Y313" i="3" s="1"/>
  <c r="W314" i="3"/>
  <c r="X323" i="3"/>
  <c r="Y323" i="3" s="1"/>
  <c r="W326" i="3"/>
  <c r="X365" i="3"/>
  <c r="Y365" i="3" s="1"/>
  <c r="G365" i="3"/>
  <c r="Y368" i="3"/>
  <c r="X374" i="3"/>
  <c r="Y374" i="3" s="1"/>
  <c r="G374" i="3"/>
  <c r="X381" i="3"/>
  <c r="Y381" i="3" s="1"/>
  <c r="G381" i="3"/>
  <c r="X382" i="3"/>
  <c r="G382" i="3"/>
  <c r="W387" i="3"/>
  <c r="G387" i="3"/>
  <c r="X389" i="3"/>
  <c r="Y389" i="3" s="1"/>
  <c r="G389" i="3"/>
  <c r="X390" i="3"/>
  <c r="Y390" i="3" s="1"/>
  <c r="G390" i="3"/>
  <c r="G391" i="3"/>
  <c r="X391" i="3"/>
  <c r="Y391" i="3" s="1"/>
  <c r="G364" i="3"/>
  <c r="G368" i="3"/>
  <c r="G372" i="3"/>
  <c r="G376" i="3"/>
  <c r="G380" i="3"/>
  <c r="G384" i="3"/>
  <c r="G388" i="3"/>
  <c r="G392" i="3"/>
  <c r="X396" i="3"/>
  <c r="Y396" i="3" s="1"/>
  <c r="G396" i="3"/>
  <c r="W397" i="3"/>
  <c r="X397" i="3"/>
  <c r="V398" i="3"/>
  <c r="X399" i="3"/>
  <c r="Y399" i="3" s="1"/>
  <c r="L400" i="3"/>
  <c r="G402" i="3"/>
  <c r="Q402" i="3"/>
  <c r="X404" i="3"/>
  <c r="Y404" i="3" s="1"/>
  <c r="G404" i="3"/>
  <c r="W405" i="3"/>
  <c r="X405" i="3"/>
  <c r="Y405" i="3" s="1"/>
  <c r="V406" i="3"/>
  <c r="X407" i="3"/>
  <c r="Y407" i="3" s="1"/>
  <c r="L408" i="3"/>
  <c r="G410" i="3"/>
  <c r="Q410" i="3"/>
  <c r="X412" i="3"/>
  <c r="Y412" i="3" s="1"/>
  <c r="G412" i="3"/>
  <c r="W413" i="3"/>
  <c r="G414" i="3"/>
  <c r="X414" i="3"/>
  <c r="Y414" i="3" s="1"/>
  <c r="Q415" i="3"/>
  <c r="W415" i="3"/>
  <c r="L416" i="3"/>
  <c r="W417" i="3"/>
  <c r="X419" i="3"/>
  <c r="Y419" i="3" s="1"/>
  <c r="W420" i="3"/>
  <c r="V422" i="3"/>
  <c r="G423" i="3"/>
  <c r="X424" i="3"/>
  <c r="G424" i="3"/>
  <c r="L425" i="3"/>
  <c r="W426" i="3"/>
  <c r="X415" i="3"/>
  <c r="X420" i="3"/>
  <c r="Y420" i="3" s="1"/>
  <c r="G420" i="3"/>
  <c r="X425" i="3"/>
  <c r="G425" i="3"/>
  <c r="G426" i="3"/>
  <c r="X426" i="3"/>
  <c r="Y426" i="3" s="1"/>
  <c r="Y427" i="3"/>
  <c r="L396" i="3"/>
  <c r="Q398" i="3"/>
  <c r="X400" i="3"/>
  <c r="Y400" i="3" s="1"/>
  <c r="G400" i="3"/>
  <c r="W401" i="3"/>
  <c r="X401" i="3"/>
  <c r="Y401" i="3" s="1"/>
  <c r="V402" i="3"/>
  <c r="X403" i="3"/>
  <c r="Y403" i="3" s="1"/>
  <c r="L404" i="3"/>
  <c r="Q406" i="3"/>
  <c r="X408" i="3"/>
  <c r="Y408" i="3" s="1"/>
  <c r="G408" i="3"/>
  <c r="W409" i="3"/>
  <c r="X409" i="3"/>
  <c r="Y409" i="3" s="1"/>
  <c r="V410" i="3"/>
  <c r="X411" i="3"/>
  <c r="Y411" i="3" s="1"/>
  <c r="L412" i="3"/>
  <c r="V414" i="3"/>
  <c r="X416" i="3"/>
  <c r="Y416" i="3" s="1"/>
  <c r="G416" i="3"/>
  <c r="L417" i="3"/>
  <c r="V419" i="3"/>
  <c r="Q420" i="3"/>
  <c r="X421" i="3"/>
  <c r="G421" i="3"/>
  <c r="G422" i="3"/>
  <c r="X422" i="3"/>
  <c r="Y422" i="3" s="1"/>
  <c r="W425" i="3"/>
  <c r="V427" i="3"/>
  <c r="L395" i="3"/>
  <c r="Y398" i="3"/>
  <c r="Y406" i="3"/>
  <c r="X413" i="3"/>
  <c r="G413" i="3"/>
  <c r="X417" i="3"/>
  <c r="Y417" i="3" s="1"/>
  <c r="G417" i="3"/>
  <c r="X418" i="3"/>
  <c r="Y418" i="3" s="1"/>
  <c r="W421" i="3"/>
  <c r="X423" i="3"/>
  <c r="Y423" i="3" s="1"/>
  <c r="W424" i="3"/>
  <c r="W427" i="3"/>
  <c r="G427" i="3"/>
  <c r="X429" i="3"/>
  <c r="G429" i="3"/>
  <c r="Y432" i="3"/>
  <c r="X437" i="3"/>
  <c r="G437" i="3"/>
  <c r="Y440" i="3"/>
  <c r="X445" i="3"/>
  <c r="Y445" i="3" s="1"/>
  <c r="G445" i="3"/>
  <c r="W446" i="3"/>
  <c r="X448" i="3"/>
  <c r="Y448" i="3" s="1"/>
  <c r="W449" i="3"/>
  <c r="X453" i="3"/>
  <c r="G453" i="3"/>
  <c r="X458" i="3"/>
  <c r="G458" i="3"/>
  <c r="Y461" i="3"/>
  <c r="G462" i="3"/>
  <c r="X462" i="3"/>
  <c r="Y462" i="3" s="1"/>
  <c r="G432" i="3"/>
  <c r="L432" i="3"/>
  <c r="V434" i="3"/>
  <c r="G440" i="3"/>
  <c r="L440" i="3"/>
  <c r="V442" i="3"/>
  <c r="X449" i="3"/>
  <c r="Y449" i="3" s="1"/>
  <c r="G449" i="3"/>
  <c r="V452" i="3"/>
  <c r="Q453" i="3"/>
  <c r="X454" i="3"/>
  <c r="Y454" i="3" s="1"/>
  <c r="G454" i="3"/>
  <c r="G455" i="3"/>
  <c r="X455" i="3"/>
  <c r="Y455" i="3" s="1"/>
  <c r="W456" i="3"/>
  <c r="W458" i="3"/>
  <c r="W459" i="3"/>
  <c r="X460" i="3"/>
  <c r="Q461" i="3"/>
  <c r="Y475" i="3"/>
  <c r="X428" i="3"/>
  <c r="W428" i="3"/>
  <c r="L429" i="3"/>
  <c r="Q431" i="3"/>
  <c r="X433" i="3"/>
  <c r="Y433" i="3" s="1"/>
  <c r="G433" i="3"/>
  <c r="W434" i="3"/>
  <c r="X434" i="3"/>
  <c r="V435" i="3"/>
  <c r="X436" i="3"/>
  <c r="W436" i="3"/>
  <c r="L437" i="3"/>
  <c r="Q439" i="3"/>
  <c r="X441" i="3"/>
  <c r="Y441" i="3" s="1"/>
  <c r="G441" i="3"/>
  <c r="W442" i="3"/>
  <c r="X442" i="3"/>
  <c r="V443" i="3"/>
  <c r="X444" i="3"/>
  <c r="Y444" i="3" s="1"/>
  <c r="W444" i="3"/>
  <c r="L445" i="3"/>
  <c r="L446" i="3"/>
  <c r="W447" i="3"/>
  <c r="V448" i="3"/>
  <c r="Q449" i="3"/>
  <c r="X450" i="3"/>
  <c r="Y450" i="3" s="1"/>
  <c r="G450" i="3"/>
  <c r="G451" i="3"/>
  <c r="X451" i="3"/>
  <c r="Y451" i="3" s="1"/>
  <c r="Q452" i="3"/>
  <c r="L453" i="3"/>
  <c r="W454" i="3"/>
  <c r="X456" i="3"/>
  <c r="W457" i="3"/>
  <c r="G459" i="3"/>
  <c r="X459" i="3"/>
  <c r="Y459" i="3" s="1"/>
  <c r="V460" i="3"/>
  <c r="Y467" i="3"/>
  <c r="W429" i="3"/>
  <c r="G430" i="3"/>
  <c r="X431" i="3"/>
  <c r="Y431" i="3" s="1"/>
  <c r="Q432" i="3"/>
  <c r="W437" i="3"/>
  <c r="G438" i="3"/>
  <c r="X439" i="3"/>
  <c r="Y439" i="3" s="1"/>
  <c r="Q440" i="3"/>
  <c r="X446" i="3"/>
  <c r="Y446" i="3" s="1"/>
  <c r="G446" i="3"/>
  <c r="X447" i="3"/>
  <c r="Q448" i="3"/>
  <c r="L449" i="3"/>
  <c r="W450" i="3"/>
  <c r="X452" i="3"/>
  <c r="Y452" i="3" s="1"/>
  <c r="W453" i="3"/>
  <c r="V455" i="3"/>
  <c r="X457" i="3"/>
  <c r="G457" i="3"/>
  <c r="W460" i="3"/>
  <c r="G460" i="3"/>
  <c r="W461" i="3"/>
  <c r="W462" i="3"/>
  <c r="Y463" i="3"/>
  <c r="Y471" i="3"/>
  <c r="V478" i="3"/>
  <c r="X482" i="3"/>
  <c r="Y483" i="3"/>
  <c r="L483" i="3"/>
  <c r="Q483" i="3"/>
  <c r="W485" i="3"/>
  <c r="X487" i="3"/>
  <c r="Y487" i="3" s="1"/>
  <c r="W488" i="3"/>
  <c r="X490" i="3"/>
  <c r="Y490" i="3" s="1"/>
  <c r="G490" i="3"/>
  <c r="X494" i="3"/>
  <c r="Y494" i="3" s="1"/>
  <c r="G494" i="3"/>
  <c r="Q497" i="3"/>
  <c r="G461" i="3"/>
  <c r="X464" i="3"/>
  <c r="Y464" i="3" s="1"/>
  <c r="G467" i="3"/>
  <c r="Q467" i="3"/>
  <c r="G469" i="3"/>
  <c r="X469" i="3"/>
  <c r="Y469" i="3" s="1"/>
  <c r="W470" i="3"/>
  <c r="X470" i="3"/>
  <c r="X472" i="3"/>
  <c r="W472" i="3"/>
  <c r="G475" i="3"/>
  <c r="Q475" i="3"/>
  <c r="W476" i="3"/>
  <c r="X478" i="3"/>
  <c r="X479" i="3"/>
  <c r="Y479" i="3" s="1"/>
  <c r="L479" i="3"/>
  <c r="Q479" i="3"/>
  <c r="W479" i="3"/>
  <c r="W481" i="3"/>
  <c r="W482" i="3"/>
  <c r="G483" i="3"/>
  <c r="X484" i="3"/>
  <c r="Y484" i="3" s="1"/>
  <c r="G484" i="3"/>
  <c r="L484" i="3"/>
  <c r="X488" i="3"/>
  <c r="G488" i="3"/>
  <c r="L489" i="3"/>
  <c r="W491" i="3"/>
  <c r="G491" i="3"/>
  <c r="W492" i="3"/>
  <c r="L493" i="3"/>
  <c r="W495" i="3"/>
  <c r="G495" i="3"/>
  <c r="W496" i="3"/>
  <c r="L497" i="3"/>
  <c r="G464" i="3"/>
  <c r="L464" i="3"/>
  <c r="W465" i="3"/>
  <c r="G466" i="3"/>
  <c r="V466" i="3"/>
  <c r="Q468" i="3"/>
  <c r="W473" i="3"/>
  <c r="G474" i="3"/>
  <c r="V474" i="3"/>
  <c r="W477" i="3"/>
  <c r="W478" i="3"/>
  <c r="X480" i="3"/>
  <c r="Y480" i="3" s="1"/>
  <c r="G480" i="3"/>
  <c r="V487" i="3"/>
  <c r="Q488" i="3"/>
  <c r="G489" i="3"/>
  <c r="X489" i="3"/>
  <c r="Y489" i="3" s="1"/>
  <c r="X492" i="3"/>
  <c r="G493" i="3"/>
  <c r="X493" i="3"/>
  <c r="Y493" i="3" s="1"/>
  <c r="X496" i="3"/>
  <c r="G497" i="3"/>
  <c r="X497" i="3"/>
  <c r="Y497" i="3" s="1"/>
  <c r="W498" i="3"/>
  <c r="L498" i="3"/>
  <c r="Y506" i="3"/>
  <c r="Y509" i="3"/>
  <c r="L463" i="3"/>
  <c r="G465" i="3"/>
  <c r="X465" i="3"/>
  <c r="Y465" i="3" s="1"/>
  <c r="W466" i="3"/>
  <c r="Y466" i="3" s="1"/>
  <c r="V467" i="3"/>
  <c r="X468" i="3"/>
  <c r="Y468" i="3" s="1"/>
  <c r="L469" i="3"/>
  <c r="L471" i="3"/>
  <c r="G473" i="3"/>
  <c r="X473" i="3"/>
  <c r="X476" i="3"/>
  <c r="Y476" i="3" s="1"/>
  <c r="G476" i="3"/>
  <c r="X486" i="3"/>
  <c r="Y486" i="3" s="1"/>
  <c r="X491" i="3"/>
  <c r="W493" i="3"/>
  <c r="X495" i="3"/>
  <c r="Y495" i="3" s="1"/>
  <c r="Q496" i="3"/>
  <c r="W497" i="3"/>
  <c r="X498" i="3"/>
  <c r="G498" i="3"/>
  <c r="X477" i="3"/>
  <c r="Y477" i="3" s="1"/>
  <c r="X481" i="3"/>
  <c r="X485" i="3"/>
  <c r="Y485" i="3" s="1"/>
  <c r="Y499" i="3"/>
  <c r="X504" i="3"/>
  <c r="G504" i="3"/>
  <c r="Y507" i="3"/>
  <c r="X512" i="3"/>
  <c r="Y512" i="3" s="1"/>
  <c r="G512" i="3"/>
  <c r="G499" i="3"/>
  <c r="L499" i="3"/>
  <c r="W500" i="3"/>
  <c r="G501" i="3"/>
  <c r="L501" i="3"/>
  <c r="V501" i="3"/>
  <c r="Q503" i="3"/>
  <c r="G507" i="3"/>
  <c r="L507" i="3"/>
  <c r="W508" i="3"/>
  <c r="G509" i="3"/>
  <c r="L509" i="3"/>
  <c r="V509" i="3"/>
  <c r="Q511" i="3"/>
  <c r="X514" i="3"/>
  <c r="Y514" i="3" s="1"/>
  <c r="G514" i="3"/>
  <c r="V515" i="3"/>
  <c r="X518" i="3"/>
  <c r="Y518" i="3" s="1"/>
  <c r="G518" i="3"/>
  <c r="V519" i="3"/>
  <c r="X522" i="3"/>
  <c r="Y522" i="3" s="1"/>
  <c r="G522" i="3"/>
  <c r="V523" i="3"/>
  <c r="X526" i="3"/>
  <c r="Y526" i="3" s="1"/>
  <c r="G526" i="3"/>
  <c r="V527" i="3"/>
  <c r="X530" i="3"/>
  <c r="Y530" i="3" s="1"/>
  <c r="G530" i="3"/>
  <c r="V531" i="3"/>
  <c r="Q533" i="3"/>
  <c r="X534" i="3"/>
  <c r="Y534" i="3" s="1"/>
  <c r="G534" i="3"/>
  <c r="V535" i="3"/>
  <c r="X538" i="3"/>
  <c r="Y538" i="3" s="1"/>
  <c r="G538" i="3"/>
  <c r="G492" i="3"/>
  <c r="G496" i="3"/>
  <c r="X500" i="3"/>
  <c r="G500" i="3"/>
  <c r="W501" i="3"/>
  <c r="Y501" i="3" s="1"/>
  <c r="X503" i="3"/>
  <c r="Y503" i="3" s="1"/>
  <c r="G506" i="3"/>
  <c r="X508" i="3"/>
  <c r="Y508" i="3" s="1"/>
  <c r="G508" i="3"/>
  <c r="W509" i="3"/>
  <c r="X511" i="3"/>
  <c r="Y511" i="3" s="1"/>
  <c r="W515" i="3"/>
  <c r="W519" i="3"/>
  <c r="W523" i="3"/>
  <c r="W527" i="3"/>
  <c r="W531" i="3"/>
  <c r="W535" i="3"/>
  <c r="G539" i="3"/>
  <c r="W539" i="3"/>
  <c r="Y539" i="3"/>
  <c r="Q539" i="3"/>
  <c r="X540" i="3"/>
  <c r="Y540" i="3" s="1"/>
  <c r="G540" i="3"/>
  <c r="Q499" i="3"/>
  <c r="G503" i="3"/>
  <c r="L503" i="3"/>
  <c r="W504" i="3"/>
  <c r="G505" i="3"/>
  <c r="V505" i="3"/>
  <c r="Q507" i="3"/>
  <c r="G511" i="3"/>
  <c r="L511" i="3"/>
  <c r="W512" i="3"/>
  <c r="X513" i="3"/>
  <c r="Y513" i="3" s="1"/>
  <c r="G513" i="3"/>
  <c r="X516" i="3"/>
  <c r="Y516" i="3" s="1"/>
  <c r="V516" i="3"/>
  <c r="X517" i="3"/>
  <c r="Y517" i="3" s="1"/>
  <c r="G517" i="3"/>
  <c r="X520" i="3"/>
  <c r="Y520" i="3" s="1"/>
  <c r="V520" i="3"/>
  <c r="X521" i="3"/>
  <c r="Y521" i="3" s="1"/>
  <c r="G521" i="3"/>
  <c r="X524" i="3"/>
  <c r="Y524" i="3" s="1"/>
  <c r="V524" i="3"/>
  <c r="X525" i="3"/>
  <c r="Y525" i="3" s="1"/>
  <c r="G525" i="3"/>
  <c r="X528" i="3"/>
  <c r="Y528" i="3" s="1"/>
  <c r="V528" i="3"/>
  <c r="X529" i="3"/>
  <c r="Y529" i="3" s="1"/>
  <c r="G529" i="3"/>
  <c r="X532" i="3"/>
  <c r="Y532" i="3" s="1"/>
  <c r="V532" i="3"/>
  <c r="X533" i="3"/>
  <c r="Y533" i="3" s="1"/>
  <c r="G533" i="3"/>
  <c r="X536" i="3"/>
  <c r="Y536" i="3" s="1"/>
  <c r="V536" i="3"/>
  <c r="X537" i="3"/>
  <c r="Y537" i="3" s="1"/>
  <c r="G537" i="3"/>
  <c r="X515" i="3"/>
  <c r="Y515" i="3" s="1"/>
  <c r="G516" i="3"/>
  <c r="X519" i="3"/>
  <c r="G520" i="3"/>
  <c r="X523" i="3"/>
  <c r="Y523" i="3" s="1"/>
  <c r="G524" i="3"/>
  <c r="X527" i="3"/>
  <c r="G528" i="3"/>
  <c r="X531" i="3"/>
  <c r="Y531" i="3" s="1"/>
  <c r="G532" i="3"/>
  <c r="X535" i="3"/>
  <c r="G536" i="3"/>
  <c r="X541" i="3"/>
  <c r="Y541" i="3" s="1"/>
  <c r="W541" i="3"/>
  <c r="L542" i="3"/>
  <c r="G544" i="3"/>
  <c r="Q544" i="3"/>
  <c r="W545" i="3"/>
  <c r="W548" i="3"/>
  <c r="L549" i="3"/>
  <c r="W551" i="3"/>
  <c r="G551" i="3"/>
  <c r="W552" i="3"/>
  <c r="L553" i="3"/>
  <c r="W555" i="3"/>
  <c r="Y555" i="3" s="1"/>
  <c r="G555" i="3"/>
  <c r="W556" i="3"/>
  <c r="W557" i="3"/>
  <c r="L560" i="3"/>
  <c r="W562" i="3"/>
  <c r="G562" i="3"/>
  <c r="W542" i="3"/>
  <c r="G543" i="3"/>
  <c r="X545" i="3"/>
  <c r="Y545" i="3" s="1"/>
  <c r="G545" i="3"/>
  <c r="W547" i="3"/>
  <c r="X548" i="3"/>
  <c r="Y548" i="3" s="1"/>
  <c r="X549" i="3"/>
  <c r="Y549" i="3" s="1"/>
  <c r="G549" i="3"/>
  <c r="X552" i="3"/>
  <c r="Y552" i="3" s="1"/>
  <c r="X553" i="3"/>
  <c r="Y553" i="3" s="1"/>
  <c r="G553" i="3"/>
  <c r="X556" i="3"/>
  <c r="Y556" i="3" s="1"/>
  <c r="V556" i="3"/>
  <c r="X557" i="3"/>
  <c r="Y557" i="3" s="1"/>
  <c r="G557" i="3"/>
  <c r="W558" i="3"/>
  <c r="X560" i="3"/>
  <c r="Y560" i="3" s="1"/>
  <c r="G560" i="3"/>
  <c r="X542" i="3"/>
  <c r="G542" i="3"/>
  <c r="W543" i="3"/>
  <c r="Y543" i="3" s="1"/>
  <c r="X546" i="3"/>
  <c r="Y546" i="3" s="1"/>
  <c r="G546" i="3"/>
  <c r="G547" i="3"/>
  <c r="X547" i="3"/>
  <c r="Y547" i="3" s="1"/>
  <c r="Y551" i="3"/>
  <c r="X558" i="3"/>
  <c r="Y558" i="3" s="1"/>
  <c r="G558" i="3"/>
  <c r="Y562" i="3"/>
  <c r="V539" i="3"/>
  <c r="Y544" i="3"/>
  <c r="W546" i="3"/>
  <c r="V547" i="3"/>
  <c r="X550" i="3"/>
  <c r="Y550" i="3" s="1"/>
  <c r="G550" i="3"/>
  <c r="V551" i="3"/>
  <c r="X554" i="3"/>
  <c r="Y554" i="3" s="1"/>
  <c r="G554" i="3"/>
  <c r="V555" i="3"/>
  <c r="L557" i="3"/>
  <c r="V558" i="3"/>
  <c r="X561" i="3"/>
  <c r="Y561" i="3" s="1"/>
  <c r="G561" i="3"/>
  <c r="G563" i="3"/>
  <c r="X563" i="3"/>
  <c r="Y563" i="3" s="1"/>
  <c r="G548" i="3"/>
  <c r="G552" i="3"/>
  <c r="G556" i="3"/>
  <c r="X559" i="3"/>
  <c r="Y559" i="3" s="1"/>
  <c r="Y500" i="3" l="1"/>
  <c r="Y498" i="3"/>
  <c r="Y478" i="3"/>
  <c r="Y436" i="3"/>
  <c r="Y460" i="3"/>
  <c r="Y453" i="3"/>
  <c r="Y437" i="3"/>
  <c r="Y321" i="3"/>
  <c r="Y351" i="3"/>
  <c r="Y341" i="3"/>
  <c r="Y333" i="3"/>
  <c r="Y369" i="3"/>
  <c r="Y352" i="3"/>
  <c r="Y301" i="3"/>
  <c r="Y298" i="3"/>
  <c r="Y268" i="3"/>
  <c r="Y242" i="3"/>
  <c r="Y542" i="3"/>
  <c r="Y504" i="3"/>
  <c r="Y496" i="3"/>
  <c r="Y470" i="3"/>
  <c r="Y457" i="3"/>
  <c r="Y434" i="3"/>
  <c r="Y458" i="3"/>
  <c r="Y421" i="3"/>
  <c r="Y425" i="3"/>
  <c r="Y382" i="3"/>
  <c r="Y345" i="3"/>
  <c r="Y337" i="3"/>
  <c r="Y327" i="3"/>
  <c r="Y274" i="3"/>
  <c r="Y266" i="3"/>
  <c r="Y258" i="3"/>
  <c r="Y302" i="3"/>
  <c r="Y277" i="3"/>
  <c r="Y237" i="3"/>
  <c r="Y210" i="3"/>
  <c r="Y178" i="3"/>
  <c r="Y146" i="3"/>
  <c r="Y114" i="3"/>
  <c r="Y232" i="3"/>
  <c r="E9" i="4"/>
  <c r="G6" i="6" s="1"/>
  <c r="G8" i="8" s="1"/>
  <c r="F6" i="6"/>
  <c r="F8" i="8" s="1"/>
  <c r="F5" i="6"/>
  <c r="F7" i="8" s="1"/>
  <c r="E8" i="4"/>
  <c r="G5" i="6" s="1"/>
  <c r="G7" i="8" s="1"/>
  <c r="C4" i="6"/>
  <c r="C6" i="8" s="1"/>
  <c r="E2" i="4"/>
  <c r="D4" i="6" s="1"/>
  <c r="D6" i="8" s="1"/>
  <c r="F7" i="6"/>
  <c r="F9" i="8" s="1"/>
  <c r="E10" i="4"/>
  <c r="G7" i="6" s="1"/>
  <c r="G9" i="8" s="1"/>
  <c r="Y94" i="3"/>
  <c r="Y78" i="3"/>
  <c r="Y62" i="3"/>
  <c r="Y46" i="3"/>
  <c r="Y334" i="3"/>
  <c r="E7" i="4"/>
  <c r="G4" i="6" s="1"/>
  <c r="G6" i="8" s="1"/>
  <c r="F4" i="6"/>
  <c r="F6" i="8" s="1"/>
  <c r="Y87" i="3"/>
  <c r="Y82" i="3"/>
  <c r="Y71" i="3"/>
  <c r="Y66" i="3"/>
  <c r="Y55" i="3"/>
  <c r="Y50" i="3"/>
  <c r="Y39" i="3"/>
  <c r="Y34" i="3"/>
  <c r="Y30" i="3"/>
  <c r="Y26" i="3"/>
  <c r="Y22" i="3"/>
  <c r="Y14" i="3"/>
  <c r="Y429" i="3"/>
  <c r="Y377" i="3"/>
  <c r="Y366" i="3"/>
  <c r="E4" i="4"/>
  <c r="D6" i="6" s="1"/>
  <c r="D8" i="8" s="1"/>
  <c r="C6" i="6"/>
  <c r="C8" i="8" s="1"/>
  <c r="D6" i="4"/>
  <c r="Y93" i="3"/>
  <c r="Y85" i="3"/>
  <c r="Y77" i="3"/>
  <c r="Y69" i="3"/>
  <c r="Y61" i="3"/>
  <c r="Y53" i="3"/>
  <c r="Y45" i="3"/>
  <c r="Y37" i="3"/>
  <c r="Y13" i="3"/>
  <c r="Y5" i="3"/>
  <c r="Y91" i="3"/>
  <c r="Y86" i="3"/>
  <c r="Y75" i="3"/>
  <c r="Y70" i="3"/>
  <c r="Y59" i="3"/>
  <c r="Y54" i="3"/>
  <c r="Y43" i="3"/>
  <c r="Y38" i="3"/>
  <c r="Y19" i="3"/>
  <c r="Y15" i="3"/>
  <c r="Y7" i="3"/>
  <c r="Y3" i="3"/>
  <c r="Y326" i="3"/>
  <c r="Y310" i="3"/>
  <c r="Y342" i="3"/>
  <c r="Y324" i="3"/>
  <c r="Y316" i="3"/>
  <c r="Y226" i="3"/>
  <c r="C7" i="6"/>
  <c r="C9" i="8" s="1"/>
  <c r="E5" i="4"/>
  <c r="D7" i="6" s="1"/>
  <c r="D9" i="8" s="1"/>
  <c r="Y535" i="3"/>
  <c r="Y527" i="3"/>
  <c r="Y519" i="3"/>
  <c r="Y481" i="3"/>
  <c r="Y491" i="3"/>
  <c r="Y473" i="3"/>
  <c r="Y492" i="3"/>
  <c r="Y488" i="3"/>
  <c r="Y472" i="3"/>
  <c r="Y482" i="3"/>
  <c r="Y447" i="3"/>
  <c r="Y456" i="3"/>
  <c r="Y442" i="3"/>
  <c r="Y428" i="3"/>
  <c r="Y413" i="3"/>
  <c r="Y415" i="3"/>
  <c r="Y424" i="3"/>
  <c r="Y397" i="3"/>
  <c r="Y395" i="3"/>
  <c r="Y363" i="3"/>
  <c r="Y387" i="3"/>
  <c r="Y282" i="3"/>
  <c r="Y350" i="3"/>
  <c r="Y344" i="3"/>
  <c r="Y340" i="3"/>
  <c r="Y336" i="3"/>
  <c r="Y332" i="3"/>
  <c r="Y328" i="3"/>
  <c r="Y320" i="3"/>
  <c r="Y312" i="3"/>
  <c r="Y252" i="3"/>
  <c r="Y221" i="3"/>
  <c r="Y197" i="3"/>
  <c r="Y165" i="3"/>
  <c r="Y133" i="3"/>
  <c r="Y101" i="3"/>
  <c r="Y285" i="3"/>
  <c r="Y261" i="3"/>
  <c r="Y244" i="3"/>
  <c r="Y238" i="3"/>
  <c r="Y228" i="3"/>
  <c r="Y222" i="3"/>
  <c r="Y212" i="3"/>
  <c r="Y202" i="3"/>
  <c r="Y170" i="3"/>
  <c r="Y138" i="3"/>
  <c r="Y106" i="3"/>
  <c r="Y216" i="3"/>
  <c r="C5" i="6"/>
  <c r="C7" i="8" s="1"/>
  <c r="E3" i="4"/>
  <c r="D5" i="6" s="1"/>
  <c r="D7" i="8" s="1"/>
  <c r="D11" i="4"/>
  <c r="Y90" i="3"/>
  <c r="Y79" i="3"/>
  <c r="Y74" i="3"/>
  <c r="Y63" i="3"/>
  <c r="Y58" i="3"/>
  <c r="Y47" i="3"/>
  <c r="Y42" i="3"/>
  <c r="Y31" i="3"/>
  <c r="Y27" i="3"/>
  <c r="Y23" i="3"/>
  <c r="Y11" i="3"/>
  <c r="E11" i="4" l="1"/>
  <c r="G8" i="6" s="1"/>
  <c r="G10" i="8" s="1"/>
  <c r="F8" i="6"/>
  <c r="F10" i="8" s="1"/>
  <c r="C8" i="6"/>
  <c r="C10" i="8" s="1"/>
  <c r="E6" i="4"/>
  <c r="D8" i="6" s="1"/>
  <c r="D10" i="8" s="1"/>
</calcChain>
</file>

<file path=xl/sharedStrings.xml><?xml version="1.0" encoding="utf-8"?>
<sst xmlns="http://schemas.openxmlformats.org/spreadsheetml/2006/main" count="1893" uniqueCount="1007">
  <si>
    <t>Archivo</t>
  </si>
  <si>
    <t>whoqol_bref_prepost_dominios_neuroguIA_COMPLETO.xlsx</t>
  </si>
  <si>
    <t>Muestra</t>
  </si>
  <si>
    <t>562 participantes: 281 Experimental y 281 Control.</t>
  </si>
  <si>
    <t>Instrumento</t>
  </si>
  <si>
    <t>WHOQOL-BREF: 26 ítems; escala 1 a 5; dominios transformados a escala 0–100.</t>
  </si>
  <si>
    <t>Dominios calculados</t>
  </si>
  <si>
    <t>Bienestar físico, bienestar psicológico, relaciones sociales, entorno y calidad de vida global.</t>
  </si>
  <si>
    <t>Ítems inversos</t>
  </si>
  <si>
    <t>Q3, Q4 y Q26 se recodifican como 6-respuesta para el cálculo de dominios.</t>
  </si>
  <si>
    <t>participant_id</t>
  </si>
  <si>
    <t>group_type</t>
  </si>
  <si>
    <t>family_id</t>
  </si>
  <si>
    <t>q1_pre</t>
  </si>
  <si>
    <t>q2_pre</t>
  </si>
  <si>
    <t>q3_pre</t>
  </si>
  <si>
    <t>q4_pre</t>
  </si>
  <si>
    <t>q5_pre</t>
  </si>
  <si>
    <t>q6_pre</t>
  </si>
  <si>
    <t>q7_pre</t>
  </si>
  <si>
    <t>q8_pre</t>
  </si>
  <si>
    <t>q9_pre</t>
  </si>
  <si>
    <t>q10_pre</t>
  </si>
  <si>
    <t>q11_pre</t>
  </si>
  <si>
    <t>q12_pre</t>
  </si>
  <si>
    <t>q13_pre</t>
  </si>
  <si>
    <t>q14_pre</t>
  </si>
  <si>
    <t>q15_pre</t>
  </si>
  <si>
    <t>q16_pre</t>
  </si>
  <si>
    <t>q17_pre</t>
  </si>
  <si>
    <t>q18_pre</t>
  </si>
  <si>
    <t>q19_pre</t>
  </si>
  <si>
    <t>q20_pre</t>
  </si>
  <si>
    <t>q21_pre</t>
  </si>
  <si>
    <t>q22_pre</t>
  </si>
  <si>
    <t>q23_pre</t>
  </si>
  <si>
    <t>q24_pre</t>
  </si>
  <si>
    <t>q25_pre</t>
  </si>
  <si>
    <t>q26_pre</t>
  </si>
  <si>
    <t>q1_post</t>
  </si>
  <si>
    <t>q2_post</t>
  </si>
  <si>
    <t>q3_post</t>
  </si>
  <si>
    <t>q4_post</t>
  </si>
  <si>
    <t>q5_post</t>
  </si>
  <si>
    <t>q6_post</t>
  </si>
  <si>
    <t>q7_post</t>
  </si>
  <si>
    <t>q8_post</t>
  </si>
  <si>
    <t>q9_post</t>
  </si>
  <si>
    <t>q10_post</t>
  </si>
  <si>
    <t>q11_post</t>
  </si>
  <si>
    <t>q12_post</t>
  </si>
  <si>
    <t>q13_post</t>
  </si>
  <si>
    <t>q14_post</t>
  </si>
  <si>
    <t>q15_post</t>
  </si>
  <si>
    <t>q16_post</t>
  </si>
  <si>
    <t>q17_post</t>
  </si>
  <si>
    <t>q18_post</t>
  </si>
  <si>
    <t>q19_post</t>
  </si>
  <si>
    <t>q20_post</t>
  </si>
  <si>
    <t>q21_post</t>
  </si>
  <si>
    <t>q22_post</t>
  </si>
  <si>
    <t>q23_post</t>
  </si>
  <si>
    <t>q24_post</t>
  </si>
  <si>
    <t>q25_post</t>
  </si>
  <si>
    <t>q26_post</t>
  </si>
  <si>
    <t>EXP-001</t>
  </si>
  <si>
    <t>Experimental</t>
  </si>
  <si>
    <t>FAM-E-001</t>
  </si>
  <si>
    <t>EXP-002</t>
  </si>
  <si>
    <t>EXP-003</t>
  </si>
  <si>
    <t>FAM-E-002</t>
  </si>
  <si>
    <t>EXP-004</t>
  </si>
  <si>
    <t>EXP-005</t>
  </si>
  <si>
    <t>FAM-E-003</t>
  </si>
  <si>
    <t>EXP-006</t>
  </si>
  <si>
    <t>EXP-007</t>
  </si>
  <si>
    <t>FAM-E-004</t>
  </si>
  <si>
    <t>EXP-008</t>
  </si>
  <si>
    <t>EXP-009</t>
  </si>
  <si>
    <t>FAM-E-005</t>
  </si>
  <si>
    <t>EXP-010</t>
  </si>
  <si>
    <t>EXP-011</t>
  </si>
  <si>
    <t>FAM-E-006</t>
  </si>
  <si>
    <t>EXP-012</t>
  </si>
  <si>
    <t>EXP-013</t>
  </si>
  <si>
    <t>FAM-E-007</t>
  </si>
  <si>
    <t>EXP-014</t>
  </si>
  <si>
    <t>EXP-015</t>
  </si>
  <si>
    <t>FAM-E-008</t>
  </si>
  <si>
    <t>EXP-016</t>
  </si>
  <si>
    <t>EXP-017</t>
  </si>
  <si>
    <t>FAM-E-009</t>
  </si>
  <si>
    <t>EXP-018</t>
  </si>
  <si>
    <t>EXP-019</t>
  </si>
  <si>
    <t>FAM-E-010</t>
  </si>
  <si>
    <t>EXP-020</t>
  </si>
  <si>
    <t>EXP-021</t>
  </si>
  <si>
    <t>FAM-E-011</t>
  </si>
  <si>
    <t>EXP-022</t>
  </si>
  <si>
    <t>EXP-023</t>
  </si>
  <si>
    <t>FAM-E-012</t>
  </si>
  <si>
    <t>EXP-024</t>
  </si>
  <si>
    <t>EXP-025</t>
  </si>
  <si>
    <t>FAM-E-013</t>
  </si>
  <si>
    <t>EXP-026</t>
  </si>
  <si>
    <t>EXP-027</t>
  </si>
  <si>
    <t>FAM-E-014</t>
  </si>
  <si>
    <t>EXP-028</t>
  </si>
  <si>
    <t>EXP-029</t>
  </si>
  <si>
    <t>FAM-E-015</t>
  </si>
  <si>
    <t>EXP-030</t>
  </si>
  <si>
    <t>EXP-031</t>
  </si>
  <si>
    <t>FAM-E-016</t>
  </si>
  <si>
    <t>EXP-032</t>
  </si>
  <si>
    <t>EXP-033</t>
  </si>
  <si>
    <t>FAM-E-017</t>
  </si>
  <si>
    <t>EXP-034</t>
  </si>
  <si>
    <t>EXP-035</t>
  </si>
  <si>
    <t>FAM-E-018</t>
  </si>
  <si>
    <t>EXP-036</t>
  </si>
  <si>
    <t>EXP-037</t>
  </si>
  <si>
    <t>FAM-E-019</t>
  </si>
  <si>
    <t>EXP-038</t>
  </si>
  <si>
    <t>EXP-039</t>
  </si>
  <si>
    <t>FAM-E-020</t>
  </si>
  <si>
    <t>EXP-040</t>
  </si>
  <si>
    <t>EXP-041</t>
  </si>
  <si>
    <t>FAM-E-021</t>
  </si>
  <si>
    <t>EXP-042</t>
  </si>
  <si>
    <t>EXP-043</t>
  </si>
  <si>
    <t>FAM-E-022</t>
  </si>
  <si>
    <t>EXP-044</t>
  </si>
  <si>
    <t>EXP-045</t>
  </si>
  <si>
    <t>FAM-E-023</t>
  </si>
  <si>
    <t>EXP-046</t>
  </si>
  <si>
    <t>EXP-047</t>
  </si>
  <si>
    <t>FAM-E-024</t>
  </si>
  <si>
    <t>EXP-048</t>
  </si>
  <si>
    <t>EXP-049</t>
  </si>
  <si>
    <t>FAM-E-025</t>
  </si>
  <si>
    <t>EXP-050</t>
  </si>
  <si>
    <t>EXP-051</t>
  </si>
  <si>
    <t>FAM-E-026</t>
  </si>
  <si>
    <t>EXP-052</t>
  </si>
  <si>
    <t>EXP-053</t>
  </si>
  <si>
    <t>FAM-E-027</t>
  </si>
  <si>
    <t>EXP-054</t>
  </si>
  <si>
    <t>EXP-055</t>
  </si>
  <si>
    <t>FAM-E-028</t>
  </si>
  <si>
    <t>EXP-056</t>
  </si>
  <si>
    <t>EXP-057</t>
  </si>
  <si>
    <t>FAM-E-029</t>
  </si>
  <si>
    <t>EXP-058</t>
  </si>
  <si>
    <t>EXP-059</t>
  </si>
  <si>
    <t>FAM-E-030</t>
  </si>
  <si>
    <t>EXP-060</t>
  </si>
  <si>
    <t>EXP-061</t>
  </si>
  <si>
    <t>FAM-E-031</t>
  </si>
  <si>
    <t>EXP-062</t>
  </si>
  <si>
    <t>EXP-063</t>
  </si>
  <si>
    <t>FAM-E-032</t>
  </si>
  <si>
    <t>EXP-064</t>
  </si>
  <si>
    <t>EXP-065</t>
  </si>
  <si>
    <t>FAM-E-033</t>
  </si>
  <si>
    <t>EXP-066</t>
  </si>
  <si>
    <t>EXP-067</t>
  </si>
  <si>
    <t>FAM-E-034</t>
  </si>
  <si>
    <t>EXP-068</t>
  </si>
  <si>
    <t>EXP-069</t>
  </si>
  <si>
    <t>FAM-E-035</t>
  </si>
  <si>
    <t>EXP-070</t>
  </si>
  <si>
    <t>EXP-071</t>
  </si>
  <si>
    <t>FAM-E-036</t>
  </si>
  <si>
    <t>EXP-072</t>
  </si>
  <si>
    <t>EXP-073</t>
  </si>
  <si>
    <t>FAM-E-037</t>
  </si>
  <si>
    <t>EXP-074</t>
  </si>
  <si>
    <t>EXP-075</t>
  </si>
  <si>
    <t>FAM-E-038</t>
  </si>
  <si>
    <t>EXP-076</t>
  </si>
  <si>
    <t>EXP-077</t>
  </si>
  <si>
    <t>FAM-E-039</t>
  </si>
  <si>
    <t>EXP-078</t>
  </si>
  <si>
    <t>EXP-079</t>
  </si>
  <si>
    <t>FAM-E-040</t>
  </si>
  <si>
    <t>EXP-080</t>
  </si>
  <si>
    <t>EXP-081</t>
  </si>
  <si>
    <t>FAM-E-041</t>
  </si>
  <si>
    <t>EXP-082</t>
  </si>
  <si>
    <t>EXP-083</t>
  </si>
  <si>
    <t>FAM-E-042</t>
  </si>
  <si>
    <t>EXP-084</t>
  </si>
  <si>
    <t>EXP-085</t>
  </si>
  <si>
    <t>FAM-E-043</t>
  </si>
  <si>
    <t>EXP-086</t>
  </si>
  <si>
    <t>EXP-087</t>
  </si>
  <si>
    <t>FAM-E-044</t>
  </si>
  <si>
    <t>EXP-088</t>
  </si>
  <si>
    <t>EXP-089</t>
  </si>
  <si>
    <t>FAM-E-045</t>
  </si>
  <si>
    <t>EXP-090</t>
  </si>
  <si>
    <t>EXP-091</t>
  </si>
  <si>
    <t>FAM-E-046</t>
  </si>
  <si>
    <t>EXP-092</t>
  </si>
  <si>
    <t>EXP-093</t>
  </si>
  <si>
    <t>FAM-E-047</t>
  </si>
  <si>
    <t>EXP-094</t>
  </si>
  <si>
    <t>EXP-095</t>
  </si>
  <si>
    <t>FAM-E-048</t>
  </si>
  <si>
    <t>EXP-096</t>
  </si>
  <si>
    <t>EXP-097</t>
  </si>
  <si>
    <t>FAM-E-049</t>
  </si>
  <si>
    <t>EXP-098</t>
  </si>
  <si>
    <t>EXP-099</t>
  </si>
  <si>
    <t>FAM-E-050</t>
  </si>
  <si>
    <t>EXP-100</t>
  </si>
  <si>
    <t>EXP-101</t>
  </si>
  <si>
    <t>FAM-E-051</t>
  </si>
  <si>
    <t>EXP-102</t>
  </si>
  <si>
    <t>EXP-103</t>
  </si>
  <si>
    <t>FAM-E-052</t>
  </si>
  <si>
    <t>EXP-104</t>
  </si>
  <si>
    <t>EXP-105</t>
  </si>
  <si>
    <t>FAM-E-053</t>
  </si>
  <si>
    <t>EXP-106</t>
  </si>
  <si>
    <t>EXP-107</t>
  </si>
  <si>
    <t>FAM-E-054</t>
  </si>
  <si>
    <t>EXP-108</t>
  </si>
  <si>
    <t>EXP-109</t>
  </si>
  <si>
    <t>FAM-E-055</t>
  </si>
  <si>
    <t>EXP-110</t>
  </si>
  <si>
    <t>EXP-111</t>
  </si>
  <si>
    <t>FAM-E-056</t>
  </si>
  <si>
    <t>EXP-112</t>
  </si>
  <si>
    <t>EXP-113</t>
  </si>
  <si>
    <t>FAM-E-057</t>
  </si>
  <si>
    <t>EXP-114</t>
  </si>
  <si>
    <t>EXP-115</t>
  </si>
  <si>
    <t>FAM-E-058</t>
  </si>
  <si>
    <t>EXP-116</t>
  </si>
  <si>
    <t>EXP-117</t>
  </si>
  <si>
    <t>FAM-E-059</t>
  </si>
  <si>
    <t>EXP-118</t>
  </si>
  <si>
    <t>EXP-119</t>
  </si>
  <si>
    <t>FAM-E-060</t>
  </si>
  <si>
    <t>EXP-120</t>
  </si>
  <si>
    <t>EXP-121</t>
  </si>
  <si>
    <t>FAM-E-061</t>
  </si>
  <si>
    <t>EXP-122</t>
  </si>
  <si>
    <t>EXP-123</t>
  </si>
  <si>
    <t>FAM-E-062</t>
  </si>
  <si>
    <t>EXP-124</t>
  </si>
  <si>
    <t>EXP-125</t>
  </si>
  <si>
    <t>FAM-E-063</t>
  </si>
  <si>
    <t>EXP-126</t>
  </si>
  <si>
    <t>EXP-127</t>
  </si>
  <si>
    <t>FAM-E-064</t>
  </si>
  <si>
    <t>EXP-128</t>
  </si>
  <si>
    <t>EXP-129</t>
  </si>
  <si>
    <t>FAM-E-065</t>
  </si>
  <si>
    <t>EXP-130</t>
  </si>
  <si>
    <t>EXP-131</t>
  </si>
  <si>
    <t>FAM-E-066</t>
  </si>
  <si>
    <t>EXP-132</t>
  </si>
  <si>
    <t>EXP-133</t>
  </si>
  <si>
    <t>FAM-E-067</t>
  </si>
  <si>
    <t>EXP-134</t>
  </si>
  <si>
    <t>EXP-135</t>
  </si>
  <si>
    <t>FAM-E-068</t>
  </si>
  <si>
    <t>EXP-136</t>
  </si>
  <si>
    <t>EXP-137</t>
  </si>
  <si>
    <t>FAM-E-069</t>
  </si>
  <si>
    <t>EXP-138</t>
  </si>
  <si>
    <t>EXP-139</t>
  </si>
  <si>
    <t>FAM-E-070</t>
  </si>
  <si>
    <t>EXP-140</t>
  </si>
  <si>
    <t>EXP-141</t>
  </si>
  <si>
    <t>FAM-E-071</t>
  </si>
  <si>
    <t>EXP-142</t>
  </si>
  <si>
    <t>EXP-143</t>
  </si>
  <si>
    <t>FAM-E-072</t>
  </si>
  <si>
    <t>EXP-144</t>
  </si>
  <si>
    <t>EXP-145</t>
  </si>
  <si>
    <t>FAM-E-073</t>
  </si>
  <si>
    <t>EXP-146</t>
  </si>
  <si>
    <t>EXP-147</t>
  </si>
  <si>
    <t>FAM-E-074</t>
  </si>
  <si>
    <t>EXP-148</t>
  </si>
  <si>
    <t>EXP-149</t>
  </si>
  <si>
    <t>FAM-E-075</t>
  </si>
  <si>
    <t>EXP-150</t>
  </si>
  <si>
    <t>EXP-151</t>
  </si>
  <si>
    <t>FAM-E-076</t>
  </si>
  <si>
    <t>EXP-152</t>
  </si>
  <si>
    <t>EXP-153</t>
  </si>
  <si>
    <t>FAM-E-077</t>
  </si>
  <si>
    <t>EXP-154</t>
  </si>
  <si>
    <t>EXP-155</t>
  </si>
  <si>
    <t>FAM-E-078</t>
  </si>
  <si>
    <t>EXP-156</t>
  </si>
  <si>
    <t>EXP-157</t>
  </si>
  <si>
    <t>FAM-E-079</t>
  </si>
  <si>
    <t>EXP-158</t>
  </si>
  <si>
    <t>EXP-159</t>
  </si>
  <si>
    <t>FAM-E-080</t>
  </si>
  <si>
    <t>EXP-160</t>
  </si>
  <si>
    <t>EXP-161</t>
  </si>
  <si>
    <t>FAM-E-081</t>
  </si>
  <si>
    <t>EXP-162</t>
  </si>
  <si>
    <t>EXP-163</t>
  </si>
  <si>
    <t>FAM-E-082</t>
  </si>
  <si>
    <t>EXP-164</t>
  </si>
  <si>
    <t>EXP-165</t>
  </si>
  <si>
    <t>FAM-E-083</t>
  </si>
  <si>
    <t>EXP-166</t>
  </si>
  <si>
    <t>EXP-167</t>
  </si>
  <si>
    <t>FAM-E-084</t>
  </si>
  <si>
    <t>EXP-168</t>
  </si>
  <si>
    <t>EXP-169</t>
  </si>
  <si>
    <t>FAM-E-085</t>
  </si>
  <si>
    <t>EXP-170</t>
  </si>
  <si>
    <t>EXP-171</t>
  </si>
  <si>
    <t>FAM-E-086</t>
  </si>
  <si>
    <t>EXP-172</t>
  </si>
  <si>
    <t>EXP-173</t>
  </si>
  <si>
    <t>FAM-E-087</t>
  </si>
  <si>
    <t>EXP-174</t>
  </si>
  <si>
    <t>EXP-175</t>
  </si>
  <si>
    <t>FAM-E-088</t>
  </si>
  <si>
    <t>EXP-176</t>
  </si>
  <si>
    <t>EXP-177</t>
  </si>
  <si>
    <t>FAM-E-089</t>
  </si>
  <si>
    <t>EXP-178</t>
  </si>
  <si>
    <t>EXP-179</t>
  </si>
  <si>
    <t>FAM-E-090</t>
  </si>
  <si>
    <t>EXP-180</t>
  </si>
  <si>
    <t>EXP-181</t>
  </si>
  <si>
    <t>FAM-E-091</t>
  </si>
  <si>
    <t>EXP-182</t>
  </si>
  <si>
    <t>EXP-183</t>
  </si>
  <si>
    <t>FAM-E-092</t>
  </si>
  <si>
    <t>EXP-184</t>
  </si>
  <si>
    <t>EXP-185</t>
  </si>
  <si>
    <t>FAM-E-093</t>
  </si>
  <si>
    <t>EXP-186</t>
  </si>
  <si>
    <t>EXP-187</t>
  </si>
  <si>
    <t>FAM-E-094</t>
  </si>
  <si>
    <t>EXP-188</t>
  </si>
  <si>
    <t>EXP-189</t>
  </si>
  <si>
    <t>FAM-E-095</t>
  </si>
  <si>
    <t>EXP-190</t>
  </si>
  <si>
    <t>EXP-191</t>
  </si>
  <si>
    <t>FAM-E-096</t>
  </si>
  <si>
    <t>EXP-192</t>
  </si>
  <si>
    <t>EXP-193</t>
  </si>
  <si>
    <t>FAM-E-097</t>
  </si>
  <si>
    <t>EXP-194</t>
  </si>
  <si>
    <t>EXP-195</t>
  </si>
  <si>
    <t>FAM-E-098</t>
  </si>
  <si>
    <t>EXP-196</t>
  </si>
  <si>
    <t>EXP-197</t>
  </si>
  <si>
    <t>FAM-E-099</t>
  </si>
  <si>
    <t>EXP-198</t>
  </si>
  <si>
    <t>EXP-199</t>
  </si>
  <si>
    <t>FAM-E-100</t>
  </si>
  <si>
    <t>EXP-200</t>
  </si>
  <si>
    <t>EXP-201</t>
  </si>
  <si>
    <t>FAM-E-101</t>
  </si>
  <si>
    <t>EXP-202</t>
  </si>
  <si>
    <t>EXP-203</t>
  </si>
  <si>
    <t>FAM-E-102</t>
  </si>
  <si>
    <t>EXP-204</t>
  </si>
  <si>
    <t>EXP-205</t>
  </si>
  <si>
    <t>FAM-E-103</t>
  </si>
  <si>
    <t>EXP-206</t>
  </si>
  <si>
    <t>EXP-207</t>
  </si>
  <si>
    <t>FAM-E-104</t>
  </si>
  <si>
    <t>EXP-208</t>
  </si>
  <si>
    <t>EXP-209</t>
  </si>
  <si>
    <t>FAM-E-105</t>
  </si>
  <si>
    <t>EXP-210</t>
  </si>
  <si>
    <t>EXP-211</t>
  </si>
  <si>
    <t>FAM-E-106</t>
  </si>
  <si>
    <t>EXP-212</t>
  </si>
  <si>
    <t>EXP-213</t>
  </si>
  <si>
    <t>FAM-E-107</t>
  </si>
  <si>
    <t>EXP-214</t>
  </si>
  <si>
    <t>EXP-215</t>
  </si>
  <si>
    <t>FAM-E-108</t>
  </si>
  <si>
    <t>EXP-216</t>
  </si>
  <si>
    <t>EXP-217</t>
  </si>
  <si>
    <t>FAM-E-109</t>
  </si>
  <si>
    <t>EXP-218</t>
  </si>
  <si>
    <t>EXP-219</t>
  </si>
  <si>
    <t>FAM-E-110</t>
  </si>
  <si>
    <t>EXP-220</t>
  </si>
  <si>
    <t>EXP-221</t>
  </si>
  <si>
    <t>FAM-E-111</t>
  </si>
  <si>
    <t>EXP-222</t>
  </si>
  <si>
    <t>EXP-223</t>
  </si>
  <si>
    <t>FAM-E-112</t>
  </si>
  <si>
    <t>EXP-224</t>
  </si>
  <si>
    <t>EXP-225</t>
  </si>
  <si>
    <t>FAM-E-113</t>
  </si>
  <si>
    <t>EXP-226</t>
  </si>
  <si>
    <t>EXP-227</t>
  </si>
  <si>
    <t>FAM-E-114</t>
  </si>
  <si>
    <t>EXP-228</t>
  </si>
  <si>
    <t>EXP-229</t>
  </si>
  <si>
    <t>FAM-E-115</t>
  </si>
  <si>
    <t>EXP-230</t>
  </si>
  <si>
    <t>EXP-231</t>
  </si>
  <si>
    <t>FAM-E-116</t>
  </si>
  <si>
    <t>EXP-232</t>
  </si>
  <si>
    <t>EXP-233</t>
  </si>
  <si>
    <t>FAM-E-117</t>
  </si>
  <si>
    <t>EXP-234</t>
  </si>
  <si>
    <t>EXP-235</t>
  </si>
  <si>
    <t>FAM-E-118</t>
  </si>
  <si>
    <t>EXP-236</t>
  </si>
  <si>
    <t>EXP-237</t>
  </si>
  <si>
    <t>FAM-E-119</t>
  </si>
  <si>
    <t>EXP-238</t>
  </si>
  <si>
    <t>EXP-239</t>
  </si>
  <si>
    <t>FAM-E-120</t>
  </si>
  <si>
    <t>EXP-240</t>
  </si>
  <si>
    <t>EXP-241</t>
  </si>
  <si>
    <t>FAM-E-121</t>
  </si>
  <si>
    <t>EXP-242</t>
  </si>
  <si>
    <t>EXP-243</t>
  </si>
  <si>
    <t>FAM-E-122</t>
  </si>
  <si>
    <t>EXP-244</t>
  </si>
  <si>
    <t>EXP-245</t>
  </si>
  <si>
    <t>FAM-E-123</t>
  </si>
  <si>
    <t>EXP-246</t>
  </si>
  <si>
    <t>EXP-247</t>
  </si>
  <si>
    <t>FAM-E-124</t>
  </si>
  <si>
    <t>EXP-248</t>
  </si>
  <si>
    <t>EXP-249</t>
  </si>
  <si>
    <t>FAM-E-125</t>
  </si>
  <si>
    <t>EXP-250</t>
  </si>
  <si>
    <t>EXP-251</t>
  </si>
  <si>
    <t>FAM-E-126</t>
  </si>
  <si>
    <t>EXP-252</t>
  </si>
  <si>
    <t>EXP-253</t>
  </si>
  <si>
    <t>FAM-E-127</t>
  </si>
  <si>
    <t>EXP-254</t>
  </si>
  <si>
    <t>EXP-255</t>
  </si>
  <si>
    <t>FAM-E-128</t>
  </si>
  <si>
    <t>EXP-256</t>
  </si>
  <si>
    <t>EXP-257</t>
  </si>
  <si>
    <t>FAM-E-129</t>
  </si>
  <si>
    <t>EXP-258</t>
  </si>
  <si>
    <t>EXP-259</t>
  </si>
  <si>
    <t>FAM-E-130</t>
  </si>
  <si>
    <t>EXP-260</t>
  </si>
  <si>
    <t>EXP-261</t>
  </si>
  <si>
    <t>FAM-E-131</t>
  </si>
  <si>
    <t>EXP-262</t>
  </si>
  <si>
    <t>EXP-263</t>
  </si>
  <si>
    <t>FAM-E-132</t>
  </si>
  <si>
    <t>EXP-264</t>
  </si>
  <si>
    <t>EXP-265</t>
  </si>
  <si>
    <t>FAM-E-133</t>
  </si>
  <si>
    <t>EXP-266</t>
  </si>
  <si>
    <t>EXP-267</t>
  </si>
  <si>
    <t>FAM-E-134</t>
  </si>
  <si>
    <t>EXP-268</t>
  </si>
  <si>
    <t>EXP-269</t>
  </si>
  <si>
    <t>FAM-E-135</t>
  </si>
  <si>
    <t>EXP-270</t>
  </si>
  <si>
    <t>EXP-271</t>
  </si>
  <si>
    <t>FAM-E-136</t>
  </si>
  <si>
    <t>EXP-272</t>
  </si>
  <si>
    <t>EXP-273</t>
  </si>
  <si>
    <t>FAM-E-137</t>
  </si>
  <si>
    <t>EXP-274</t>
  </si>
  <si>
    <t>EXP-275</t>
  </si>
  <si>
    <t>FAM-E-138</t>
  </si>
  <si>
    <t>EXP-276</t>
  </si>
  <si>
    <t>EXP-277</t>
  </si>
  <si>
    <t>FAM-E-139</t>
  </si>
  <si>
    <t>EXP-278</t>
  </si>
  <si>
    <t>EXP-279</t>
  </si>
  <si>
    <t>FAM-E-140</t>
  </si>
  <si>
    <t>EXP-280</t>
  </si>
  <si>
    <t>EXP-281</t>
  </si>
  <si>
    <t>FAM-E-141</t>
  </si>
  <si>
    <t>CON-001</t>
  </si>
  <si>
    <t>Control</t>
  </si>
  <si>
    <t>FAM-C-001</t>
  </si>
  <si>
    <t>CON-002</t>
  </si>
  <si>
    <t>CON-003</t>
  </si>
  <si>
    <t>FAM-C-002</t>
  </si>
  <si>
    <t>CON-004</t>
  </si>
  <si>
    <t>CON-005</t>
  </si>
  <si>
    <t>FAM-C-003</t>
  </si>
  <si>
    <t>CON-006</t>
  </si>
  <si>
    <t>CON-007</t>
  </si>
  <si>
    <t>FAM-C-004</t>
  </si>
  <si>
    <t>CON-008</t>
  </si>
  <si>
    <t>CON-009</t>
  </si>
  <si>
    <t>FAM-C-005</t>
  </si>
  <si>
    <t>CON-010</t>
  </si>
  <si>
    <t>CON-011</t>
  </si>
  <si>
    <t>FAM-C-006</t>
  </si>
  <si>
    <t>CON-012</t>
  </si>
  <si>
    <t>CON-013</t>
  </si>
  <si>
    <t>FAM-C-007</t>
  </si>
  <si>
    <t>CON-014</t>
  </si>
  <si>
    <t>CON-015</t>
  </si>
  <si>
    <t>FAM-C-008</t>
  </si>
  <si>
    <t>CON-016</t>
  </si>
  <si>
    <t>CON-017</t>
  </si>
  <si>
    <t>FAM-C-009</t>
  </si>
  <si>
    <t>CON-018</t>
  </si>
  <si>
    <t>CON-019</t>
  </si>
  <si>
    <t>FAM-C-010</t>
  </si>
  <si>
    <t>CON-020</t>
  </si>
  <si>
    <t>CON-021</t>
  </si>
  <si>
    <t>FAM-C-011</t>
  </si>
  <si>
    <t>CON-022</t>
  </si>
  <si>
    <t>CON-023</t>
  </si>
  <si>
    <t>FAM-C-012</t>
  </si>
  <si>
    <t>CON-024</t>
  </si>
  <si>
    <t>CON-025</t>
  </si>
  <si>
    <t>FAM-C-013</t>
  </si>
  <si>
    <t>CON-026</t>
  </si>
  <si>
    <t>CON-027</t>
  </si>
  <si>
    <t>FAM-C-014</t>
  </si>
  <si>
    <t>CON-028</t>
  </si>
  <si>
    <t>CON-029</t>
  </si>
  <si>
    <t>FAM-C-015</t>
  </si>
  <si>
    <t>CON-030</t>
  </si>
  <si>
    <t>CON-031</t>
  </si>
  <si>
    <t>FAM-C-016</t>
  </si>
  <si>
    <t>CON-032</t>
  </si>
  <si>
    <t>CON-033</t>
  </si>
  <si>
    <t>FAM-C-017</t>
  </si>
  <si>
    <t>CON-034</t>
  </si>
  <si>
    <t>CON-035</t>
  </si>
  <si>
    <t>FAM-C-018</t>
  </si>
  <si>
    <t>CON-036</t>
  </si>
  <si>
    <t>CON-037</t>
  </si>
  <si>
    <t>FAM-C-019</t>
  </si>
  <si>
    <t>CON-038</t>
  </si>
  <si>
    <t>CON-039</t>
  </si>
  <si>
    <t>FAM-C-020</t>
  </si>
  <si>
    <t>CON-040</t>
  </si>
  <si>
    <t>CON-041</t>
  </si>
  <si>
    <t>FAM-C-021</t>
  </si>
  <si>
    <t>CON-042</t>
  </si>
  <si>
    <t>CON-043</t>
  </si>
  <si>
    <t>FAM-C-022</t>
  </si>
  <si>
    <t>CON-044</t>
  </si>
  <si>
    <t>CON-045</t>
  </si>
  <si>
    <t>FAM-C-023</t>
  </si>
  <si>
    <t>CON-046</t>
  </si>
  <si>
    <t>CON-047</t>
  </si>
  <si>
    <t>FAM-C-024</t>
  </si>
  <si>
    <t>CON-048</t>
  </si>
  <si>
    <t>CON-049</t>
  </si>
  <si>
    <t>FAM-C-025</t>
  </si>
  <si>
    <t>CON-050</t>
  </si>
  <si>
    <t>CON-051</t>
  </si>
  <si>
    <t>FAM-C-026</t>
  </si>
  <si>
    <t>CON-052</t>
  </si>
  <si>
    <t>CON-053</t>
  </si>
  <si>
    <t>FAM-C-027</t>
  </si>
  <si>
    <t>CON-054</t>
  </si>
  <si>
    <t>CON-055</t>
  </si>
  <si>
    <t>FAM-C-028</t>
  </si>
  <si>
    <t>CON-056</t>
  </si>
  <si>
    <t>CON-057</t>
  </si>
  <si>
    <t>FAM-C-029</t>
  </si>
  <si>
    <t>CON-058</t>
  </si>
  <si>
    <t>CON-059</t>
  </si>
  <si>
    <t>FAM-C-030</t>
  </si>
  <si>
    <t>CON-060</t>
  </si>
  <si>
    <t>CON-061</t>
  </si>
  <si>
    <t>FAM-C-031</t>
  </si>
  <si>
    <t>CON-062</t>
  </si>
  <si>
    <t>CON-063</t>
  </si>
  <si>
    <t>FAM-C-032</t>
  </si>
  <si>
    <t>CON-064</t>
  </si>
  <si>
    <t>CON-065</t>
  </si>
  <si>
    <t>FAM-C-033</t>
  </si>
  <si>
    <t>CON-066</t>
  </si>
  <si>
    <t>CON-067</t>
  </si>
  <si>
    <t>FAM-C-034</t>
  </si>
  <si>
    <t>CON-068</t>
  </si>
  <si>
    <t>CON-069</t>
  </si>
  <si>
    <t>FAM-C-035</t>
  </si>
  <si>
    <t>CON-070</t>
  </si>
  <si>
    <t>CON-071</t>
  </si>
  <si>
    <t>FAM-C-036</t>
  </si>
  <si>
    <t>CON-072</t>
  </si>
  <si>
    <t>CON-073</t>
  </si>
  <si>
    <t>FAM-C-037</t>
  </si>
  <si>
    <t>CON-074</t>
  </si>
  <si>
    <t>CON-075</t>
  </si>
  <si>
    <t>FAM-C-038</t>
  </si>
  <si>
    <t>CON-076</t>
  </si>
  <si>
    <t>CON-077</t>
  </si>
  <si>
    <t>FAM-C-039</t>
  </si>
  <si>
    <t>CON-078</t>
  </si>
  <si>
    <t>CON-079</t>
  </si>
  <si>
    <t>FAM-C-040</t>
  </si>
  <si>
    <t>CON-080</t>
  </si>
  <si>
    <t>CON-081</t>
  </si>
  <si>
    <t>FAM-C-041</t>
  </si>
  <si>
    <t>CON-082</t>
  </si>
  <si>
    <t>CON-083</t>
  </si>
  <si>
    <t>FAM-C-042</t>
  </si>
  <si>
    <t>CON-084</t>
  </si>
  <si>
    <t>CON-085</t>
  </si>
  <si>
    <t>FAM-C-043</t>
  </si>
  <si>
    <t>CON-086</t>
  </si>
  <si>
    <t>CON-087</t>
  </si>
  <si>
    <t>FAM-C-044</t>
  </si>
  <si>
    <t>CON-088</t>
  </si>
  <si>
    <t>CON-089</t>
  </si>
  <si>
    <t>FAM-C-045</t>
  </si>
  <si>
    <t>CON-090</t>
  </si>
  <si>
    <t>CON-091</t>
  </si>
  <si>
    <t>FAM-C-046</t>
  </si>
  <si>
    <t>CON-092</t>
  </si>
  <si>
    <t>CON-093</t>
  </si>
  <si>
    <t>FAM-C-047</t>
  </si>
  <si>
    <t>CON-094</t>
  </si>
  <si>
    <t>CON-095</t>
  </si>
  <si>
    <t>FAM-C-048</t>
  </si>
  <si>
    <t>CON-096</t>
  </si>
  <si>
    <t>CON-097</t>
  </si>
  <si>
    <t>FAM-C-049</t>
  </si>
  <si>
    <t>CON-098</t>
  </si>
  <si>
    <t>CON-099</t>
  </si>
  <si>
    <t>FAM-C-050</t>
  </si>
  <si>
    <t>CON-100</t>
  </si>
  <si>
    <t>CON-101</t>
  </si>
  <si>
    <t>FAM-C-051</t>
  </si>
  <si>
    <t>CON-102</t>
  </si>
  <si>
    <t>CON-103</t>
  </si>
  <si>
    <t>FAM-C-052</t>
  </si>
  <si>
    <t>CON-104</t>
  </si>
  <si>
    <t>CON-105</t>
  </si>
  <si>
    <t>FAM-C-053</t>
  </si>
  <si>
    <t>CON-106</t>
  </si>
  <si>
    <t>CON-107</t>
  </si>
  <si>
    <t>FAM-C-054</t>
  </si>
  <si>
    <t>CON-108</t>
  </si>
  <si>
    <t>CON-109</t>
  </si>
  <si>
    <t>FAM-C-055</t>
  </si>
  <si>
    <t>CON-110</t>
  </si>
  <si>
    <t>CON-111</t>
  </si>
  <si>
    <t>FAM-C-056</t>
  </si>
  <si>
    <t>CON-112</t>
  </si>
  <si>
    <t>CON-113</t>
  </si>
  <si>
    <t>FAM-C-057</t>
  </si>
  <si>
    <t>CON-114</t>
  </si>
  <si>
    <t>CON-115</t>
  </si>
  <si>
    <t>FAM-C-058</t>
  </si>
  <si>
    <t>CON-116</t>
  </si>
  <si>
    <t>CON-117</t>
  </si>
  <si>
    <t>FAM-C-059</t>
  </si>
  <si>
    <t>CON-118</t>
  </si>
  <si>
    <t>CON-119</t>
  </si>
  <si>
    <t>FAM-C-060</t>
  </si>
  <si>
    <t>CON-120</t>
  </si>
  <si>
    <t>CON-121</t>
  </si>
  <si>
    <t>FAM-C-061</t>
  </si>
  <si>
    <t>CON-122</t>
  </si>
  <si>
    <t>CON-123</t>
  </si>
  <si>
    <t>FAM-C-062</t>
  </si>
  <si>
    <t>CON-124</t>
  </si>
  <si>
    <t>CON-125</t>
  </si>
  <si>
    <t>FAM-C-063</t>
  </si>
  <si>
    <t>CON-126</t>
  </si>
  <si>
    <t>CON-127</t>
  </si>
  <si>
    <t>FAM-C-064</t>
  </si>
  <si>
    <t>CON-128</t>
  </si>
  <si>
    <t>CON-129</t>
  </si>
  <si>
    <t>FAM-C-065</t>
  </si>
  <si>
    <t>CON-130</t>
  </si>
  <si>
    <t>CON-131</t>
  </si>
  <si>
    <t>FAM-C-066</t>
  </si>
  <si>
    <t>CON-132</t>
  </si>
  <si>
    <t>CON-133</t>
  </si>
  <si>
    <t>FAM-C-067</t>
  </si>
  <si>
    <t>CON-134</t>
  </si>
  <si>
    <t>CON-135</t>
  </si>
  <si>
    <t>FAM-C-068</t>
  </si>
  <si>
    <t>CON-136</t>
  </si>
  <si>
    <t>CON-137</t>
  </si>
  <si>
    <t>FAM-C-069</t>
  </si>
  <si>
    <t>CON-138</t>
  </si>
  <si>
    <t>CON-139</t>
  </si>
  <si>
    <t>FAM-C-070</t>
  </si>
  <si>
    <t>CON-140</t>
  </si>
  <si>
    <t>CON-141</t>
  </si>
  <si>
    <t>FAM-C-071</t>
  </si>
  <si>
    <t>CON-142</t>
  </si>
  <si>
    <t>CON-143</t>
  </si>
  <si>
    <t>FAM-C-072</t>
  </si>
  <si>
    <t>CON-144</t>
  </si>
  <si>
    <t>CON-145</t>
  </si>
  <si>
    <t>FAM-C-073</t>
  </si>
  <si>
    <t>CON-146</t>
  </si>
  <si>
    <t>CON-147</t>
  </si>
  <si>
    <t>FAM-C-074</t>
  </si>
  <si>
    <t>CON-148</t>
  </si>
  <si>
    <t>CON-149</t>
  </si>
  <si>
    <t>FAM-C-075</t>
  </si>
  <si>
    <t>CON-150</t>
  </si>
  <si>
    <t>CON-151</t>
  </si>
  <si>
    <t>FAM-C-076</t>
  </si>
  <si>
    <t>CON-152</t>
  </si>
  <si>
    <t>CON-153</t>
  </si>
  <si>
    <t>FAM-C-077</t>
  </si>
  <si>
    <t>CON-154</t>
  </si>
  <si>
    <t>CON-155</t>
  </si>
  <si>
    <t>FAM-C-078</t>
  </si>
  <si>
    <t>CON-156</t>
  </si>
  <si>
    <t>CON-157</t>
  </si>
  <si>
    <t>FAM-C-079</t>
  </si>
  <si>
    <t>CON-158</t>
  </si>
  <si>
    <t>CON-159</t>
  </si>
  <si>
    <t>FAM-C-080</t>
  </si>
  <si>
    <t>CON-160</t>
  </si>
  <si>
    <t>CON-161</t>
  </si>
  <si>
    <t>FAM-C-081</t>
  </si>
  <si>
    <t>CON-162</t>
  </si>
  <si>
    <t>CON-163</t>
  </si>
  <si>
    <t>FAM-C-082</t>
  </si>
  <si>
    <t>CON-164</t>
  </si>
  <si>
    <t>CON-165</t>
  </si>
  <si>
    <t>FAM-C-083</t>
  </si>
  <si>
    <t>CON-166</t>
  </si>
  <si>
    <t>CON-167</t>
  </si>
  <si>
    <t>FAM-C-084</t>
  </si>
  <si>
    <t>CON-168</t>
  </si>
  <si>
    <t>CON-169</t>
  </si>
  <si>
    <t>FAM-C-085</t>
  </si>
  <si>
    <t>CON-170</t>
  </si>
  <si>
    <t>CON-171</t>
  </si>
  <si>
    <t>FAM-C-086</t>
  </si>
  <si>
    <t>CON-172</t>
  </si>
  <si>
    <t>CON-173</t>
  </si>
  <si>
    <t>FAM-C-087</t>
  </si>
  <si>
    <t>CON-174</t>
  </si>
  <si>
    <t>CON-175</t>
  </si>
  <si>
    <t>FAM-C-088</t>
  </si>
  <si>
    <t>CON-176</t>
  </si>
  <si>
    <t>CON-177</t>
  </si>
  <si>
    <t>FAM-C-089</t>
  </si>
  <si>
    <t>CON-178</t>
  </si>
  <si>
    <t>CON-179</t>
  </si>
  <si>
    <t>FAM-C-090</t>
  </si>
  <si>
    <t>CON-180</t>
  </si>
  <si>
    <t>CON-181</t>
  </si>
  <si>
    <t>FAM-C-091</t>
  </si>
  <si>
    <t>CON-182</t>
  </si>
  <si>
    <t>CON-183</t>
  </si>
  <si>
    <t>FAM-C-092</t>
  </si>
  <si>
    <t>CON-184</t>
  </si>
  <si>
    <t>CON-185</t>
  </si>
  <si>
    <t>FAM-C-093</t>
  </si>
  <si>
    <t>CON-186</t>
  </si>
  <si>
    <t>CON-187</t>
  </si>
  <si>
    <t>FAM-C-094</t>
  </si>
  <si>
    <t>CON-188</t>
  </si>
  <si>
    <t>CON-189</t>
  </si>
  <si>
    <t>FAM-C-095</t>
  </si>
  <si>
    <t>CON-190</t>
  </si>
  <si>
    <t>CON-191</t>
  </si>
  <si>
    <t>FAM-C-096</t>
  </si>
  <si>
    <t>CON-192</t>
  </si>
  <si>
    <t>CON-193</t>
  </si>
  <si>
    <t>FAM-C-097</t>
  </si>
  <si>
    <t>CON-194</t>
  </si>
  <si>
    <t>CON-195</t>
  </si>
  <si>
    <t>FAM-C-098</t>
  </si>
  <si>
    <t>CON-196</t>
  </si>
  <si>
    <t>CON-197</t>
  </si>
  <si>
    <t>FAM-C-099</t>
  </si>
  <si>
    <t>CON-198</t>
  </si>
  <si>
    <t>CON-199</t>
  </si>
  <si>
    <t>FAM-C-100</t>
  </si>
  <si>
    <t>CON-200</t>
  </si>
  <si>
    <t>CON-201</t>
  </si>
  <si>
    <t>FAM-C-101</t>
  </si>
  <si>
    <t>CON-202</t>
  </si>
  <si>
    <t>CON-203</t>
  </si>
  <si>
    <t>FAM-C-102</t>
  </si>
  <si>
    <t>CON-204</t>
  </si>
  <si>
    <t>CON-205</t>
  </si>
  <si>
    <t>FAM-C-103</t>
  </si>
  <si>
    <t>CON-206</t>
  </si>
  <si>
    <t>CON-207</t>
  </si>
  <si>
    <t>FAM-C-104</t>
  </si>
  <si>
    <t>CON-208</t>
  </si>
  <si>
    <t>CON-209</t>
  </si>
  <si>
    <t>FAM-C-105</t>
  </si>
  <si>
    <t>CON-210</t>
  </si>
  <si>
    <t>CON-211</t>
  </si>
  <si>
    <t>FAM-C-106</t>
  </si>
  <si>
    <t>CON-212</t>
  </si>
  <si>
    <t>CON-213</t>
  </si>
  <si>
    <t>FAM-C-107</t>
  </si>
  <si>
    <t>CON-214</t>
  </si>
  <si>
    <t>CON-215</t>
  </si>
  <si>
    <t>FAM-C-108</t>
  </si>
  <si>
    <t>CON-216</t>
  </si>
  <si>
    <t>CON-217</t>
  </si>
  <si>
    <t>FAM-C-109</t>
  </si>
  <si>
    <t>CON-218</t>
  </si>
  <si>
    <t>CON-219</t>
  </si>
  <si>
    <t>FAM-C-110</t>
  </si>
  <si>
    <t>CON-220</t>
  </si>
  <si>
    <t>CON-221</t>
  </si>
  <si>
    <t>FAM-C-111</t>
  </si>
  <si>
    <t>CON-222</t>
  </si>
  <si>
    <t>CON-223</t>
  </si>
  <si>
    <t>FAM-C-112</t>
  </si>
  <si>
    <t>CON-224</t>
  </si>
  <si>
    <t>CON-225</t>
  </si>
  <si>
    <t>FAM-C-113</t>
  </si>
  <si>
    <t>CON-226</t>
  </si>
  <si>
    <t>CON-227</t>
  </si>
  <si>
    <t>FAM-C-114</t>
  </si>
  <si>
    <t>CON-228</t>
  </si>
  <si>
    <t>CON-229</t>
  </si>
  <si>
    <t>FAM-C-115</t>
  </si>
  <si>
    <t>CON-230</t>
  </si>
  <si>
    <t>CON-231</t>
  </si>
  <si>
    <t>FAM-C-116</t>
  </si>
  <si>
    <t>CON-232</t>
  </si>
  <si>
    <t>CON-233</t>
  </si>
  <si>
    <t>FAM-C-117</t>
  </si>
  <si>
    <t>CON-234</t>
  </si>
  <si>
    <t>CON-235</t>
  </si>
  <si>
    <t>FAM-C-118</t>
  </si>
  <si>
    <t>CON-236</t>
  </si>
  <si>
    <t>CON-237</t>
  </si>
  <si>
    <t>FAM-C-119</t>
  </si>
  <si>
    <t>CON-238</t>
  </si>
  <si>
    <t>CON-239</t>
  </si>
  <si>
    <t>FAM-C-120</t>
  </si>
  <si>
    <t>CON-240</t>
  </si>
  <si>
    <t>CON-241</t>
  </si>
  <si>
    <t>FAM-C-121</t>
  </si>
  <si>
    <t>CON-242</t>
  </si>
  <si>
    <t>CON-243</t>
  </si>
  <si>
    <t>FAM-C-122</t>
  </si>
  <si>
    <t>CON-244</t>
  </si>
  <si>
    <t>CON-245</t>
  </si>
  <si>
    <t>FAM-C-123</t>
  </si>
  <si>
    <t>CON-246</t>
  </si>
  <si>
    <t>CON-247</t>
  </si>
  <si>
    <t>FAM-C-124</t>
  </si>
  <si>
    <t>CON-248</t>
  </si>
  <si>
    <t>CON-249</t>
  </si>
  <si>
    <t>FAM-C-125</t>
  </si>
  <si>
    <t>CON-250</t>
  </si>
  <si>
    <t>CON-251</t>
  </si>
  <si>
    <t>FAM-C-126</t>
  </si>
  <si>
    <t>CON-252</t>
  </si>
  <si>
    <t>CON-253</t>
  </si>
  <si>
    <t>FAM-C-127</t>
  </si>
  <si>
    <t>CON-254</t>
  </si>
  <si>
    <t>CON-255</t>
  </si>
  <si>
    <t>FAM-C-128</t>
  </si>
  <si>
    <t>CON-256</t>
  </si>
  <si>
    <t>CON-257</t>
  </si>
  <si>
    <t>FAM-C-129</t>
  </si>
  <si>
    <t>CON-258</t>
  </si>
  <si>
    <t>CON-259</t>
  </si>
  <si>
    <t>FAM-C-130</t>
  </si>
  <si>
    <t>CON-260</t>
  </si>
  <si>
    <t>CON-261</t>
  </si>
  <si>
    <t>FAM-C-131</t>
  </si>
  <si>
    <t>CON-262</t>
  </si>
  <si>
    <t>CON-263</t>
  </si>
  <si>
    <t>FAM-C-132</t>
  </si>
  <si>
    <t>CON-264</t>
  </si>
  <si>
    <t>CON-265</t>
  </si>
  <si>
    <t>FAM-C-133</t>
  </si>
  <si>
    <t>CON-266</t>
  </si>
  <si>
    <t>CON-267</t>
  </si>
  <si>
    <t>FAM-C-134</t>
  </si>
  <si>
    <t>CON-268</t>
  </si>
  <si>
    <t>CON-269</t>
  </si>
  <si>
    <t>FAM-C-135</t>
  </si>
  <si>
    <t>CON-270</t>
  </si>
  <si>
    <t>CON-271</t>
  </si>
  <si>
    <t>FAM-C-136</t>
  </si>
  <si>
    <t>CON-272</t>
  </si>
  <si>
    <t>CON-273</t>
  </si>
  <si>
    <t>FAM-C-137</t>
  </si>
  <si>
    <t>CON-274</t>
  </si>
  <si>
    <t>CON-275</t>
  </si>
  <si>
    <t>FAM-C-138</t>
  </si>
  <si>
    <t>CON-276</t>
  </si>
  <si>
    <t>CON-277</t>
  </si>
  <si>
    <t>FAM-C-139</t>
  </si>
  <si>
    <t>CON-278</t>
  </si>
  <si>
    <t>CON-279</t>
  </si>
  <si>
    <t>FAM-C-140</t>
  </si>
  <si>
    <t>CON-280</t>
  </si>
  <si>
    <t>CON-281</t>
  </si>
  <si>
    <t>FAM-C-141</t>
  </si>
  <si>
    <t>fisico_pre_4_20</t>
  </si>
  <si>
    <t>fisico_post_4_20</t>
  </si>
  <si>
    <t>fisico_pre_0_100</t>
  </si>
  <si>
    <t>fisico_post_0_100</t>
  </si>
  <si>
    <t>fisico_variacion_pct</t>
  </si>
  <si>
    <t>psicologico_pre_4_20</t>
  </si>
  <si>
    <t>psicologico_post_4_20</t>
  </si>
  <si>
    <t>psicologico_pre_0_100</t>
  </si>
  <si>
    <t>psicologico_post_0_100</t>
  </si>
  <si>
    <t>psicologico_variacion_pct</t>
  </si>
  <si>
    <t>relaciones_pre_4_20</t>
  </si>
  <si>
    <t>relaciones_post_4_20</t>
  </si>
  <si>
    <t>relaciones_pre_0_100</t>
  </si>
  <si>
    <t>relaciones_post_0_100</t>
  </si>
  <si>
    <t>relaciones_variacion_pct</t>
  </si>
  <si>
    <t>entorno_pre_4_20</t>
  </si>
  <si>
    <t>entorno_post_4_20</t>
  </si>
  <si>
    <t>entorno_pre_0_100</t>
  </si>
  <si>
    <t>entorno_post_0_100</t>
  </si>
  <si>
    <t>entorno_variacion_pct</t>
  </si>
  <si>
    <t>calidad_vida_global_pre_0_100</t>
  </si>
  <si>
    <t>calidad_vida_global_post_0_100</t>
  </si>
  <si>
    <t>calidad_vida_global_variacion_pct</t>
  </si>
  <si>
    <t>qol_general_pre</t>
  </si>
  <si>
    <t>qol_general_post</t>
  </si>
  <si>
    <t>salud_general_pre</t>
  </si>
  <si>
    <t>salud_general_post</t>
  </si>
  <si>
    <t>Grupo</t>
  </si>
  <si>
    <t>Dimensión</t>
  </si>
  <si>
    <t>Pretest promedio (0-100)</t>
  </si>
  <si>
    <t>Postest promedio (0-100)</t>
  </si>
  <si>
    <t>Variación (%)</t>
  </si>
  <si>
    <t>Lectura sugerida</t>
  </si>
  <si>
    <t>Bienestar físico</t>
  </si>
  <si>
    <t>Mejora favorable esperada en grupo experimental</t>
  </si>
  <si>
    <t>Bienestar psicológico</t>
  </si>
  <si>
    <t>Relaciones sociales</t>
  </si>
  <si>
    <t>Entorno</t>
  </si>
  <si>
    <t>Calidad de vida global</t>
  </si>
  <si>
    <t>Cambio mínimo esperado en grupo control</t>
  </si>
  <si>
    <t>Dominio</t>
  </si>
  <si>
    <t>Ítems</t>
  </si>
  <si>
    <t>Recodificación</t>
  </si>
  <si>
    <t>Fórmula 4-20</t>
  </si>
  <si>
    <t>Q3, Q4, Q10, Q15, Q16, Q17, Q18</t>
  </si>
  <si>
    <t>Q3 y Q4 se recodifican como 6-respuesta</t>
  </si>
  <si>
    <t>4*((6-Q3 + 6-Q4 + Q10 + Q15 + Q16 + Q17 + Q18)/7)</t>
  </si>
  <si>
    <t>Q5, Q6, Q7, Q11, Q19, Q26</t>
  </si>
  <si>
    <t>Q26 se recodifica como 6-respuesta</t>
  </si>
  <si>
    <t>4*((Q5 + Q6 + Q7 + Q11 + Q19 + 6-Q26)/6)</t>
  </si>
  <si>
    <t>Q20, Q21, Q22</t>
  </si>
  <si>
    <t>Sin recodificación</t>
  </si>
  <si>
    <t>4*((Q20 + Q21 + Q22)/3)</t>
  </si>
  <si>
    <t>Q8, Q9, Q12, Q13, Q14, Q23, Q24, Q25</t>
  </si>
  <si>
    <t>4*((Q8 + Q9 + Q12 + Q13 + Q14 + Q23 + Q24 + Q25)/8)</t>
  </si>
  <si>
    <t>Promedio de los cuatro dominios transformados 0-100</t>
  </si>
  <si>
    <t>No corresponde</t>
  </si>
  <si>
    <t>PROMEDIO(físico, psicológico, relaciones, entorno)</t>
  </si>
  <si>
    <t>Ítems globales</t>
  </si>
  <si>
    <t>Q1 calidad de vida global; Q2 salud general</t>
  </si>
  <si>
    <t>Se reportan por separado</t>
  </si>
  <si>
    <t>No entran directamente en los dominios principales</t>
  </si>
  <si>
    <t>Transformación 0-100</t>
  </si>
  <si>
    <t>A partir del puntaje 4-20</t>
  </si>
  <si>
    <t>(Puntaje_4_20 - 4) * 100 / 16</t>
  </si>
  <si>
    <t>Tabla 6.4.5. Calidad de vida percibida por dimensiones del WHOQOL-BREF</t>
  </si>
  <si>
    <t>Dimensión WHOQOL-BREF</t>
  </si>
  <si>
    <t>Experimental pretest</t>
  </si>
  <si>
    <t>Experimental postest</t>
  </si>
  <si>
    <t>Variación experimental</t>
  </si>
  <si>
    <t>Control pretest</t>
  </si>
  <si>
    <t>Control postest</t>
  </si>
  <si>
    <t>Variación control</t>
  </si>
  <si>
    <t>Interpretación</t>
  </si>
  <si>
    <t>Mejora moderada asociada a bienestar cotidiano y menor carga percibida.</t>
  </si>
  <si>
    <t>Mejora más clara; congruente con reducciones de estrés, ansiedad y depresión.</t>
  </si>
  <si>
    <t>Evolución favorable; congruente con aumento de apoyo social percibido.</t>
  </si>
  <si>
    <t>Mejora moderada vinculada con disponibilidad de recursos y acompañamiento contextual.</t>
  </si>
  <si>
    <t>Síntesis de la evolución general de calidad de vida percibida.</t>
  </si>
  <si>
    <t>Nota metodológica</t>
  </si>
  <si>
    <t>Los puntajes se expresan en escala 0–100. Los dominios fueron calculados conforme al mapeo WHOQOL-BREF descrito en la hoja 04_Mapeo_WHOQOL.</t>
  </si>
  <si>
    <t>Fuente</t>
  </si>
  <si>
    <t>Resumen sintético WHOQOL-BREF neuroguIA</t>
  </si>
  <si>
    <t>Muestra total</t>
  </si>
  <si>
    <t>Escala</t>
  </si>
  <si>
    <t>0–100</t>
  </si>
  <si>
    <t>WHOQOL-BREF</t>
  </si>
  <si>
    <t>Tipo de datos</t>
  </si>
  <si>
    <t>Sintéticos/modelados</t>
  </si>
  <si>
    <t>Experimental pre</t>
  </si>
  <si>
    <t>Experimental post</t>
  </si>
  <si>
    <t>Variación exp.</t>
  </si>
  <si>
    <t>Control pre</t>
  </si>
  <si>
    <t>Control post</t>
  </si>
  <si>
    <t>Variación ctrl.</t>
  </si>
  <si>
    <t>Elaboración propia con base en estructura WHOQOL-BREF reportada para neuroguIA durante el periodo experimental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</si>
</sst>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color rgb="FF1F2937"/>
      <name val="Carlito"/>
    </font>
    <font>
      <b/>
      <sz val="11"/>
      <color rgb="FFFFFFFF"/>
      <name val="Carlito"/>
    </font>
    <font>
      <b/>
      <sz val="15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5B3C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2" fontId="1" fillId="0" borderId="0" xfId="0" applyNumberFormat="1" applyFont="1" applyAlignment="1">
      <alignment vertical="top" wrapText="1"/>
    </xf>
    <xf numFmtId="10" fontId="1" fillId="0" borderId="0" xfId="0" applyNumberFormat="1" applyFont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2" fontId="1" fillId="0" borderId="0" xfId="0" applyNumberFormat="1" applyFont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7" sqref="A7"/>
    </sheetView>
  </sheetViews>
  <sheetFormatPr baseColWidth="10" defaultColWidth="8.796875" defaultRowHeight="13.8"/>
  <cols>
    <col min="1" max="1" width="24" style="7" customWidth="1"/>
    <col min="2" max="2" width="90" style="7" customWidth="1"/>
    <col min="3" max="16384" width="8.796875" style="7"/>
  </cols>
  <sheetData>
    <row r="1" spans="1:2" ht="24" customHeight="1">
      <c r="A1" s="2" t="s">
        <v>0</v>
      </c>
      <c r="B1" s="2" t="s">
        <v>1</v>
      </c>
    </row>
    <row r="2" spans="1:2" ht="30" customHeight="1">
      <c r="A2" s="8" t="s">
        <v>2</v>
      </c>
      <c r="B2" s="8" t="s">
        <v>3</v>
      </c>
    </row>
    <row r="3" spans="1:2" ht="30" customHeight="1">
      <c r="A3" s="8" t="s">
        <v>4</v>
      </c>
      <c r="B3" s="8" t="s">
        <v>5</v>
      </c>
    </row>
    <row r="4" spans="1:2" ht="30" customHeight="1">
      <c r="A4" s="8" t="s">
        <v>6</v>
      </c>
      <c r="B4" s="8" t="s">
        <v>7</v>
      </c>
    </row>
    <row r="5" spans="1:2" ht="30" customHeight="1">
      <c r="A5" s="8" t="s">
        <v>8</v>
      </c>
      <c r="B5" s="8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563"/>
  <sheetViews>
    <sheetView workbookViewId="0"/>
  </sheetViews>
  <sheetFormatPr baseColWidth="10" defaultColWidth="8.796875" defaultRowHeight="13.8"/>
  <cols>
    <col min="1" max="3" width="16" customWidth="1"/>
    <col min="4" max="55" width="9" customWidth="1"/>
  </cols>
  <sheetData>
    <row r="1" spans="1:5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  <c r="AB1" s="2" t="s">
        <v>37</v>
      </c>
      <c r="AC1" s="2" t="s">
        <v>38</v>
      </c>
      <c r="AD1" s="2" t="s">
        <v>39</v>
      </c>
      <c r="AE1" s="2" t="s">
        <v>40</v>
      </c>
      <c r="AF1" s="2" t="s">
        <v>41</v>
      </c>
      <c r="AG1" s="2" t="s">
        <v>42</v>
      </c>
      <c r="AH1" s="2" t="s">
        <v>43</v>
      </c>
      <c r="AI1" s="2" t="s">
        <v>44</v>
      </c>
      <c r="AJ1" s="2" t="s">
        <v>45</v>
      </c>
      <c r="AK1" s="2" t="s">
        <v>46</v>
      </c>
      <c r="AL1" s="2" t="s">
        <v>47</v>
      </c>
      <c r="AM1" s="2" t="s">
        <v>48</v>
      </c>
      <c r="AN1" s="2" t="s">
        <v>49</v>
      </c>
      <c r="AO1" s="2" t="s">
        <v>50</v>
      </c>
      <c r="AP1" s="2" t="s">
        <v>51</v>
      </c>
      <c r="AQ1" s="2" t="s">
        <v>52</v>
      </c>
      <c r="AR1" s="2" t="s">
        <v>53</v>
      </c>
      <c r="AS1" s="2" t="s">
        <v>54</v>
      </c>
      <c r="AT1" s="2" t="s">
        <v>55</v>
      </c>
      <c r="AU1" s="2" t="s">
        <v>56</v>
      </c>
      <c r="AV1" s="2" t="s">
        <v>57</v>
      </c>
      <c r="AW1" s="2" t="s">
        <v>58</v>
      </c>
      <c r="AX1" s="2" t="s">
        <v>59</v>
      </c>
      <c r="AY1" s="2" t="s">
        <v>60</v>
      </c>
      <c r="AZ1" s="2" t="s">
        <v>61</v>
      </c>
      <c r="BA1" s="2" t="s">
        <v>62</v>
      </c>
      <c r="BB1" s="2" t="s">
        <v>63</v>
      </c>
      <c r="BC1" s="2" t="s">
        <v>64</v>
      </c>
    </row>
    <row r="2" spans="1:55">
      <c r="A2" s="1" t="s">
        <v>65</v>
      </c>
      <c r="B2" s="1" t="s">
        <v>66</v>
      </c>
      <c r="C2" s="1" t="s">
        <v>67</v>
      </c>
      <c r="D2" s="1">
        <v>3</v>
      </c>
      <c r="E2" s="1">
        <v>3</v>
      </c>
      <c r="F2" s="1">
        <v>4</v>
      </c>
      <c r="G2" s="1">
        <v>4</v>
      </c>
      <c r="H2" s="1">
        <v>2</v>
      </c>
      <c r="I2" s="1">
        <v>3</v>
      </c>
      <c r="J2" s="1">
        <v>2</v>
      </c>
      <c r="K2" s="1">
        <v>4</v>
      </c>
      <c r="L2" s="1">
        <v>3</v>
      </c>
      <c r="M2" s="1">
        <v>3</v>
      </c>
      <c r="N2" s="1">
        <v>2</v>
      </c>
      <c r="O2" s="1">
        <v>3</v>
      </c>
      <c r="P2" s="1">
        <v>3</v>
      </c>
      <c r="Q2" s="1">
        <v>3</v>
      </c>
      <c r="R2" s="1">
        <v>2</v>
      </c>
      <c r="S2" s="1">
        <v>3</v>
      </c>
      <c r="T2" s="1">
        <v>3</v>
      </c>
      <c r="U2" s="1">
        <v>3</v>
      </c>
      <c r="V2" s="1">
        <v>2</v>
      </c>
      <c r="W2" s="1">
        <v>3</v>
      </c>
      <c r="X2" s="1">
        <v>3</v>
      </c>
      <c r="Y2" s="1">
        <v>3</v>
      </c>
      <c r="Z2" s="1">
        <v>3</v>
      </c>
      <c r="AA2" s="1">
        <v>3</v>
      </c>
      <c r="AB2" s="1">
        <v>3</v>
      </c>
      <c r="AC2" s="1">
        <v>4</v>
      </c>
      <c r="AD2" s="1">
        <v>2</v>
      </c>
      <c r="AE2" s="1">
        <v>3</v>
      </c>
      <c r="AF2" s="1">
        <v>3</v>
      </c>
      <c r="AG2" s="1">
        <v>2</v>
      </c>
      <c r="AH2" s="1">
        <v>3</v>
      </c>
      <c r="AI2" s="1">
        <v>3</v>
      </c>
      <c r="AJ2" s="1">
        <v>3</v>
      </c>
      <c r="AK2" s="1">
        <v>1</v>
      </c>
      <c r="AL2" s="1">
        <v>3</v>
      </c>
      <c r="AM2" s="1">
        <v>3</v>
      </c>
      <c r="AN2" s="1">
        <v>4</v>
      </c>
      <c r="AO2" s="1">
        <v>2</v>
      </c>
      <c r="AP2" s="1">
        <v>2</v>
      </c>
      <c r="AQ2" s="1">
        <v>4</v>
      </c>
      <c r="AR2" s="1">
        <v>3</v>
      </c>
      <c r="AS2" s="1">
        <v>3</v>
      </c>
      <c r="AT2" s="1">
        <v>3</v>
      </c>
      <c r="AU2" s="1">
        <v>4</v>
      </c>
      <c r="AV2" s="1">
        <v>3</v>
      </c>
      <c r="AW2" s="1">
        <v>4</v>
      </c>
      <c r="AX2" s="1">
        <v>3</v>
      </c>
      <c r="AY2" s="1">
        <v>3</v>
      </c>
      <c r="AZ2" s="1">
        <v>2</v>
      </c>
      <c r="BA2" s="1">
        <v>4</v>
      </c>
      <c r="BB2" s="1">
        <v>2</v>
      </c>
      <c r="BC2" s="1">
        <v>3</v>
      </c>
    </row>
    <row r="3" spans="1:55">
      <c r="A3" s="1" t="s">
        <v>68</v>
      </c>
      <c r="B3" s="1" t="s">
        <v>66</v>
      </c>
      <c r="C3" s="1" t="s">
        <v>67</v>
      </c>
      <c r="D3" s="1">
        <v>3</v>
      </c>
      <c r="E3" s="1">
        <v>2</v>
      </c>
      <c r="F3" s="1">
        <v>4</v>
      </c>
      <c r="G3" s="1">
        <v>3</v>
      </c>
      <c r="H3" s="1">
        <v>3</v>
      </c>
      <c r="I3" s="1">
        <v>2</v>
      </c>
      <c r="J3" s="1">
        <v>3</v>
      </c>
      <c r="K3" s="1">
        <v>4</v>
      </c>
      <c r="L3" s="1">
        <v>3</v>
      </c>
      <c r="M3" s="1">
        <v>2</v>
      </c>
      <c r="N3" s="1">
        <v>2</v>
      </c>
      <c r="O3" s="1">
        <v>3</v>
      </c>
      <c r="P3" s="1">
        <v>3</v>
      </c>
      <c r="Q3" s="1">
        <v>4</v>
      </c>
      <c r="R3" s="1">
        <v>2</v>
      </c>
      <c r="S3" s="1">
        <v>2</v>
      </c>
      <c r="T3" s="1">
        <v>2</v>
      </c>
      <c r="U3" s="1">
        <v>3</v>
      </c>
      <c r="V3" s="1">
        <v>3</v>
      </c>
      <c r="W3" s="1">
        <v>3</v>
      </c>
      <c r="X3" s="1">
        <v>3</v>
      </c>
      <c r="Y3" s="1">
        <v>3</v>
      </c>
      <c r="Z3" s="1">
        <v>3</v>
      </c>
      <c r="AA3" s="1">
        <v>3</v>
      </c>
      <c r="AB3" s="1">
        <v>3</v>
      </c>
      <c r="AC3" s="1">
        <v>3</v>
      </c>
      <c r="AD3" s="1">
        <v>3</v>
      </c>
      <c r="AE3" s="1">
        <v>3</v>
      </c>
      <c r="AF3" s="1">
        <v>4</v>
      </c>
      <c r="AG3" s="1">
        <v>4</v>
      </c>
      <c r="AH3" s="1">
        <v>3</v>
      </c>
      <c r="AI3" s="1">
        <v>4</v>
      </c>
      <c r="AJ3" s="1">
        <v>4</v>
      </c>
      <c r="AK3" s="1">
        <v>5</v>
      </c>
      <c r="AL3" s="1">
        <v>3</v>
      </c>
      <c r="AM3" s="1">
        <v>3</v>
      </c>
      <c r="AN3" s="1">
        <v>4</v>
      </c>
      <c r="AO3" s="1">
        <v>4</v>
      </c>
      <c r="AP3" s="1">
        <v>4</v>
      </c>
      <c r="AQ3" s="1">
        <v>4</v>
      </c>
      <c r="AR3" s="1">
        <v>3</v>
      </c>
      <c r="AS3" s="1">
        <v>2</v>
      </c>
      <c r="AT3" s="1">
        <v>2</v>
      </c>
      <c r="AU3" s="1">
        <v>2</v>
      </c>
      <c r="AV3" s="1">
        <v>4</v>
      </c>
      <c r="AW3" s="1">
        <v>4</v>
      </c>
      <c r="AX3" s="1">
        <v>4</v>
      </c>
      <c r="AY3" s="1">
        <v>4</v>
      </c>
      <c r="AZ3" s="1">
        <v>4</v>
      </c>
      <c r="BA3" s="1">
        <v>4</v>
      </c>
      <c r="BB3" s="1">
        <v>3</v>
      </c>
      <c r="BC3" s="1">
        <v>3</v>
      </c>
    </row>
    <row r="4" spans="1:55">
      <c r="A4" s="1" t="s">
        <v>69</v>
      </c>
      <c r="B4" s="1" t="s">
        <v>66</v>
      </c>
      <c r="C4" s="1" t="s">
        <v>70</v>
      </c>
      <c r="D4" s="1">
        <v>3</v>
      </c>
      <c r="E4" s="1">
        <v>3</v>
      </c>
      <c r="F4" s="1">
        <v>3</v>
      </c>
      <c r="G4" s="1">
        <v>3</v>
      </c>
      <c r="H4" s="1">
        <v>2</v>
      </c>
      <c r="I4" s="1">
        <v>3</v>
      </c>
      <c r="J4" s="1">
        <v>3</v>
      </c>
      <c r="K4" s="1">
        <v>3</v>
      </c>
      <c r="L4" s="1">
        <v>4</v>
      </c>
      <c r="M4" s="1">
        <v>3</v>
      </c>
      <c r="N4" s="1">
        <v>3</v>
      </c>
      <c r="O4" s="1">
        <v>3</v>
      </c>
      <c r="P4" s="1">
        <v>3</v>
      </c>
      <c r="Q4" s="1">
        <v>4</v>
      </c>
      <c r="R4" s="1">
        <v>2</v>
      </c>
      <c r="S4" s="1">
        <v>3</v>
      </c>
      <c r="T4" s="1">
        <v>3</v>
      </c>
      <c r="U4" s="1">
        <v>3</v>
      </c>
      <c r="V4" s="1">
        <v>4</v>
      </c>
      <c r="W4" s="1">
        <v>2</v>
      </c>
      <c r="X4" s="1">
        <v>2</v>
      </c>
      <c r="Y4" s="1">
        <v>3</v>
      </c>
      <c r="Z4" s="1">
        <v>3</v>
      </c>
      <c r="AA4" s="1">
        <v>3</v>
      </c>
      <c r="AB4" s="1">
        <v>4</v>
      </c>
      <c r="AC4" s="1">
        <v>4</v>
      </c>
      <c r="AD4" s="1">
        <v>3</v>
      </c>
      <c r="AE4" s="1">
        <v>4</v>
      </c>
      <c r="AF4" s="1">
        <v>3</v>
      </c>
      <c r="AG4" s="1">
        <v>2</v>
      </c>
      <c r="AH4" s="1">
        <v>3</v>
      </c>
      <c r="AI4" s="1">
        <v>4</v>
      </c>
      <c r="AJ4" s="1">
        <v>3</v>
      </c>
      <c r="AK4" s="1">
        <v>4</v>
      </c>
      <c r="AL4" s="1">
        <v>4</v>
      </c>
      <c r="AM4" s="1">
        <v>4</v>
      </c>
      <c r="AN4" s="1">
        <v>4</v>
      </c>
      <c r="AO4" s="1">
        <v>3</v>
      </c>
      <c r="AP4" s="1">
        <v>4</v>
      </c>
      <c r="AQ4" s="1">
        <v>4</v>
      </c>
      <c r="AR4" s="1">
        <v>2</v>
      </c>
      <c r="AS4" s="1">
        <v>4</v>
      </c>
      <c r="AT4" s="1">
        <v>3</v>
      </c>
      <c r="AU4" s="1">
        <v>3</v>
      </c>
      <c r="AV4" s="1">
        <v>3</v>
      </c>
      <c r="AW4" s="1">
        <v>3</v>
      </c>
      <c r="AX4" s="1">
        <v>2</v>
      </c>
      <c r="AY4" s="1">
        <v>2</v>
      </c>
      <c r="AZ4" s="1">
        <v>3</v>
      </c>
      <c r="BA4" s="1">
        <v>4</v>
      </c>
      <c r="BB4" s="1">
        <v>4</v>
      </c>
      <c r="BC4" s="1">
        <v>3</v>
      </c>
    </row>
    <row r="5" spans="1:55">
      <c r="A5" s="1" t="s">
        <v>71</v>
      </c>
      <c r="B5" s="1" t="s">
        <v>66</v>
      </c>
      <c r="C5" s="1" t="s">
        <v>70</v>
      </c>
      <c r="D5" s="1">
        <v>3</v>
      </c>
      <c r="E5" s="1">
        <v>3</v>
      </c>
      <c r="F5" s="1">
        <v>3</v>
      </c>
      <c r="G5" s="1">
        <v>3</v>
      </c>
      <c r="H5" s="1">
        <v>4</v>
      </c>
      <c r="I5" s="1">
        <v>3</v>
      </c>
      <c r="J5" s="1">
        <v>3</v>
      </c>
      <c r="K5" s="1">
        <v>2</v>
      </c>
      <c r="L5" s="1">
        <v>3</v>
      </c>
      <c r="M5" s="1">
        <v>4</v>
      </c>
      <c r="N5" s="1">
        <v>3</v>
      </c>
      <c r="O5" s="1">
        <v>4</v>
      </c>
      <c r="P5" s="1">
        <v>3</v>
      </c>
      <c r="Q5" s="1">
        <v>2</v>
      </c>
      <c r="R5" s="1">
        <v>3</v>
      </c>
      <c r="S5" s="1">
        <v>3</v>
      </c>
      <c r="T5" s="1">
        <v>2</v>
      </c>
      <c r="U5" s="1">
        <v>3</v>
      </c>
      <c r="V5" s="1">
        <v>4</v>
      </c>
      <c r="W5" s="1">
        <v>4</v>
      </c>
      <c r="X5" s="1">
        <v>4</v>
      </c>
      <c r="Y5" s="1">
        <v>4</v>
      </c>
      <c r="Z5" s="1">
        <v>3</v>
      </c>
      <c r="AA5" s="1">
        <v>4</v>
      </c>
      <c r="AB5" s="1">
        <v>4</v>
      </c>
      <c r="AC5" s="1">
        <v>2</v>
      </c>
      <c r="AD5" s="1">
        <v>4</v>
      </c>
      <c r="AE5" s="1">
        <v>4</v>
      </c>
      <c r="AF5" s="1">
        <v>2</v>
      </c>
      <c r="AG5" s="1">
        <v>3</v>
      </c>
      <c r="AH5" s="1">
        <v>4</v>
      </c>
      <c r="AI5" s="1">
        <v>4</v>
      </c>
      <c r="AJ5" s="1">
        <v>5</v>
      </c>
      <c r="AK5" s="1">
        <v>3</v>
      </c>
      <c r="AL5" s="1">
        <v>4</v>
      </c>
      <c r="AM5" s="1">
        <v>4</v>
      </c>
      <c r="AN5" s="1">
        <v>4</v>
      </c>
      <c r="AO5" s="1">
        <v>2</v>
      </c>
      <c r="AP5" s="1">
        <v>3</v>
      </c>
      <c r="AQ5" s="1">
        <v>3</v>
      </c>
      <c r="AR5" s="1">
        <v>4</v>
      </c>
      <c r="AS5" s="1">
        <v>4</v>
      </c>
      <c r="AT5" s="1">
        <v>3</v>
      </c>
      <c r="AU5" s="1">
        <v>4</v>
      </c>
      <c r="AV5" s="1">
        <v>4</v>
      </c>
      <c r="AW5" s="1">
        <v>5</v>
      </c>
      <c r="AX5" s="1">
        <v>5</v>
      </c>
      <c r="AY5" s="1">
        <v>5</v>
      </c>
      <c r="AZ5" s="1">
        <v>3</v>
      </c>
      <c r="BA5" s="1">
        <v>4</v>
      </c>
      <c r="BB5" s="1">
        <v>3</v>
      </c>
      <c r="BC5" s="1">
        <v>2</v>
      </c>
    </row>
    <row r="6" spans="1:55">
      <c r="A6" s="1" t="s">
        <v>72</v>
      </c>
      <c r="B6" s="1" t="s">
        <v>66</v>
      </c>
      <c r="C6" s="1" t="s">
        <v>73</v>
      </c>
      <c r="D6" s="1">
        <v>3</v>
      </c>
      <c r="E6" s="1">
        <v>3</v>
      </c>
      <c r="F6" s="1">
        <v>2</v>
      </c>
      <c r="G6" s="1">
        <v>2</v>
      </c>
      <c r="H6" s="1">
        <v>3</v>
      </c>
      <c r="I6" s="1">
        <v>3</v>
      </c>
      <c r="J6" s="1">
        <v>3</v>
      </c>
      <c r="K6" s="1">
        <v>3</v>
      </c>
      <c r="L6" s="1">
        <v>2</v>
      </c>
      <c r="M6" s="1">
        <v>4</v>
      </c>
      <c r="N6" s="1">
        <v>3</v>
      </c>
      <c r="O6" s="1">
        <v>2</v>
      </c>
      <c r="P6" s="1">
        <v>3</v>
      </c>
      <c r="Q6" s="1">
        <v>1</v>
      </c>
      <c r="R6" s="1">
        <v>4</v>
      </c>
      <c r="S6" s="1">
        <v>4</v>
      </c>
      <c r="T6" s="1">
        <v>4</v>
      </c>
      <c r="U6" s="1">
        <v>4</v>
      </c>
      <c r="V6" s="1">
        <v>3</v>
      </c>
      <c r="W6" s="1">
        <v>3</v>
      </c>
      <c r="X6" s="1">
        <v>4</v>
      </c>
      <c r="Y6" s="1">
        <v>3</v>
      </c>
      <c r="Z6" s="1">
        <v>2</v>
      </c>
      <c r="AA6" s="1">
        <v>2</v>
      </c>
      <c r="AB6" s="1">
        <v>2</v>
      </c>
      <c r="AC6" s="1">
        <v>3</v>
      </c>
      <c r="AD6" s="1">
        <v>3</v>
      </c>
      <c r="AE6" s="1">
        <v>3</v>
      </c>
      <c r="AF6" s="1">
        <v>3</v>
      </c>
      <c r="AG6" s="1">
        <v>3</v>
      </c>
      <c r="AH6" s="1">
        <v>3</v>
      </c>
      <c r="AI6" s="1">
        <v>4</v>
      </c>
      <c r="AJ6" s="1">
        <v>4</v>
      </c>
      <c r="AK6" s="1">
        <v>3</v>
      </c>
      <c r="AL6" s="1">
        <v>3</v>
      </c>
      <c r="AM6" s="1">
        <v>4</v>
      </c>
      <c r="AN6" s="1">
        <v>4</v>
      </c>
      <c r="AO6" s="1">
        <v>3</v>
      </c>
      <c r="AP6" s="1">
        <v>2</v>
      </c>
      <c r="AQ6" s="1">
        <v>3</v>
      </c>
      <c r="AR6" s="1">
        <v>4</v>
      </c>
      <c r="AS6" s="1">
        <v>3</v>
      </c>
      <c r="AT6" s="1">
        <v>3</v>
      </c>
      <c r="AU6" s="1">
        <v>3</v>
      </c>
      <c r="AV6" s="1">
        <v>4</v>
      </c>
      <c r="AW6" s="1">
        <v>3</v>
      </c>
      <c r="AX6" s="1">
        <v>5</v>
      </c>
      <c r="AY6" s="1">
        <v>3</v>
      </c>
      <c r="AZ6" s="1">
        <v>3</v>
      </c>
      <c r="BA6" s="1">
        <v>4</v>
      </c>
      <c r="BB6" s="1">
        <v>3</v>
      </c>
      <c r="BC6" s="1">
        <v>2</v>
      </c>
    </row>
    <row r="7" spans="1:55">
      <c r="A7" s="1" t="s">
        <v>74</v>
      </c>
      <c r="B7" s="1" t="s">
        <v>66</v>
      </c>
      <c r="C7" s="1" t="s">
        <v>73</v>
      </c>
      <c r="D7" s="1">
        <v>3</v>
      </c>
      <c r="E7" s="1">
        <v>3</v>
      </c>
      <c r="F7" s="1">
        <v>3</v>
      </c>
      <c r="G7" s="1">
        <v>3</v>
      </c>
      <c r="H7" s="1">
        <v>3</v>
      </c>
      <c r="I7" s="1">
        <v>3</v>
      </c>
      <c r="J7" s="1">
        <v>3</v>
      </c>
      <c r="K7" s="1">
        <v>3</v>
      </c>
      <c r="L7" s="1">
        <v>4</v>
      </c>
      <c r="M7" s="1">
        <v>2</v>
      </c>
      <c r="N7" s="1">
        <v>4</v>
      </c>
      <c r="O7" s="1">
        <v>2</v>
      </c>
      <c r="P7" s="1">
        <v>3</v>
      </c>
      <c r="Q7" s="1">
        <v>4</v>
      </c>
      <c r="R7" s="1">
        <v>2</v>
      </c>
      <c r="S7" s="1">
        <v>3</v>
      </c>
      <c r="T7" s="1">
        <v>3</v>
      </c>
      <c r="U7" s="1">
        <v>3</v>
      </c>
      <c r="V7" s="1">
        <v>3</v>
      </c>
      <c r="W7" s="1">
        <v>3</v>
      </c>
      <c r="X7" s="1">
        <v>3</v>
      </c>
      <c r="Y7" s="1">
        <v>3</v>
      </c>
      <c r="Z7" s="1">
        <v>3</v>
      </c>
      <c r="AA7" s="1">
        <v>3</v>
      </c>
      <c r="AB7" s="1">
        <v>3</v>
      </c>
      <c r="AC7" s="1">
        <v>4</v>
      </c>
      <c r="AD7" s="1">
        <v>3</v>
      </c>
      <c r="AE7" s="1">
        <v>2</v>
      </c>
      <c r="AF7" s="1">
        <v>3</v>
      </c>
      <c r="AG7" s="1">
        <v>4</v>
      </c>
      <c r="AH7" s="1">
        <v>3</v>
      </c>
      <c r="AI7" s="1">
        <v>2</v>
      </c>
      <c r="AJ7" s="1">
        <v>3</v>
      </c>
      <c r="AK7" s="1">
        <v>3</v>
      </c>
      <c r="AL7" s="1">
        <v>4</v>
      </c>
      <c r="AM7" s="1">
        <v>3</v>
      </c>
      <c r="AN7" s="1">
        <v>4</v>
      </c>
      <c r="AO7" s="1">
        <v>4</v>
      </c>
      <c r="AP7" s="1">
        <v>3</v>
      </c>
      <c r="AQ7" s="1">
        <v>4</v>
      </c>
      <c r="AR7" s="1">
        <v>3</v>
      </c>
      <c r="AS7" s="1">
        <v>3</v>
      </c>
      <c r="AT7" s="1">
        <v>3</v>
      </c>
      <c r="AU7" s="1">
        <v>3</v>
      </c>
      <c r="AV7" s="1">
        <v>3</v>
      </c>
      <c r="AW7" s="1">
        <v>4</v>
      </c>
      <c r="AX7" s="1">
        <v>4</v>
      </c>
      <c r="AY7" s="1">
        <v>5</v>
      </c>
      <c r="AZ7" s="1">
        <v>4</v>
      </c>
      <c r="BA7" s="1">
        <v>4</v>
      </c>
      <c r="BB7" s="1">
        <v>3</v>
      </c>
      <c r="BC7" s="1">
        <v>3</v>
      </c>
    </row>
    <row r="8" spans="1:55">
      <c r="A8" s="1" t="s">
        <v>75</v>
      </c>
      <c r="B8" s="1" t="s">
        <v>66</v>
      </c>
      <c r="C8" s="1" t="s">
        <v>76</v>
      </c>
      <c r="D8" s="1">
        <v>2</v>
      </c>
      <c r="E8" s="1">
        <v>4</v>
      </c>
      <c r="F8" s="1">
        <v>3</v>
      </c>
      <c r="G8" s="1">
        <v>2</v>
      </c>
      <c r="H8" s="1">
        <v>3</v>
      </c>
      <c r="I8" s="1">
        <v>2</v>
      </c>
      <c r="J8" s="1">
        <v>2</v>
      </c>
      <c r="K8" s="1">
        <v>2</v>
      </c>
      <c r="L8" s="1">
        <v>2</v>
      </c>
      <c r="M8" s="1">
        <v>3</v>
      </c>
      <c r="N8" s="1">
        <v>2</v>
      </c>
      <c r="O8" s="1">
        <v>2</v>
      </c>
      <c r="P8" s="1">
        <v>2</v>
      </c>
      <c r="Q8" s="1">
        <v>1</v>
      </c>
      <c r="R8" s="1">
        <v>3</v>
      </c>
      <c r="S8" s="1">
        <v>3</v>
      </c>
      <c r="T8" s="1">
        <v>3</v>
      </c>
      <c r="U8" s="1">
        <v>4</v>
      </c>
      <c r="V8" s="1">
        <v>2</v>
      </c>
      <c r="W8" s="1">
        <v>3</v>
      </c>
      <c r="X8" s="1">
        <v>3</v>
      </c>
      <c r="Y8" s="1">
        <v>2</v>
      </c>
      <c r="Z8" s="1">
        <v>2</v>
      </c>
      <c r="AA8" s="1">
        <v>3</v>
      </c>
      <c r="AB8" s="1">
        <v>2</v>
      </c>
      <c r="AC8" s="1">
        <v>4</v>
      </c>
      <c r="AD8" s="1">
        <v>3</v>
      </c>
      <c r="AE8" s="1">
        <v>3</v>
      </c>
      <c r="AF8" s="1">
        <v>4</v>
      </c>
      <c r="AG8" s="1">
        <v>3</v>
      </c>
      <c r="AH8" s="1">
        <v>3</v>
      </c>
      <c r="AI8" s="1">
        <v>4</v>
      </c>
      <c r="AJ8" s="1">
        <v>4</v>
      </c>
      <c r="AK8" s="1">
        <v>3</v>
      </c>
      <c r="AL8" s="1">
        <v>2</v>
      </c>
      <c r="AM8" s="1">
        <v>3</v>
      </c>
      <c r="AN8" s="1">
        <v>3</v>
      </c>
      <c r="AO8" s="1">
        <v>3</v>
      </c>
      <c r="AP8" s="1">
        <v>3</v>
      </c>
      <c r="AQ8" s="1">
        <v>2</v>
      </c>
      <c r="AR8" s="1">
        <v>3</v>
      </c>
      <c r="AS8" s="1">
        <v>3</v>
      </c>
      <c r="AT8" s="1">
        <v>3</v>
      </c>
      <c r="AU8" s="1">
        <v>4</v>
      </c>
      <c r="AV8" s="1">
        <v>3</v>
      </c>
      <c r="AW8" s="1">
        <v>3</v>
      </c>
      <c r="AX8" s="1">
        <v>3</v>
      </c>
      <c r="AY8" s="1">
        <v>4</v>
      </c>
      <c r="AZ8" s="1">
        <v>3</v>
      </c>
      <c r="BA8" s="1">
        <v>3</v>
      </c>
      <c r="BB8" s="1">
        <v>4</v>
      </c>
      <c r="BC8" s="1">
        <v>3</v>
      </c>
    </row>
    <row r="9" spans="1:55">
      <c r="A9" s="1" t="s">
        <v>77</v>
      </c>
      <c r="B9" s="1" t="s">
        <v>66</v>
      </c>
      <c r="C9" s="1" t="s">
        <v>76</v>
      </c>
      <c r="D9" s="1">
        <v>3</v>
      </c>
      <c r="E9" s="1">
        <v>2</v>
      </c>
      <c r="F9" s="1">
        <v>3</v>
      </c>
      <c r="G9" s="1">
        <v>3</v>
      </c>
      <c r="H9" s="1">
        <v>3</v>
      </c>
      <c r="I9" s="1">
        <v>3</v>
      </c>
      <c r="J9" s="1">
        <v>3</v>
      </c>
      <c r="K9" s="1">
        <v>3</v>
      </c>
      <c r="L9" s="1">
        <v>2</v>
      </c>
      <c r="M9" s="1">
        <v>2</v>
      </c>
      <c r="N9" s="1">
        <v>3</v>
      </c>
      <c r="O9" s="1">
        <v>3</v>
      </c>
      <c r="P9" s="1">
        <v>2</v>
      </c>
      <c r="Q9" s="1">
        <v>4</v>
      </c>
      <c r="R9" s="1">
        <v>3</v>
      </c>
      <c r="S9" s="1">
        <v>3</v>
      </c>
      <c r="T9" s="1">
        <v>2</v>
      </c>
      <c r="U9" s="1">
        <v>3</v>
      </c>
      <c r="V9" s="1">
        <v>2</v>
      </c>
      <c r="W9" s="1">
        <v>3</v>
      </c>
      <c r="X9" s="1">
        <v>3</v>
      </c>
      <c r="Y9" s="1">
        <v>2</v>
      </c>
      <c r="Z9" s="1">
        <v>3</v>
      </c>
      <c r="AA9" s="1">
        <v>2</v>
      </c>
      <c r="AB9" s="1">
        <v>3</v>
      </c>
      <c r="AC9" s="1">
        <v>4</v>
      </c>
      <c r="AD9" s="1">
        <v>3</v>
      </c>
      <c r="AE9" s="1">
        <v>3</v>
      </c>
      <c r="AF9" s="1">
        <v>3</v>
      </c>
      <c r="AG9" s="1">
        <v>3</v>
      </c>
      <c r="AH9" s="1">
        <v>3</v>
      </c>
      <c r="AI9" s="1">
        <v>4</v>
      </c>
      <c r="AJ9" s="1">
        <v>4</v>
      </c>
      <c r="AK9" s="1">
        <v>2</v>
      </c>
      <c r="AL9" s="1">
        <v>3</v>
      </c>
      <c r="AM9" s="1">
        <v>2</v>
      </c>
      <c r="AN9" s="1">
        <v>5</v>
      </c>
      <c r="AO9" s="1">
        <v>3</v>
      </c>
      <c r="AP9" s="1">
        <v>3</v>
      </c>
      <c r="AQ9" s="1">
        <v>3</v>
      </c>
      <c r="AR9" s="1">
        <v>4</v>
      </c>
      <c r="AS9" s="1">
        <v>3</v>
      </c>
      <c r="AT9" s="1">
        <v>3</v>
      </c>
      <c r="AU9" s="1">
        <v>2</v>
      </c>
      <c r="AV9" s="1">
        <v>3</v>
      </c>
      <c r="AW9" s="1">
        <v>4</v>
      </c>
      <c r="AX9" s="1">
        <v>3</v>
      </c>
      <c r="AY9" s="1">
        <v>2</v>
      </c>
      <c r="AZ9" s="1">
        <v>3</v>
      </c>
      <c r="BA9" s="1">
        <v>4</v>
      </c>
      <c r="BB9" s="1">
        <v>3</v>
      </c>
      <c r="BC9" s="1">
        <v>3</v>
      </c>
    </row>
    <row r="10" spans="1:55">
      <c r="A10" s="1" t="s">
        <v>78</v>
      </c>
      <c r="B10" s="1" t="s">
        <v>66</v>
      </c>
      <c r="C10" s="1" t="s">
        <v>79</v>
      </c>
      <c r="D10" s="1">
        <v>3</v>
      </c>
      <c r="E10" s="1">
        <v>3</v>
      </c>
      <c r="F10" s="1">
        <v>3</v>
      </c>
      <c r="G10" s="1">
        <v>3</v>
      </c>
      <c r="H10" s="1">
        <v>2</v>
      </c>
      <c r="I10" s="1">
        <v>2</v>
      </c>
      <c r="J10" s="1">
        <v>2</v>
      </c>
      <c r="K10" s="1">
        <v>3</v>
      </c>
      <c r="L10" s="1">
        <v>3</v>
      </c>
      <c r="M10" s="1">
        <v>3</v>
      </c>
      <c r="N10" s="1">
        <v>2</v>
      </c>
      <c r="O10" s="1">
        <v>4</v>
      </c>
      <c r="P10" s="1">
        <v>3</v>
      </c>
      <c r="Q10" s="1">
        <v>3</v>
      </c>
      <c r="R10" s="1">
        <v>3</v>
      </c>
      <c r="S10" s="1">
        <v>5</v>
      </c>
      <c r="T10" s="1">
        <v>4</v>
      </c>
      <c r="U10" s="1">
        <v>3</v>
      </c>
      <c r="V10" s="1">
        <v>2</v>
      </c>
      <c r="W10" s="1">
        <v>2</v>
      </c>
      <c r="X10" s="1">
        <v>2</v>
      </c>
      <c r="Y10" s="1">
        <v>4</v>
      </c>
      <c r="Z10" s="1">
        <v>3</v>
      </c>
      <c r="AA10" s="1">
        <v>3</v>
      </c>
      <c r="AB10" s="1">
        <v>2</v>
      </c>
      <c r="AC10" s="1">
        <v>4</v>
      </c>
      <c r="AD10" s="1">
        <v>4</v>
      </c>
      <c r="AE10" s="1">
        <v>3</v>
      </c>
      <c r="AF10" s="1">
        <v>2</v>
      </c>
      <c r="AG10" s="1">
        <v>4</v>
      </c>
      <c r="AH10" s="1">
        <v>3</v>
      </c>
      <c r="AI10" s="1">
        <v>2</v>
      </c>
      <c r="AJ10" s="1">
        <v>2</v>
      </c>
      <c r="AK10" s="1">
        <v>3</v>
      </c>
      <c r="AL10" s="1">
        <v>3</v>
      </c>
      <c r="AM10" s="1">
        <v>3</v>
      </c>
      <c r="AN10" s="1">
        <v>3</v>
      </c>
      <c r="AO10" s="1">
        <v>3</v>
      </c>
      <c r="AP10" s="1">
        <v>3</v>
      </c>
      <c r="AQ10" s="1">
        <v>3</v>
      </c>
      <c r="AR10" s="1">
        <v>3</v>
      </c>
      <c r="AS10" s="1">
        <v>4</v>
      </c>
      <c r="AT10" s="1">
        <v>3</v>
      </c>
      <c r="AU10" s="1">
        <v>3</v>
      </c>
      <c r="AV10" s="1">
        <v>3</v>
      </c>
      <c r="AW10" s="1">
        <v>3</v>
      </c>
      <c r="AX10" s="1">
        <v>3</v>
      </c>
      <c r="AY10" s="1">
        <v>3</v>
      </c>
      <c r="AZ10" s="1">
        <v>4</v>
      </c>
      <c r="BA10" s="1">
        <v>4</v>
      </c>
      <c r="BB10" s="1">
        <v>3</v>
      </c>
      <c r="BC10" s="1">
        <v>3</v>
      </c>
    </row>
    <row r="11" spans="1:55">
      <c r="A11" s="1" t="s">
        <v>80</v>
      </c>
      <c r="B11" s="1" t="s">
        <v>66</v>
      </c>
      <c r="C11" s="1" t="s">
        <v>79</v>
      </c>
      <c r="D11" s="1">
        <v>3</v>
      </c>
      <c r="E11" s="1">
        <v>2</v>
      </c>
      <c r="F11" s="1">
        <v>3</v>
      </c>
      <c r="G11" s="1">
        <v>3</v>
      </c>
      <c r="H11" s="1">
        <v>4</v>
      </c>
      <c r="I11" s="1">
        <v>3</v>
      </c>
      <c r="J11" s="1">
        <v>4</v>
      </c>
      <c r="K11" s="1">
        <v>3</v>
      </c>
      <c r="L11" s="1">
        <v>3</v>
      </c>
      <c r="M11" s="1">
        <v>4</v>
      </c>
      <c r="N11" s="1">
        <v>4</v>
      </c>
      <c r="O11" s="1">
        <v>3</v>
      </c>
      <c r="P11" s="1">
        <v>4</v>
      </c>
      <c r="Q11" s="1">
        <v>3</v>
      </c>
      <c r="R11" s="1">
        <v>2</v>
      </c>
      <c r="S11" s="1">
        <v>3</v>
      </c>
      <c r="T11" s="1">
        <v>4</v>
      </c>
      <c r="U11" s="1">
        <v>4</v>
      </c>
      <c r="V11" s="1">
        <v>3</v>
      </c>
      <c r="W11" s="1">
        <v>3</v>
      </c>
      <c r="X11" s="1">
        <v>2</v>
      </c>
      <c r="Y11" s="1">
        <v>1</v>
      </c>
      <c r="Z11" s="1">
        <v>3</v>
      </c>
      <c r="AA11" s="1">
        <v>2</v>
      </c>
      <c r="AB11" s="1">
        <v>3</v>
      </c>
      <c r="AC11" s="1">
        <v>2</v>
      </c>
      <c r="AD11" s="1">
        <v>4</v>
      </c>
      <c r="AE11" s="1">
        <v>3</v>
      </c>
      <c r="AF11" s="1">
        <v>3</v>
      </c>
      <c r="AG11" s="1">
        <v>2</v>
      </c>
      <c r="AH11" s="1">
        <v>4</v>
      </c>
      <c r="AI11" s="1">
        <v>5</v>
      </c>
      <c r="AJ11" s="1">
        <v>5</v>
      </c>
      <c r="AK11" s="1">
        <v>3</v>
      </c>
      <c r="AL11" s="1">
        <v>3</v>
      </c>
      <c r="AM11" s="1">
        <v>4</v>
      </c>
      <c r="AN11" s="1">
        <v>4</v>
      </c>
      <c r="AO11" s="1">
        <v>3</v>
      </c>
      <c r="AP11" s="1">
        <v>4</v>
      </c>
      <c r="AQ11" s="1">
        <v>3</v>
      </c>
      <c r="AR11" s="1">
        <v>3</v>
      </c>
      <c r="AS11" s="1">
        <v>3</v>
      </c>
      <c r="AT11" s="1">
        <v>3</v>
      </c>
      <c r="AU11" s="1">
        <v>3</v>
      </c>
      <c r="AV11" s="1">
        <v>4</v>
      </c>
      <c r="AW11" s="1">
        <v>3</v>
      </c>
      <c r="AX11" s="1">
        <v>3</v>
      </c>
      <c r="AY11" s="1">
        <v>2</v>
      </c>
      <c r="AZ11" s="1">
        <v>4</v>
      </c>
      <c r="BA11" s="1">
        <v>3</v>
      </c>
      <c r="BB11" s="1">
        <v>3</v>
      </c>
      <c r="BC11" s="1">
        <v>2</v>
      </c>
    </row>
    <row r="12" spans="1:55">
      <c r="A12" s="1" t="s">
        <v>81</v>
      </c>
      <c r="B12" s="1" t="s">
        <v>66</v>
      </c>
      <c r="C12" s="1" t="s">
        <v>82</v>
      </c>
      <c r="D12" s="1">
        <v>2</v>
      </c>
      <c r="E12" s="1">
        <v>2</v>
      </c>
      <c r="F12" s="1">
        <v>4</v>
      </c>
      <c r="G12" s="1">
        <v>3</v>
      </c>
      <c r="H12" s="1">
        <v>3</v>
      </c>
      <c r="I12" s="1">
        <v>2</v>
      </c>
      <c r="J12" s="1">
        <v>2</v>
      </c>
      <c r="K12" s="1">
        <v>3</v>
      </c>
      <c r="L12" s="1">
        <v>3</v>
      </c>
      <c r="M12" s="1">
        <v>3</v>
      </c>
      <c r="N12" s="1">
        <v>3</v>
      </c>
      <c r="O12" s="1">
        <v>3</v>
      </c>
      <c r="P12" s="1">
        <v>3</v>
      </c>
      <c r="Q12" s="1">
        <v>3</v>
      </c>
      <c r="R12" s="1">
        <v>3</v>
      </c>
      <c r="S12" s="1">
        <v>3</v>
      </c>
      <c r="T12" s="1">
        <v>2</v>
      </c>
      <c r="U12" s="1">
        <v>2</v>
      </c>
      <c r="V12" s="1">
        <v>3</v>
      </c>
      <c r="W12" s="1">
        <v>2</v>
      </c>
      <c r="X12" s="1">
        <v>3</v>
      </c>
      <c r="Y12" s="1">
        <v>4</v>
      </c>
      <c r="Z12" s="1">
        <v>3</v>
      </c>
      <c r="AA12" s="1">
        <v>3</v>
      </c>
      <c r="AB12" s="1">
        <v>3</v>
      </c>
      <c r="AC12" s="1">
        <v>4</v>
      </c>
      <c r="AD12" s="1">
        <v>4</v>
      </c>
      <c r="AE12" s="1">
        <v>4</v>
      </c>
      <c r="AF12" s="1">
        <v>3</v>
      </c>
      <c r="AG12" s="1">
        <v>3</v>
      </c>
      <c r="AH12" s="1">
        <v>3</v>
      </c>
      <c r="AI12" s="1">
        <v>3</v>
      </c>
      <c r="AJ12" s="1">
        <v>4</v>
      </c>
      <c r="AK12" s="1">
        <v>4</v>
      </c>
      <c r="AL12" s="1">
        <v>4</v>
      </c>
      <c r="AM12" s="1">
        <v>2</v>
      </c>
      <c r="AN12" s="1">
        <v>4</v>
      </c>
      <c r="AO12" s="1">
        <v>5</v>
      </c>
      <c r="AP12" s="1">
        <v>4</v>
      </c>
      <c r="AQ12" s="1">
        <v>3</v>
      </c>
      <c r="AR12" s="1">
        <v>4</v>
      </c>
      <c r="AS12" s="1">
        <v>3</v>
      </c>
      <c r="AT12" s="1">
        <v>2</v>
      </c>
      <c r="AU12" s="1">
        <v>3</v>
      </c>
      <c r="AV12" s="1">
        <v>4</v>
      </c>
      <c r="AW12" s="1">
        <v>3</v>
      </c>
      <c r="AX12" s="1">
        <v>3</v>
      </c>
      <c r="AY12" s="1">
        <v>3</v>
      </c>
      <c r="AZ12" s="1">
        <v>4</v>
      </c>
      <c r="BA12" s="1">
        <v>4</v>
      </c>
      <c r="BB12" s="1">
        <v>4</v>
      </c>
      <c r="BC12" s="1">
        <v>1</v>
      </c>
    </row>
    <row r="13" spans="1:55">
      <c r="A13" s="1" t="s">
        <v>83</v>
      </c>
      <c r="B13" s="1" t="s">
        <v>66</v>
      </c>
      <c r="C13" s="1" t="s">
        <v>82</v>
      </c>
      <c r="D13" s="1">
        <v>2</v>
      </c>
      <c r="E13" s="1">
        <v>2</v>
      </c>
      <c r="F13" s="1">
        <v>3</v>
      </c>
      <c r="G13" s="1">
        <v>3</v>
      </c>
      <c r="H13" s="1">
        <v>2</v>
      </c>
      <c r="I13" s="1">
        <v>2</v>
      </c>
      <c r="J13" s="1">
        <v>3</v>
      </c>
      <c r="K13" s="1">
        <v>4</v>
      </c>
      <c r="L13" s="1">
        <v>4</v>
      </c>
      <c r="M13" s="1">
        <v>3</v>
      </c>
      <c r="N13" s="1">
        <v>3</v>
      </c>
      <c r="O13" s="1">
        <v>4</v>
      </c>
      <c r="P13" s="1">
        <v>3</v>
      </c>
      <c r="Q13" s="1">
        <v>4</v>
      </c>
      <c r="R13" s="1">
        <v>2</v>
      </c>
      <c r="S13" s="1">
        <v>3</v>
      </c>
      <c r="T13" s="1">
        <v>2</v>
      </c>
      <c r="U13" s="1">
        <v>3</v>
      </c>
      <c r="V13" s="1">
        <v>4</v>
      </c>
      <c r="W13" s="1">
        <v>2</v>
      </c>
      <c r="X13" s="1">
        <v>3</v>
      </c>
      <c r="Y13" s="1">
        <v>3</v>
      </c>
      <c r="Z13" s="1">
        <v>3</v>
      </c>
      <c r="AA13" s="1">
        <v>3</v>
      </c>
      <c r="AB13" s="1">
        <v>4</v>
      </c>
      <c r="AC13" s="1">
        <v>4</v>
      </c>
      <c r="AD13" s="1">
        <v>3</v>
      </c>
      <c r="AE13" s="1">
        <v>3</v>
      </c>
      <c r="AF13" s="1">
        <v>3</v>
      </c>
      <c r="AG13" s="1">
        <v>4</v>
      </c>
      <c r="AH13" s="1">
        <v>3</v>
      </c>
      <c r="AI13" s="1">
        <v>2</v>
      </c>
      <c r="AJ13" s="1">
        <v>4</v>
      </c>
      <c r="AK13" s="1">
        <v>2</v>
      </c>
      <c r="AL13" s="1">
        <v>3</v>
      </c>
      <c r="AM13" s="1">
        <v>3</v>
      </c>
      <c r="AN13" s="1">
        <v>3</v>
      </c>
      <c r="AO13" s="1">
        <v>4</v>
      </c>
      <c r="AP13" s="1">
        <v>2</v>
      </c>
      <c r="AQ13" s="1">
        <v>3</v>
      </c>
      <c r="AR13" s="1">
        <v>3</v>
      </c>
      <c r="AS13" s="1">
        <v>4</v>
      </c>
      <c r="AT13" s="1">
        <v>3</v>
      </c>
      <c r="AU13" s="1">
        <v>3</v>
      </c>
      <c r="AV13" s="1">
        <v>3</v>
      </c>
      <c r="AW13" s="1">
        <v>4</v>
      </c>
      <c r="AX13" s="1">
        <v>3</v>
      </c>
      <c r="AY13" s="1">
        <v>4</v>
      </c>
      <c r="AZ13" s="1">
        <v>3</v>
      </c>
      <c r="BA13" s="1">
        <v>3</v>
      </c>
      <c r="BB13" s="1">
        <v>4</v>
      </c>
      <c r="BC13" s="1">
        <v>2</v>
      </c>
    </row>
    <row r="14" spans="1:55">
      <c r="A14" s="1" t="s">
        <v>84</v>
      </c>
      <c r="B14" s="1" t="s">
        <v>66</v>
      </c>
      <c r="C14" s="1" t="s">
        <v>85</v>
      </c>
      <c r="D14" s="1">
        <v>2</v>
      </c>
      <c r="E14" s="1">
        <v>3</v>
      </c>
      <c r="F14" s="1">
        <v>3</v>
      </c>
      <c r="G14" s="1">
        <v>3</v>
      </c>
      <c r="H14" s="1">
        <v>3</v>
      </c>
      <c r="I14" s="1">
        <v>2</v>
      </c>
      <c r="J14" s="1">
        <v>3</v>
      </c>
      <c r="K14" s="1">
        <v>3</v>
      </c>
      <c r="L14" s="1">
        <v>4</v>
      </c>
      <c r="M14" s="1">
        <v>4</v>
      </c>
      <c r="N14" s="1">
        <v>3</v>
      </c>
      <c r="O14" s="1">
        <v>3</v>
      </c>
      <c r="P14" s="1">
        <v>3</v>
      </c>
      <c r="Q14" s="1">
        <v>3</v>
      </c>
      <c r="R14" s="1">
        <v>2</v>
      </c>
      <c r="S14" s="1">
        <v>3</v>
      </c>
      <c r="T14" s="1">
        <v>3</v>
      </c>
      <c r="U14" s="1">
        <v>3</v>
      </c>
      <c r="V14" s="1">
        <v>1</v>
      </c>
      <c r="W14" s="1">
        <v>2</v>
      </c>
      <c r="X14" s="1">
        <v>3</v>
      </c>
      <c r="Y14" s="1">
        <v>3</v>
      </c>
      <c r="Z14" s="1">
        <v>3</v>
      </c>
      <c r="AA14" s="1">
        <v>4</v>
      </c>
      <c r="AB14" s="1">
        <v>3</v>
      </c>
      <c r="AC14" s="1">
        <v>3</v>
      </c>
      <c r="AD14" s="1">
        <v>4</v>
      </c>
      <c r="AE14" s="1">
        <v>4</v>
      </c>
      <c r="AF14" s="1">
        <v>3</v>
      </c>
      <c r="AG14" s="1">
        <v>2</v>
      </c>
      <c r="AH14" s="1">
        <v>4</v>
      </c>
      <c r="AI14" s="1">
        <v>3</v>
      </c>
      <c r="AJ14" s="1">
        <v>4</v>
      </c>
      <c r="AK14" s="1">
        <v>4</v>
      </c>
      <c r="AL14" s="1">
        <v>4</v>
      </c>
      <c r="AM14" s="1">
        <v>3</v>
      </c>
      <c r="AN14" s="1">
        <v>3</v>
      </c>
      <c r="AO14" s="1">
        <v>3</v>
      </c>
      <c r="AP14" s="1">
        <v>3</v>
      </c>
      <c r="AQ14" s="1">
        <v>4</v>
      </c>
      <c r="AR14" s="1">
        <v>4</v>
      </c>
      <c r="AS14" s="1">
        <v>2</v>
      </c>
      <c r="AT14" s="1">
        <v>2</v>
      </c>
      <c r="AU14" s="1">
        <v>3</v>
      </c>
      <c r="AV14" s="1">
        <v>4</v>
      </c>
      <c r="AW14" s="1">
        <v>3</v>
      </c>
      <c r="AX14" s="1">
        <v>4</v>
      </c>
      <c r="AY14" s="1">
        <v>4</v>
      </c>
      <c r="AZ14" s="1">
        <v>3</v>
      </c>
      <c r="BA14" s="1">
        <v>3</v>
      </c>
      <c r="BB14" s="1">
        <v>3</v>
      </c>
      <c r="BC14" s="1">
        <v>2</v>
      </c>
    </row>
    <row r="15" spans="1:55">
      <c r="A15" s="1" t="s">
        <v>86</v>
      </c>
      <c r="B15" s="1" t="s">
        <v>66</v>
      </c>
      <c r="C15" s="1" t="s">
        <v>85</v>
      </c>
      <c r="D15" s="1">
        <v>2</v>
      </c>
      <c r="E15" s="1">
        <v>3</v>
      </c>
      <c r="F15" s="1">
        <v>4</v>
      </c>
      <c r="G15" s="1">
        <v>3</v>
      </c>
      <c r="H15" s="1">
        <v>2</v>
      </c>
      <c r="I15" s="1">
        <v>3</v>
      </c>
      <c r="J15" s="1">
        <v>2</v>
      </c>
      <c r="K15" s="1">
        <v>4</v>
      </c>
      <c r="L15" s="1">
        <v>4</v>
      </c>
      <c r="M15" s="1">
        <v>3</v>
      </c>
      <c r="N15" s="1">
        <v>3</v>
      </c>
      <c r="O15" s="1">
        <v>4</v>
      </c>
      <c r="P15" s="1">
        <v>4</v>
      </c>
      <c r="Q15" s="1">
        <v>4</v>
      </c>
      <c r="R15" s="1">
        <v>3</v>
      </c>
      <c r="S15" s="1">
        <v>3</v>
      </c>
      <c r="T15" s="1">
        <v>4</v>
      </c>
      <c r="U15" s="1">
        <v>3</v>
      </c>
      <c r="V15" s="1">
        <v>1</v>
      </c>
      <c r="W15" s="1">
        <v>3</v>
      </c>
      <c r="X15" s="1">
        <v>3</v>
      </c>
      <c r="Y15" s="1">
        <v>3</v>
      </c>
      <c r="Z15" s="1">
        <v>4</v>
      </c>
      <c r="AA15" s="1">
        <v>4</v>
      </c>
      <c r="AB15" s="1">
        <v>4</v>
      </c>
      <c r="AC15" s="1">
        <v>4</v>
      </c>
      <c r="AD15" s="1">
        <v>3</v>
      </c>
      <c r="AE15" s="1">
        <v>4</v>
      </c>
      <c r="AF15" s="1">
        <v>2</v>
      </c>
      <c r="AG15" s="1">
        <v>3</v>
      </c>
      <c r="AH15" s="1">
        <v>2</v>
      </c>
      <c r="AI15" s="1">
        <v>3</v>
      </c>
      <c r="AJ15" s="1">
        <v>3</v>
      </c>
      <c r="AK15" s="1">
        <v>4</v>
      </c>
      <c r="AL15" s="1">
        <v>4</v>
      </c>
      <c r="AM15" s="1">
        <v>3</v>
      </c>
      <c r="AN15" s="1">
        <v>3</v>
      </c>
      <c r="AO15" s="1">
        <v>4</v>
      </c>
      <c r="AP15" s="1">
        <v>4</v>
      </c>
      <c r="AQ15" s="1">
        <v>4</v>
      </c>
      <c r="AR15" s="1">
        <v>4</v>
      </c>
      <c r="AS15" s="1">
        <v>4</v>
      </c>
      <c r="AT15" s="1">
        <v>2</v>
      </c>
      <c r="AU15" s="1">
        <v>4</v>
      </c>
      <c r="AV15" s="1">
        <v>3</v>
      </c>
      <c r="AW15" s="1">
        <v>5</v>
      </c>
      <c r="AX15" s="1">
        <v>5</v>
      </c>
      <c r="AY15" s="1">
        <v>4</v>
      </c>
      <c r="AZ15" s="1">
        <v>4</v>
      </c>
      <c r="BA15" s="1">
        <v>4</v>
      </c>
      <c r="BB15" s="1">
        <v>4</v>
      </c>
      <c r="BC15" s="1">
        <v>3</v>
      </c>
    </row>
    <row r="16" spans="1:55">
      <c r="A16" s="1" t="s">
        <v>87</v>
      </c>
      <c r="B16" s="1" t="s">
        <v>66</v>
      </c>
      <c r="C16" s="1" t="s">
        <v>88</v>
      </c>
      <c r="D16" s="1">
        <v>3</v>
      </c>
      <c r="E16" s="1">
        <v>2</v>
      </c>
      <c r="F16" s="1">
        <v>4</v>
      </c>
      <c r="G16" s="1">
        <v>4</v>
      </c>
      <c r="H16" s="1">
        <v>2</v>
      </c>
      <c r="I16" s="1">
        <v>2</v>
      </c>
      <c r="J16" s="1">
        <v>1</v>
      </c>
      <c r="K16" s="1">
        <v>3</v>
      </c>
      <c r="L16" s="1">
        <v>1</v>
      </c>
      <c r="M16" s="1">
        <v>1</v>
      </c>
      <c r="N16" s="1">
        <v>2</v>
      </c>
      <c r="O16" s="1">
        <v>2</v>
      </c>
      <c r="P16" s="1">
        <v>1</v>
      </c>
      <c r="Q16" s="1">
        <v>2</v>
      </c>
      <c r="R16" s="1">
        <v>3</v>
      </c>
      <c r="S16" s="1">
        <v>2</v>
      </c>
      <c r="T16" s="1">
        <v>2</v>
      </c>
      <c r="U16" s="1">
        <v>2</v>
      </c>
      <c r="V16" s="1">
        <v>2</v>
      </c>
      <c r="W16" s="1">
        <v>2</v>
      </c>
      <c r="X16" s="1">
        <v>2</v>
      </c>
      <c r="Y16" s="1">
        <v>3</v>
      </c>
      <c r="Z16" s="1">
        <v>2</v>
      </c>
      <c r="AA16" s="1">
        <v>2</v>
      </c>
      <c r="AB16" s="1">
        <v>2</v>
      </c>
      <c r="AC16" s="1">
        <v>4</v>
      </c>
      <c r="AD16" s="1">
        <v>2</v>
      </c>
      <c r="AE16" s="1">
        <v>1</v>
      </c>
      <c r="AF16" s="1">
        <v>4</v>
      </c>
      <c r="AG16" s="1">
        <v>4</v>
      </c>
      <c r="AH16" s="1">
        <v>2</v>
      </c>
      <c r="AI16" s="1">
        <v>1</v>
      </c>
      <c r="AJ16" s="1">
        <v>2</v>
      </c>
      <c r="AK16" s="1">
        <v>2</v>
      </c>
      <c r="AL16" s="1">
        <v>2</v>
      </c>
      <c r="AM16" s="1">
        <v>4</v>
      </c>
      <c r="AN16" s="1">
        <v>2</v>
      </c>
      <c r="AO16" s="1">
        <v>3</v>
      </c>
      <c r="AP16" s="1">
        <v>2</v>
      </c>
      <c r="AQ16" s="1">
        <v>3</v>
      </c>
      <c r="AR16" s="1">
        <v>3</v>
      </c>
      <c r="AS16" s="1">
        <v>2</v>
      </c>
      <c r="AT16" s="1">
        <v>3</v>
      </c>
      <c r="AU16" s="1">
        <v>2</v>
      </c>
      <c r="AV16" s="1">
        <v>1</v>
      </c>
      <c r="AW16" s="1">
        <v>3</v>
      </c>
      <c r="AX16" s="1">
        <v>4</v>
      </c>
      <c r="AY16" s="1">
        <v>4</v>
      </c>
      <c r="AZ16" s="1">
        <v>3</v>
      </c>
      <c r="BA16" s="1">
        <v>3</v>
      </c>
      <c r="BB16" s="1">
        <v>3</v>
      </c>
      <c r="BC16" s="1">
        <v>4</v>
      </c>
    </row>
    <row r="17" spans="1:55">
      <c r="A17" s="1" t="s">
        <v>89</v>
      </c>
      <c r="B17" s="1" t="s">
        <v>66</v>
      </c>
      <c r="C17" s="1" t="s">
        <v>88</v>
      </c>
      <c r="D17" s="1">
        <v>2</v>
      </c>
      <c r="E17" s="1">
        <v>3</v>
      </c>
      <c r="F17" s="1">
        <v>3</v>
      </c>
      <c r="G17" s="1">
        <v>4</v>
      </c>
      <c r="H17" s="1">
        <v>3</v>
      </c>
      <c r="I17" s="1">
        <v>3</v>
      </c>
      <c r="J17" s="1">
        <v>4</v>
      </c>
      <c r="K17" s="1">
        <v>4</v>
      </c>
      <c r="L17" s="1">
        <v>4</v>
      </c>
      <c r="M17" s="1">
        <v>2</v>
      </c>
      <c r="N17" s="1">
        <v>4</v>
      </c>
      <c r="O17" s="1">
        <v>3</v>
      </c>
      <c r="P17" s="1">
        <v>4</v>
      </c>
      <c r="Q17" s="1">
        <v>4</v>
      </c>
      <c r="R17" s="1">
        <v>4</v>
      </c>
      <c r="S17" s="1">
        <v>2</v>
      </c>
      <c r="T17" s="1">
        <v>3</v>
      </c>
      <c r="U17" s="1">
        <v>3</v>
      </c>
      <c r="V17" s="1">
        <v>2</v>
      </c>
      <c r="W17" s="1">
        <v>2</v>
      </c>
      <c r="X17" s="1">
        <v>2</v>
      </c>
      <c r="Y17" s="1">
        <v>2</v>
      </c>
      <c r="Z17" s="1">
        <v>3</v>
      </c>
      <c r="AA17" s="1">
        <v>4</v>
      </c>
      <c r="AB17" s="1">
        <v>4</v>
      </c>
      <c r="AC17" s="1">
        <v>2</v>
      </c>
      <c r="AD17" s="1">
        <v>3</v>
      </c>
      <c r="AE17" s="1">
        <v>3</v>
      </c>
      <c r="AF17" s="1">
        <v>2</v>
      </c>
      <c r="AG17" s="1">
        <v>3</v>
      </c>
      <c r="AH17" s="1">
        <v>3</v>
      </c>
      <c r="AI17" s="1">
        <v>3</v>
      </c>
      <c r="AJ17" s="1">
        <v>3</v>
      </c>
      <c r="AK17" s="1">
        <v>3</v>
      </c>
      <c r="AL17" s="1">
        <v>5</v>
      </c>
      <c r="AM17" s="1">
        <v>3</v>
      </c>
      <c r="AN17" s="1">
        <v>3</v>
      </c>
      <c r="AO17" s="1">
        <v>4</v>
      </c>
      <c r="AP17" s="1">
        <v>3</v>
      </c>
      <c r="AQ17" s="1">
        <v>3</v>
      </c>
      <c r="AR17" s="1">
        <v>3</v>
      </c>
      <c r="AS17" s="1">
        <v>4</v>
      </c>
      <c r="AT17" s="1">
        <v>3</v>
      </c>
      <c r="AU17" s="1">
        <v>4</v>
      </c>
      <c r="AV17" s="1">
        <v>4</v>
      </c>
      <c r="AW17" s="1">
        <v>4</v>
      </c>
      <c r="AX17" s="1">
        <v>4</v>
      </c>
      <c r="AY17" s="1">
        <v>3</v>
      </c>
      <c r="AZ17" s="1">
        <v>4</v>
      </c>
      <c r="BA17" s="1">
        <v>4</v>
      </c>
      <c r="BB17" s="1">
        <v>3</v>
      </c>
      <c r="BC17" s="1">
        <v>2</v>
      </c>
    </row>
    <row r="18" spans="1:55">
      <c r="A18" s="1" t="s">
        <v>90</v>
      </c>
      <c r="B18" s="1" t="s">
        <v>66</v>
      </c>
      <c r="C18" s="1" t="s">
        <v>91</v>
      </c>
      <c r="D18" s="1">
        <v>3</v>
      </c>
      <c r="E18" s="1">
        <v>3</v>
      </c>
      <c r="F18" s="1">
        <v>3</v>
      </c>
      <c r="G18" s="1">
        <v>3</v>
      </c>
      <c r="H18" s="1">
        <v>3</v>
      </c>
      <c r="I18" s="1">
        <v>3</v>
      </c>
      <c r="J18" s="1">
        <v>2</v>
      </c>
      <c r="K18" s="1">
        <v>2</v>
      </c>
      <c r="L18" s="1">
        <v>2</v>
      </c>
      <c r="M18" s="1">
        <v>3</v>
      </c>
      <c r="N18" s="1">
        <v>3</v>
      </c>
      <c r="O18" s="1">
        <v>2</v>
      </c>
      <c r="P18" s="1">
        <v>2</v>
      </c>
      <c r="Q18" s="1">
        <v>3</v>
      </c>
      <c r="R18" s="1">
        <v>4</v>
      </c>
      <c r="S18" s="1">
        <v>4</v>
      </c>
      <c r="T18" s="1">
        <v>2</v>
      </c>
      <c r="U18" s="1">
        <v>4</v>
      </c>
      <c r="V18" s="1">
        <v>4</v>
      </c>
      <c r="W18" s="1">
        <v>2</v>
      </c>
      <c r="X18" s="1">
        <v>2</v>
      </c>
      <c r="Y18" s="1">
        <v>3</v>
      </c>
      <c r="Z18" s="1">
        <v>3</v>
      </c>
      <c r="AA18" s="1">
        <v>2</v>
      </c>
      <c r="AB18" s="1">
        <v>2</v>
      </c>
      <c r="AC18" s="1">
        <v>3</v>
      </c>
      <c r="AD18" s="1">
        <v>3</v>
      </c>
      <c r="AE18" s="1">
        <v>2</v>
      </c>
      <c r="AF18" s="1">
        <v>3</v>
      </c>
      <c r="AG18" s="1">
        <v>3</v>
      </c>
      <c r="AH18" s="1">
        <v>3</v>
      </c>
      <c r="AI18" s="1">
        <v>3</v>
      </c>
      <c r="AJ18" s="1">
        <v>3</v>
      </c>
      <c r="AK18" s="1">
        <v>3</v>
      </c>
      <c r="AL18" s="1">
        <v>3</v>
      </c>
      <c r="AM18" s="1">
        <v>3</v>
      </c>
      <c r="AN18" s="1">
        <v>4</v>
      </c>
      <c r="AO18" s="1">
        <v>3</v>
      </c>
      <c r="AP18" s="1">
        <v>4</v>
      </c>
      <c r="AQ18" s="1">
        <v>4</v>
      </c>
      <c r="AR18" s="1">
        <v>4</v>
      </c>
      <c r="AS18" s="1">
        <v>3</v>
      </c>
      <c r="AT18" s="1">
        <v>3</v>
      </c>
      <c r="AU18" s="1">
        <v>3</v>
      </c>
      <c r="AV18" s="1">
        <v>3</v>
      </c>
      <c r="AW18" s="1">
        <v>2</v>
      </c>
      <c r="AX18" s="1">
        <v>3</v>
      </c>
      <c r="AY18" s="1">
        <v>3</v>
      </c>
      <c r="AZ18" s="1">
        <v>4</v>
      </c>
      <c r="BA18" s="1">
        <v>4</v>
      </c>
      <c r="BB18" s="1">
        <v>3</v>
      </c>
      <c r="BC18" s="1">
        <v>2</v>
      </c>
    </row>
    <row r="19" spans="1:55">
      <c r="A19" s="1" t="s">
        <v>92</v>
      </c>
      <c r="B19" s="1" t="s">
        <v>66</v>
      </c>
      <c r="C19" s="1" t="s">
        <v>91</v>
      </c>
      <c r="D19" s="1">
        <v>4</v>
      </c>
      <c r="E19" s="1">
        <v>4</v>
      </c>
      <c r="F19" s="1">
        <v>1</v>
      </c>
      <c r="G19" s="1">
        <v>2</v>
      </c>
      <c r="H19" s="1">
        <v>4</v>
      </c>
      <c r="I19" s="1">
        <v>5</v>
      </c>
      <c r="J19" s="1">
        <v>5</v>
      </c>
      <c r="K19" s="1">
        <v>3</v>
      </c>
      <c r="L19" s="1">
        <v>3</v>
      </c>
      <c r="M19" s="1">
        <v>3</v>
      </c>
      <c r="N19" s="1">
        <v>5</v>
      </c>
      <c r="O19" s="1">
        <v>3</v>
      </c>
      <c r="P19" s="1">
        <v>4</v>
      </c>
      <c r="Q19" s="1">
        <v>3</v>
      </c>
      <c r="R19" s="1">
        <v>3</v>
      </c>
      <c r="S19" s="1">
        <v>3</v>
      </c>
      <c r="T19" s="1">
        <v>3</v>
      </c>
      <c r="U19" s="1">
        <v>3</v>
      </c>
      <c r="V19" s="1">
        <v>4</v>
      </c>
      <c r="W19" s="1">
        <v>2</v>
      </c>
      <c r="X19" s="1">
        <v>2</v>
      </c>
      <c r="Y19" s="1">
        <v>1</v>
      </c>
      <c r="Z19" s="1">
        <v>2</v>
      </c>
      <c r="AA19" s="1">
        <v>3</v>
      </c>
      <c r="AB19" s="1">
        <v>3</v>
      </c>
      <c r="AC19" s="1">
        <v>1</v>
      </c>
      <c r="AD19" s="1">
        <v>3</v>
      </c>
      <c r="AE19" s="1">
        <v>3</v>
      </c>
      <c r="AF19" s="1">
        <v>2</v>
      </c>
      <c r="AG19" s="1">
        <v>2</v>
      </c>
      <c r="AH19" s="1">
        <v>5</v>
      </c>
      <c r="AI19" s="1">
        <v>5</v>
      </c>
      <c r="AJ19" s="1">
        <v>4</v>
      </c>
      <c r="AK19" s="1">
        <v>5</v>
      </c>
      <c r="AL19" s="1">
        <v>3</v>
      </c>
      <c r="AM19" s="1">
        <v>4</v>
      </c>
      <c r="AN19" s="1">
        <v>4</v>
      </c>
      <c r="AO19" s="1">
        <v>4</v>
      </c>
      <c r="AP19" s="1">
        <v>4</v>
      </c>
      <c r="AQ19" s="1">
        <v>3</v>
      </c>
      <c r="AR19" s="1">
        <v>4</v>
      </c>
      <c r="AS19" s="1">
        <v>4</v>
      </c>
      <c r="AT19" s="1">
        <v>4</v>
      </c>
      <c r="AU19" s="1">
        <v>3</v>
      </c>
      <c r="AV19" s="1">
        <v>5</v>
      </c>
      <c r="AW19" s="1">
        <v>3</v>
      </c>
      <c r="AX19" s="1">
        <v>3</v>
      </c>
      <c r="AY19" s="1">
        <v>2</v>
      </c>
      <c r="AZ19" s="1">
        <v>4</v>
      </c>
      <c r="BA19" s="1">
        <v>4</v>
      </c>
      <c r="BB19" s="1">
        <v>4</v>
      </c>
      <c r="BC19" s="1">
        <v>1</v>
      </c>
    </row>
    <row r="20" spans="1:55">
      <c r="A20" s="1" t="s">
        <v>93</v>
      </c>
      <c r="B20" s="1" t="s">
        <v>66</v>
      </c>
      <c r="C20" s="1" t="s">
        <v>94</v>
      </c>
      <c r="D20" s="1">
        <v>3</v>
      </c>
      <c r="E20" s="1">
        <v>3</v>
      </c>
      <c r="F20" s="1">
        <v>4</v>
      </c>
      <c r="G20" s="1">
        <v>3</v>
      </c>
      <c r="H20" s="1">
        <v>3</v>
      </c>
      <c r="I20" s="1">
        <v>3</v>
      </c>
      <c r="J20" s="1">
        <v>3</v>
      </c>
      <c r="K20" s="1">
        <v>3</v>
      </c>
      <c r="L20" s="1">
        <v>3</v>
      </c>
      <c r="M20" s="1">
        <v>3</v>
      </c>
      <c r="N20" s="1">
        <v>3</v>
      </c>
      <c r="O20" s="1">
        <v>4</v>
      </c>
      <c r="P20" s="1">
        <v>4</v>
      </c>
      <c r="Q20" s="1">
        <v>3</v>
      </c>
      <c r="R20" s="1">
        <v>3</v>
      </c>
      <c r="S20" s="1">
        <v>3</v>
      </c>
      <c r="T20" s="1">
        <v>3</v>
      </c>
      <c r="U20" s="1">
        <v>3</v>
      </c>
      <c r="V20" s="1">
        <v>3</v>
      </c>
      <c r="W20" s="1">
        <v>2</v>
      </c>
      <c r="X20" s="1">
        <v>3</v>
      </c>
      <c r="Y20" s="1">
        <v>1</v>
      </c>
      <c r="Z20" s="1">
        <v>4</v>
      </c>
      <c r="AA20" s="1">
        <v>4</v>
      </c>
      <c r="AB20" s="1">
        <v>4</v>
      </c>
      <c r="AC20" s="1">
        <v>3</v>
      </c>
      <c r="AD20" s="1">
        <v>4</v>
      </c>
      <c r="AE20" s="1">
        <v>4</v>
      </c>
      <c r="AF20" s="1">
        <v>3</v>
      </c>
      <c r="AG20" s="1">
        <v>2</v>
      </c>
      <c r="AH20" s="1">
        <v>3</v>
      </c>
      <c r="AI20" s="1">
        <v>3</v>
      </c>
      <c r="AJ20" s="1">
        <v>3</v>
      </c>
      <c r="AK20" s="1">
        <v>5</v>
      </c>
      <c r="AL20" s="1">
        <v>4</v>
      </c>
      <c r="AM20" s="1">
        <v>4</v>
      </c>
      <c r="AN20" s="1">
        <v>3</v>
      </c>
      <c r="AO20" s="1">
        <v>5</v>
      </c>
      <c r="AP20" s="1">
        <v>4</v>
      </c>
      <c r="AQ20" s="1">
        <v>5</v>
      </c>
      <c r="AR20" s="1">
        <v>4</v>
      </c>
      <c r="AS20" s="1">
        <v>4</v>
      </c>
      <c r="AT20" s="1">
        <v>2</v>
      </c>
      <c r="AU20" s="1">
        <v>3</v>
      </c>
      <c r="AV20" s="1">
        <v>4</v>
      </c>
      <c r="AW20" s="1">
        <v>2</v>
      </c>
      <c r="AX20" s="1">
        <v>2</v>
      </c>
      <c r="AY20" s="1">
        <v>2</v>
      </c>
      <c r="AZ20" s="1">
        <v>5</v>
      </c>
      <c r="BA20" s="1">
        <v>3</v>
      </c>
      <c r="BB20" s="1">
        <v>5</v>
      </c>
      <c r="BC20" s="1">
        <v>2</v>
      </c>
    </row>
    <row r="21" spans="1:55">
      <c r="A21" s="1" t="s">
        <v>95</v>
      </c>
      <c r="B21" s="1" t="s">
        <v>66</v>
      </c>
      <c r="C21" s="1" t="s">
        <v>94</v>
      </c>
      <c r="D21" s="1">
        <v>3</v>
      </c>
      <c r="E21" s="1">
        <v>3</v>
      </c>
      <c r="F21" s="1">
        <v>3</v>
      </c>
      <c r="G21" s="1">
        <v>4</v>
      </c>
      <c r="H21" s="1">
        <v>2</v>
      </c>
      <c r="I21" s="1">
        <v>4</v>
      </c>
      <c r="J21" s="1">
        <v>3</v>
      </c>
      <c r="K21" s="1">
        <v>2</v>
      </c>
      <c r="L21" s="1">
        <v>2</v>
      </c>
      <c r="M21" s="1">
        <v>3</v>
      </c>
      <c r="N21" s="1">
        <v>3</v>
      </c>
      <c r="O21" s="1">
        <v>2</v>
      </c>
      <c r="P21" s="1">
        <v>2</v>
      </c>
      <c r="Q21" s="1">
        <v>3</v>
      </c>
      <c r="R21" s="1">
        <v>4</v>
      </c>
      <c r="S21" s="1">
        <v>3</v>
      </c>
      <c r="T21" s="1">
        <v>3</v>
      </c>
      <c r="U21" s="1">
        <v>3</v>
      </c>
      <c r="V21" s="1">
        <v>3</v>
      </c>
      <c r="W21" s="1">
        <v>3</v>
      </c>
      <c r="X21" s="1">
        <v>3</v>
      </c>
      <c r="Y21" s="1">
        <v>3</v>
      </c>
      <c r="Z21" s="1">
        <v>3</v>
      </c>
      <c r="AA21" s="1">
        <v>3</v>
      </c>
      <c r="AB21" s="1">
        <v>3</v>
      </c>
      <c r="AC21" s="1">
        <v>3</v>
      </c>
      <c r="AD21" s="1">
        <v>4</v>
      </c>
      <c r="AE21" s="1">
        <v>3</v>
      </c>
      <c r="AF21" s="1">
        <v>3</v>
      </c>
      <c r="AG21" s="1">
        <v>3</v>
      </c>
      <c r="AH21" s="1">
        <v>4</v>
      </c>
      <c r="AI21" s="1">
        <v>4</v>
      </c>
      <c r="AJ21" s="1">
        <v>3</v>
      </c>
      <c r="AK21" s="1">
        <v>3</v>
      </c>
      <c r="AL21" s="1">
        <v>3</v>
      </c>
      <c r="AM21" s="1">
        <v>3</v>
      </c>
      <c r="AN21" s="1">
        <v>3</v>
      </c>
      <c r="AO21" s="1">
        <v>4</v>
      </c>
      <c r="AP21" s="1">
        <v>3</v>
      </c>
      <c r="AQ21" s="1">
        <v>3</v>
      </c>
      <c r="AR21" s="1">
        <v>3</v>
      </c>
      <c r="AS21" s="1">
        <v>3</v>
      </c>
      <c r="AT21" s="1">
        <v>3</v>
      </c>
      <c r="AU21" s="1">
        <v>3</v>
      </c>
      <c r="AV21" s="1">
        <v>3</v>
      </c>
      <c r="AW21" s="1">
        <v>4</v>
      </c>
      <c r="AX21" s="1">
        <v>3</v>
      </c>
      <c r="AY21" s="1">
        <v>4</v>
      </c>
      <c r="AZ21" s="1">
        <v>3</v>
      </c>
      <c r="BA21" s="1">
        <v>4</v>
      </c>
      <c r="BB21" s="1">
        <v>3</v>
      </c>
      <c r="BC21" s="1">
        <v>2</v>
      </c>
    </row>
    <row r="22" spans="1:55">
      <c r="A22" s="1" t="s">
        <v>96</v>
      </c>
      <c r="B22" s="1" t="s">
        <v>66</v>
      </c>
      <c r="C22" s="1" t="s">
        <v>97</v>
      </c>
      <c r="D22" s="1">
        <v>3</v>
      </c>
      <c r="E22" s="1">
        <v>2</v>
      </c>
      <c r="F22" s="1">
        <v>4</v>
      </c>
      <c r="G22" s="1">
        <v>3</v>
      </c>
      <c r="H22" s="1">
        <v>3</v>
      </c>
      <c r="I22" s="1">
        <v>3</v>
      </c>
      <c r="J22" s="1">
        <v>3</v>
      </c>
      <c r="K22" s="1">
        <v>2</v>
      </c>
      <c r="L22" s="1">
        <v>2</v>
      </c>
      <c r="M22" s="1">
        <v>2</v>
      </c>
      <c r="N22" s="1">
        <v>4</v>
      </c>
      <c r="O22" s="1">
        <v>3</v>
      </c>
      <c r="P22" s="1">
        <v>3</v>
      </c>
      <c r="Q22" s="1">
        <v>4</v>
      </c>
      <c r="R22" s="1">
        <v>3</v>
      </c>
      <c r="S22" s="1">
        <v>3</v>
      </c>
      <c r="T22" s="1">
        <v>2</v>
      </c>
      <c r="U22" s="1">
        <v>2</v>
      </c>
      <c r="V22" s="1">
        <v>3</v>
      </c>
      <c r="W22" s="1">
        <v>3</v>
      </c>
      <c r="X22" s="1">
        <v>2</v>
      </c>
      <c r="Y22" s="1">
        <v>2</v>
      </c>
      <c r="Z22" s="1">
        <v>3</v>
      </c>
      <c r="AA22" s="1">
        <v>4</v>
      </c>
      <c r="AB22" s="1">
        <v>3</v>
      </c>
      <c r="AC22" s="1">
        <v>3</v>
      </c>
      <c r="AD22" s="1">
        <v>3</v>
      </c>
      <c r="AE22" s="1">
        <v>3</v>
      </c>
      <c r="AF22" s="1">
        <v>3</v>
      </c>
      <c r="AG22" s="1">
        <v>3</v>
      </c>
      <c r="AH22" s="1">
        <v>4</v>
      </c>
      <c r="AI22" s="1">
        <v>3</v>
      </c>
      <c r="AJ22" s="1">
        <v>3</v>
      </c>
      <c r="AK22" s="1">
        <v>4</v>
      </c>
      <c r="AL22" s="1">
        <v>3</v>
      </c>
      <c r="AM22" s="1">
        <v>3</v>
      </c>
      <c r="AN22" s="1">
        <v>3</v>
      </c>
      <c r="AO22" s="1">
        <v>4</v>
      </c>
      <c r="AP22" s="1">
        <v>4</v>
      </c>
      <c r="AQ22" s="1">
        <v>4</v>
      </c>
      <c r="AR22" s="1">
        <v>3</v>
      </c>
      <c r="AS22" s="1">
        <v>3</v>
      </c>
      <c r="AT22" s="1">
        <v>3</v>
      </c>
      <c r="AU22" s="1">
        <v>4</v>
      </c>
      <c r="AV22" s="1">
        <v>3</v>
      </c>
      <c r="AW22" s="1">
        <v>3</v>
      </c>
      <c r="AX22" s="1">
        <v>4</v>
      </c>
      <c r="AY22" s="1">
        <v>3</v>
      </c>
      <c r="AZ22" s="1">
        <v>5</v>
      </c>
      <c r="BA22" s="1">
        <v>4</v>
      </c>
      <c r="BB22" s="1">
        <v>4</v>
      </c>
      <c r="BC22" s="1">
        <v>4</v>
      </c>
    </row>
    <row r="23" spans="1:55">
      <c r="A23" s="1" t="s">
        <v>98</v>
      </c>
      <c r="B23" s="1" t="s">
        <v>66</v>
      </c>
      <c r="C23" s="1" t="s">
        <v>97</v>
      </c>
      <c r="D23" s="1">
        <v>2</v>
      </c>
      <c r="E23" s="1">
        <v>3</v>
      </c>
      <c r="F23" s="1">
        <v>3</v>
      </c>
      <c r="G23" s="1">
        <v>3</v>
      </c>
      <c r="H23" s="1">
        <v>2</v>
      </c>
      <c r="I23" s="1">
        <v>3</v>
      </c>
      <c r="J23" s="1">
        <v>3</v>
      </c>
      <c r="K23" s="1">
        <v>3</v>
      </c>
      <c r="L23" s="1">
        <v>3</v>
      </c>
      <c r="M23" s="1">
        <v>3</v>
      </c>
      <c r="N23" s="1">
        <v>2</v>
      </c>
      <c r="O23" s="1">
        <v>3</v>
      </c>
      <c r="P23" s="1">
        <v>3</v>
      </c>
      <c r="Q23" s="1">
        <v>4</v>
      </c>
      <c r="R23" s="1">
        <v>3</v>
      </c>
      <c r="S23" s="1">
        <v>4</v>
      </c>
      <c r="T23" s="1">
        <v>3</v>
      </c>
      <c r="U23" s="1">
        <v>3</v>
      </c>
      <c r="V23" s="1">
        <v>2</v>
      </c>
      <c r="W23" s="1">
        <v>2</v>
      </c>
      <c r="X23" s="1">
        <v>3</v>
      </c>
      <c r="Y23" s="1">
        <v>3</v>
      </c>
      <c r="Z23" s="1">
        <v>4</v>
      </c>
      <c r="AA23" s="1">
        <v>3</v>
      </c>
      <c r="AB23" s="1">
        <v>3</v>
      </c>
      <c r="AC23" s="1">
        <v>3</v>
      </c>
      <c r="AD23" s="1">
        <v>4</v>
      </c>
      <c r="AE23" s="1">
        <v>3</v>
      </c>
      <c r="AF23" s="1">
        <v>3</v>
      </c>
      <c r="AG23" s="1">
        <v>3</v>
      </c>
      <c r="AH23" s="1">
        <v>3</v>
      </c>
      <c r="AI23" s="1">
        <v>3</v>
      </c>
      <c r="AJ23" s="1">
        <v>3</v>
      </c>
      <c r="AK23" s="1">
        <v>3</v>
      </c>
      <c r="AL23" s="1">
        <v>4</v>
      </c>
      <c r="AM23" s="1">
        <v>3</v>
      </c>
      <c r="AN23" s="1">
        <v>2</v>
      </c>
      <c r="AO23" s="1">
        <v>4</v>
      </c>
      <c r="AP23" s="1">
        <v>3</v>
      </c>
      <c r="AQ23" s="1">
        <v>3</v>
      </c>
      <c r="AR23" s="1">
        <v>4</v>
      </c>
      <c r="AS23" s="1">
        <v>3</v>
      </c>
      <c r="AT23" s="1">
        <v>4</v>
      </c>
      <c r="AU23" s="1">
        <v>3</v>
      </c>
      <c r="AV23" s="1">
        <v>3</v>
      </c>
      <c r="AW23" s="1">
        <v>3</v>
      </c>
      <c r="AX23" s="1">
        <v>3</v>
      </c>
      <c r="AY23" s="1">
        <v>3</v>
      </c>
      <c r="AZ23" s="1">
        <v>4</v>
      </c>
      <c r="BA23" s="1">
        <v>3</v>
      </c>
      <c r="BB23" s="1">
        <v>3</v>
      </c>
      <c r="BC23" s="1">
        <v>4</v>
      </c>
    </row>
    <row r="24" spans="1:55">
      <c r="A24" s="1" t="s">
        <v>99</v>
      </c>
      <c r="B24" s="1" t="s">
        <v>66</v>
      </c>
      <c r="C24" s="1" t="s">
        <v>100</v>
      </c>
      <c r="D24" s="1">
        <v>4</v>
      </c>
      <c r="E24" s="1">
        <v>3</v>
      </c>
      <c r="F24" s="1">
        <v>3</v>
      </c>
      <c r="G24" s="1">
        <v>3</v>
      </c>
      <c r="H24" s="1">
        <v>4</v>
      </c>
      <c r="I24" s="1">
        <v>4</v>
      </c>
      <c r="J24" s="1">
        <v>3</v>
      </c>
      <c r="K24" s="1">
        <v>4</v>
      </c>
      <c r="L24" s="1">
        <v>4</v>
      </c>
      <c r="M24" s="1">
        <v>4</v>
      </c>
      <c r="N24" s="1">
        <v>3</v>
      </c>
      <c r="O24" s="1">
        <v>3</v>
      </c>
      <c r="P24" s="1">
        <v>3</v>
      </c>
      <c r="Q24" s="1">
        <v>3</v>
      </c>
      <c r="R24" s="1">
        <v>4</v>
      </c>
      <c r="S24" s="1">
        <v>3</v>
      </c>
      <c r="T24" s="1">
        <v>3</v>
      </c>
      <c r="U24" s="1">
        <v>3</v>
      </c>
      <c r="V24" s="1">
        <v>3</v>
      </c>
      <c r="W24" s="1">
        <v>4</v>
      </c>
      <c r="X24" s="1">
        <v>2</v>
      </c>
      <c r="Y24" s="1">
        <v>3</v>
      </c>
      <c r="Z24" s="1">
        <v>3</v>
      </c>
      <c r="AA24" s="1">
        <v>2</v>
      </c>
      <c r="AB24" s="1">
        <v>3</v>
      </c>
      <c r="AC24" s="1">
        <v>3</v>
      </c>
      <c r="AD24" s="1">
        <v>4</v>
      </c>
      <c r="AE24" s="1">
        <v>3</v>
      </c>
      <c r="AF24" s="1">
        <v>3</v>
      </c>
      <c r="AG24" s="1">
        <v>2</v>
      </c>
      <c r="AH24" s="1">
        <v>4</v>
      </c>
      <c r="AI24" s="1">
        <v>4</v>
      </c>
      <c r="AJ24" s="1">
        <v>3</v>
      </c>
      <c r="AK24" s="1">
        <v>4</v>
      </c>
      <c r="AL24" s="1">
        <v>3</v>
      </c>
      <c r="AM24" s="1">
        <v>3</v>
      </c>
      <c r="AN24" s="1">
        <v>4</v>
      </c>
      <c r="AO24" s="1">
        <v>5</v>
      </c>
      <c r="AP24" s="1">
        <v>3</v>
      </c>
      <c r="AQ24" s="1">
        <v>5</v>
      </c>
      <c r="AR24" s="1">
        <v>4</v>
      </c>
      <c r="AS24" s="1">
        <v>4</v>
      </c>
      <c r="AT24" s="1">
        <v>3</v>
      </c>
      <c r="AU24" s="1">
        <v>4</v>
      </c>
      <c r="AV24" s="1">
        <v>4</v>
      </c>
      <c r="AW24" s="1">
        <v>4</v>
      </c>
      <c r="AX24" s="1">
        <v>3</v>
      </c>
      <c r="AY24" s="1">
        <v>5</v>
      </c>
      <c r="AZ24" s="1">
        <v>4</v>
      </c>
      <c r="BA24" s="1">
        <v>4</v>
      </c>
      <c r="BB24" s="1">
        <v>4</v>
      </c>
      <c r="BC24" s="1">
        <v>2</v>
      </c>
    </row>
    <row r="25" spans="1:55">
      <c r="A25" s="1" t="s">
        <v>101</v>
      </c>
      <c r="B25" s="1" t="s">
        <v>66</v>
      </c>
      <c r="C25" s="1" t="s">
        <v>100</v>
      </c>
      <c r="D25" s="1">
        <v>3</v>
      </c>
      <c r="E25" s="1">
        <v>3</v>
      </c>
      <c r="F25" s="1">
        <v>3</v>
      </c>
      <c r="G25" s="1">
        <v>3</v>
      </c>
      <c r="H25" s="1">
        <v>3</v>
      </c>
      <c r="I25" s="1">
        <v>3</v>
      </c>
      <c r="J25" s="1">
        <v>2</v>
      </c>
      <c r="K25" s="1">
        <v>4</v>
      </c>
      <c r="L25" s="1">
        <v>4</v>
      </c>
      <c r="M25" s="1">
        <v>3</v>
      </c>
      <c r="N25" s="1">
        <v>2</v>
      </c>
      <c r="O25" s="1">
        <v>4</v>
      </c>
      <c r="P25" s="1">
        <v>4</v>
      </c>
      <c r="Q25" s="1">
        <v>5</v>
      </c>
      <c r="R25" s="1">
        <v>3</v>
      </c>
      <c r="S25" s="1">
        <v>3</v>
      </c>
      <c r="T25" s="1">
        <v>2</v>
      </c>
      <c r="U25" s="1">
        <v>3</v>
      </c>
      <c r="V25" s="1">
        <v>2</v>
      </c>
      <c r="W25" s="1">
        <v>2</v>
      </c>
      <c r="X25" s="1">
        <v>2</v>
      </c>
      <c r="Y25" s="1">
        <v>3</v>
      </c>
      <c r="Z25" s="1">
        <v>3</v>
      </c>
      <c r="AA25" s="1">
        <v>3</v>
      </c>
      <c r="AB25" s="1">
        <v>4</v>
      </c>
      <c r="AC25" s="1">
        <v>5</v>
      </c>
      <c r="AD25" s="1">
        <v>4</v>
      </c>
      <c r="AE25" s="1">
        <v>4</v>
      </c>
      <c r="AF25" s="1">
        <v>2</v>
      </c>
      <c r="AG25" s="1">
        <v>3</v>
      </c>
      <c r="AH25" s="1">
        <v>4</v>
      </c>
      <c r="AI25" s="1">
        <v>4</v>
      </c>
      <c r="AJ25" s="1">
        <v>2</v>
      </c>
      <c r="AK25" s="1">
        <v>4</v>
      </c>
      <c r="AL25" s="1">
        <v>4</v>
      </c>
      <c r="AM25" s="1">
        <v>3</v>
      </c>
      <c r="AN25" s="1">
        <v>2</v>
      </c>
      <c r="AO25" s="1">
        <v>3</v>
      </c>
      <c r="AP25" s="1">
        <v>4</v>
      </c>
      <c r="AQ25" s="1">
        <v>3</v>
      </c>
      <c r="AR25" s="1">
        <v>3</v>
      </c>
      <c r="AS25" s="1">
        <v>3</v>
      </c>
      <c r="AT25" s="1">
        <v>3</v>
      </c>
      <c r="AU25" s="1">
        <v>3</v>
      </c>
      <c r="AV25" s="1">
        <v>3</v>
      </c>
      <c r="AW25" s="1">
        <v>3</v>
      </c>
      <c r="AX25" s="1">
        <v>3</v>
      </c>
      <c r="AY25" s="1">
        <v>4</v>
      </c>
      <c r="AZ25" s="1">
        <v>3</v>
      </c>
      <c r="BA25" s="1">
        <v>4</v>
      </c>
      <c r="BB25" s="1">
        <v>4</v>
      </c>
      <c r="BC25" s="1">
        <v>3</v>
      </c>
    </row>
    <row r="26" spans="1:55">
      <c r="A26" s="1" t="s">
        <v>102</v>
      </c>
      <c r="B26" s="1" t="s">
        <v>66</v>
      </c>
      <c r="C26" s="1" t="s">
        <v>103</v>
      </c>
      <c r="D26" s="1">
        <v>3</v>
      </c>
      <c r="E26" s="1">
        <v>4</v>
      </c>
      <c r="F26" s="1">
        <v>3</v>
      </c>
      <c r="G26" s="1">
        <v>2</v>
      </c>
      <c r="H26" s="1">
        <v>3</v>
      </c>
      <c r="I26" s="1">
        <v>3</v>
      </c>
      <c r="J26" s="1">
        <v>4</v>
      </c>
      <c r="K26" s="1">
        <v>2</v>
      </c>
      <c r="L26" s="1">
        <v>2</v>
      </c>
      <c r="M26" s="1">
        <v>3</v>
      </c>
      <c r="N26" s="1">
        <v>3</v>
      </c>
      <c r="O26" s="1">
        <v>3</v>
      </c>
      <c r="P26" s="1">
        <v>2</v>
      </c>
      <c r="Q26" s="1">
        <v>3</v>
      </c>
      <c r="R26" s="1">
        <v>3</v>
      </c>
      <c r="S26" s="1">
        <v>2</v>
      </c>
      <c r="T26" s="1">
        <v>4</v>
      </c>
      <c r="U26" s="1">
        <v>3</v>
      </c>
      <c r="V26" s="1">
        <v>3</v>
      </c>
      <c r="W26" s="1">
        <v>4</v>
      </c>
      <c r="X26" s="1">
        <v>3</v>
      </c>
      <c r="Y26" s="1">
        <v>4</v>
      </c>
      <c r="Z26" s="1">
        <v>3</v>
      </c>
      <c r="AA26" s="1">
        <v>3</v>
      </c>
      <c r="AB26" s="1">
        <v>2</v>
      </c>
      <c r="AC26" s="1">
        <v>3</v>
      </c>
      <c r="AD26" s="1">
        <v>3</v>
      </c>
      <c r="AE26" s="1">
        <v>4</v>
      </c>
      <c r="AF26" s="1">
        <v>2</v>
      </c>
      <c r="AG26" s="1">
        <v>2</v>
      </c>
      <c r="AH26" s="1">
        <v>3</v>
      </c>
      <c r="AI26" s="1">
        <v>4</v>
      </c>
      <c r="AJ26" s="1">
        <v>3</v>
      </c>
      <c r="AK26" s="1">
        <v>3</v>
      </c>
      <c r="AL26" s="1">
        <v>3</v>
      </c>
      <c r="AM26" s="1">
        <v>4</v>
      </c>
      <c r="AN26" s="1">
        <v>3</v>
      </c>
      <c r="AO26" s="1">
        <v>3</v>
      </c>
      <c r="AP26" s="1">
        <v>3</v>
      </c>
      <c r="AQ26" s="1">
        <v>3</v>
      </c>
      <c r="AR26" s="1">
        <v>4</v>
      </c>
      <c r="AS26" s="1">
        <v>5</v>
      </c>
      <c r="AT26" s="1">
        <v>4</v>
      </c>
      <c r="AU26" s="1">
        <v>5</v>
      </c>
      <c r="AV26" s="1">
        <v>4</v>
      </c>
      <c r="AW26" s="1">
        <v>4</v>
      </c>
      <c r="AX26" s="1">
        <v>4</v>
      </c>
      <c r="AY26" s="1">
        <v>3</v>
      </c>
      <c r="AZ26" s="1">
        <v>3</v>
      </c>
      <c r="BA26" s="1">
        <v>2</v>
      </c>
      <c r="BB26" s="1">
        <v>4</v>
      </c>
      <c r="BC26" s="1">
        <v>2</v>
      </c>
    </row>
    <row r="27" spans="1:55">
      <c r="A27" s="1" t="s">
        <v>104</v>
      </c>
      <c r="B27" s="1" t="s">
        <v>66</v>
      </c>
      <c r="C27" s="1" t="s">
        <v>103</v>
      </c>
      <c r="D27" s="1">
        <v>3</v>
      </c>
      <c r="E27" s="1">
        <v>3</v>
      </c>
      <c r="F27" s="1">
        <v>4</v>
      </c>
      <c r="G27" s="1">
        <v>4</v>
      </c>
      <c r="H27" s="1">
        <v>4</v>
      </c>
      <c r="I27" s="1">
        <v>4</v>
      </c>
      <c r="J27" s="1">
        <v>3</v>
      </c>
      <c r="K27" s="1">
        <v>2</v>
      </c>
      <c r="L27" s="1">
        <v>3</v>
      </c>
      <c r="M27" s="1">
        <v>3</v>
      </c>
      <c r="N27" s="1">
        <v>3</v>
      </c>
      <c r="O27" s="1">
        <v>2</v>
      </c>
      <c r="P27" s="1">
        <v>1</v>
      </c>
      <c r="Q27" s="1">
        <v>3</v>
      </c>
      <c r="R27" s="1">
        <v>3</v>
      </c>
      <c r="S27" s="1">
        <v>2</v>
      </c>
      <c r="T27" s="1">
        <v>3</v>
      </c>
      <c r="U27" s="1">
        <v>3</v>
      </c>
      <c r="V27" s="1">
        <v>3</v>
      </c>
      <c r="W27" s="1">
        <v>3</v>
      </c>
      <c r="X27" s="1">
        <v>3</v>
      </c>
      <c r="Y27" s="1">
        <v>3</v>
      </c>
      <c r="Z27" s="1">
        <v>3</v>
      </c>
      <c r="AA27" s="1">
        <v>3</v>
      </c>
      <c r="AB27" s="1">
        <v>3</v>
      </c>
      <c r="AC27" s="1">
        <v>3</v>
      </c>
      <c r="AD27" s="1">
        <v>3</v>
      </c>
      <c r="AE27" s="1">
        <v>3</v>
      </c>
      <c r="AF27" s="1">
        <v>4</v>
      </c>
      <c r="AG27" s="1">
        <v>3</v>
      </c>
      <c r="AH27" s="1">
        <v>4</v>
      </c>
      <c r="AI27" s="1">
        <v>4</v>
      </c>
      <c r="AJ27" s="1">
        <v>4</v>
      </c>
      <c r="AK27" s="1">
        <v>3</v>
      </c>
      <c r="AL27" s="1">
        <v>2</v>
      </c>
      <c r="AM27" s="1">
        <v>3</v>
      </c>
      <c r="AN27" s="1">
        <v>3</v>
      </c>
      <c r="AO27" s="1">
        <v>3</v>
      </c>
      <c r="AP27" s="1">
        <v>3</v>
      </c>
      <c r="AQ27" s="1">
        <v>4</v>
      </c>
      <c r="AR27" s="1">
        <v>4</v>
      </c>
      <c r="AS27" s="1">
        <v>3</v>
      </c>
      <c r="AT27" s="1">
        <v>4</v>
      </c>
      <c r="AU27" s="1">
        <v>3</v>
      </c>
      <c r="AV27" s="1">
        <v>3</v>
      </c>
      <c r="AW27" s="1">
        <v>3</v>
      </c>
      <c r="AX27" s="1">
        <v>3</v>
      </c>
      <c r="AY27" s="1">
        <v>3</v>
      </c>
      <c r="AZ27" s="1">
        <v>4</v>
      </c>
      <c r="BA27" s="1">
        <v>2</v>
      </c>
      <c r="BB27" s="1">
        <v>3</v>
      </c>
      <c r="BC27" s="1">
        <v>2</v>
      </c>
    </row>
    <row r="28" spans="1:55">
      <c r="A28" s="1" t="s">
        <v>105</v>
      </c>
      <c r="B28" s="1" t="s">
        <v>66</v>
      </c>
      <c r="C28" s="1" t="s">
        <v>106</v>
      </c>
      <c r="D28" s="1">
        <v>3</v>
      </c>
      <c r="E28" s="1">
        <v>3</v>
      </c>
      <c r="F28" s="1">
        <v>3</v>
      </c>
      <c r="G28" s="1">
        <v>3</v>
      </c>
      <c r="H28" s="1">
        <v>3</v>
      </c>
      <c r="I28" s="1">
        <v>3</v>
      </c>
      <c r="J28" s="1">
        <v>3</v>
      </c>
      <c r="K28" s="1">
        <v>2</v>
      </c>
      <c r="L28" s="1">
        <v>2</v>
      </c>
      <c r="M28" s="1">
        <v>2</v>
      </c>
      <c r="N28" s="1">
        <v>3</v>
      </c>
      <c r="O28" s="1">
        <v>3</v>
      </c>
      <c r="P28" s="1">
        <v>3</v>
      </c>
      <c r="Q28" s="1">
        <v>3</v>
      </c>
      <c r="R28" s="1">
        <v>2</v>
      </c>
      <c r="S28" s="1">
        <v>3</v>
      </c>
      <c r="T28" s="1">
        <v>3</v>
      </c>
      <c r="U28" s="1">
        <v>3</v>
      </c>
      <c r="V28" s="1">
        <v>3</v>
      </c>
      <c r="W28" s="1">
        <v>3</v>
      </c>
      <c r="X28" s="1">
        <v>3</v>
      </c>
      <c r="Y28" s="1">
        <v>4</v>
      </c>
      <c r="Z28" s="1">
        <v>3</v>
      </c>
      <c r="AA28" s="1">
        <v>4</v>
      </c>
      <c r="AB28" s="1">
        <v>2</v>
      </c>
      <c r="AC28" s="1">
        <v>3</v>
      </c>
      <c r="AD28" s="1">
        <v>4</v>
      </c>
      <c r="AE28" s="1">
        <v>3</v>
      </c>
      <c r="AF28" s="1">
        <v>2</v>
      </c>
      <c r="AG28" s="1">
        <v>3</v>
      </c>
      <c r="AH28" s="1">
        <v>4</v>
      </c>
      <c r="AI28" s="1">
        <v>4</v>
      </c>
      <c r="AJ28" s="1">
        <v>4</v>
      </c>
      <c r="AK28" s="1">
        <v>3</v>
      </c>
      <c r="AL28" s="1">
        <v>3</v>
      </c>
      <c r="AM28" s="1">
        <v>2</v>
      </c>
      <c r="AN28" s="1">
        <v>3</v>
      </c>
      <c r="AO28" s="1">
        <v>3</v>
      </c>
      <c r="AP28" s="1">
        <v>4</v>
      </c>
      <c r="AQ28" s="1">
        <v>4</v>
      </c>
      <c r="AR28" s="1">
        <v>2</v>
      </c>
      <c r="AS28" s="1">
        <v>3</v>
      </c>
      <c r="AT28" s="1">
        <v>2</v>
      </c>
      <c r="AU28" s="1">
        <v>3</v>
      </c>
      <c r="AV28" s="1">
        <v>3</v>
      </c>
      <c r="AW28" s="1">
        <v>4</v>
      </c>
      <c r="AX28" s="1">
        <v>4</v>
      </c>
      <c r="AY28" s="1">
        <v>4</v>
      </c>
      <c r="AZ28" s="1">
        <v>4</v>
      </c>
      <c r="BA28" s="1">
        <v>4</v>
      </c>
      <c r="BB28" s="1">
        <v>3</v>
      </c>
      <c r="BC28" s="1">
        <v>2</v>
      </c>
    </row>
    <row r="29" spans="1:55">
      <c r="A29" s="1" t="s">
        <v>107</v>
      </c>
      <c r="B29" s="1" t="s">
        <v>66</v>
      </c>
      <c r="C29" s="1" t="s">
        <v>106</v>
      </c>
      <c r="D29" s="1">
        <v>3</v>
      </c>
      <c r="E29" s="1">
        <v>3</v>
      </c>
      <c r="F29" s="1">
        <v>2</v>
      </c>
      <c r="G29" s="1">
        <v>3</v>
      </c>
      <c r="H29" s="1">
        <v>3</v>
      </c>
      <c r="I29" s="1">
        <v>4</v>
      </c>
      <c r="J29" s="1">
        <v>4</v>
      </c>
      <c r="K29" s="1">
        <v>4</v>
      </c>
      <c r="L29" s="1">
        <v>3</v>
      </c>
      <c r="M29" s="1">
        <v>4</v>
      </c>
      <c r="N29" s="1">
        <v>3</v>
      </c>
      <c r="O29" s="1">
        <v>3</v>
      </c>
      <c r="P29" s="1">
        <v>4</v>
      </c>
      <c r="Q29" s="1">
        <v>3</v>
      </c>
      <c r="R29" s="1">
        <v>3</v>
      </c>
      <c r="S29" s="1">
        <v>3</v>
      </c>
      <c r="T29" s="1">
        <v>2</v>
      </c>
      <c r="U29" s="1">
        <v>3</v>
      </c>
      <c r="V29" s="1">
        <v>3</v>
      </c>
      <c r="W29" s="1">
        <v>4</v>
      </c>
      <c r="X29" s="1">
        <v>3</v>
      </c>
      <c r="Y29" s="1">
        <v>3</v>
      </c>
      <c r="Z29" s="1">
        <v>3</v>
      </c>
      <c r="AA29" s="1">
        <v>3</v>
      </c>
      <c r="AB29" s="1">
        <v>3</v>
      </c>
      <c r="AC29" s="1">
        <v>4</v>
      </c>
      <c r="AD29" s="1">
        <v>4</v>
      </c>
      <c r="AE29" s="1">
        <v>3</v>
      </c>
      <c r="AF29" s="1">
        <v>1</v>
      </c>
      <c r="AG29" s="1">
        <v>3</v>
      </c>
      <c r="AH29" s="1">
        <v>4</v>
      </c>
      <c r="AI29" s="1">
        <v>4</v>
      </c>
      <c r="AJ29" s="1">
        <v>3</v>
      </c>
      <c r="AK29" s="1">
        <v>4</v>
      </c>
      <c r="AL29" s="1">
        <v>3</v>
      </c>
      <c r="AM29" s="1">
        <v>5</v>
      </c>
      <c r="AN29" s="1">
        <v>4</v>
      </c>
      <c r="AO29" s="1">
        <v>4</v>
      </c>
      <c r="AP29" s="1">
        <v>4</v>
      </c>
      <c r="AQ29" s="1">
        <v>4</v>
      </c>
      <c r="AR29" s="1">
        <v>3</v>
      </c>
      <c r="AS29" s="1">
        <v>4</v>
      </c>
      <c r="AT29" s="1">
        <v>3</v>
      </c>
      <c r="AU29" s="1">
        <v>4</v>
      </c>
      <c r="AV29" s="1">
        <v>5</v>
      </c>
      <c r="AW29" s="1">
        <v>4</v>
      </c>
      <c r="AX29" s="1">
        <v>4</v>
      </c>
      <c r="AY29" s="1">
        <v>3</v>
      </c>
      <c r="AZ29" s="1">
        <v>5</v>
      </c>
      <c r="BA29" s="1">
        <v>4</v>
      </c>
      <c r="BB29" s="1">
        <v>4</v>
      </c>
      <c r="BC29" s="1">
        <v>2</v>
      </c>
    </row>
    <row r="30" spans="1:55">
      <c r="A30" s="1" t="s">
        <v>108</v>
      </c>
      <c r="B30" s="1" t="s">
        <v>66</v>
      </c>
      <c r="C30" s="1" t="s">
        <v>109</v>
      </c>
      <c r="D30" s="1">
        <v>2</v>
      </c>
      <c r="E30" s="1">
        <v>3</v>
      </c>
      <c r="F30" s="1">
        <v>3</v>
      </c>
      <c r="G30" s="1">
        <v>3</v>
      </c>
      <c r="H30" s="1">
        <v>4</v>
      </c>
      <c r="I30" s="1">
        <v>3</v>
      </c>
      <c r="J30" s="1">
        <v>3</v>
      </c>
      <c r="K30" s="1">
        <v>2</v>
      </c>
      <c r="L30" s="1">
        <v>3</v>
      </c>
      <c r="M30" s="1">
        <v>2</v>
      </c>
      <c r="N30" s="1">
        <v>3</v>
      </c>
      <c r="O30" s="1">
        <v>2</v>
      </c>
      <c r="P30" s="1">
        <v>3</v>
      </c>
      <c r="Q30" s="1">
        <v>2</v>
      </c>
      <c r="R30" s="1">
        <v>4</v>
      </c>
      <c r="S30" s="1">
        <v>3</v>
      </c>
      <c r="T30" s="1">
        <v>3</v>
      </c>
      <c r="U30" s="1">
        <v>3</v>
      </c>
      <c r="V30" s="1">
        <v>2</v>
      </c>
      <c r="W30" s="1">
        <v>2</v>
      </c>
      <c r="X30" s="1">
        <v>2</v>
      </c>
      <c r="Y30" s="1">
        <v>1</v>
      </c>
      <c r="Z30" s="1">
        <v>2</v>
      </c>
      <c r="AA30" s="1">
        <v>3</v>
      </c>
      <c r="AB30" s="1">
        <v>2</v>
      </c>
      <c r="AC30" s="1">
        <v>2</v>
      </c>
      <c r="AD30" s="1">
        <v>3</v>
      </c>
      <c r="AE30" s="1">
        <v>5</v>
      </c>
      <c r="AF30" s="1">
        <v>3</v>
      </c>
      <c r="AG30" s="1">
        <v>2</v>
      </c>
      <c r="AH30" s="1">
        <v>4</v>
      </c>
      <c r="AI30" s="1">
        <v>3</v>
      </c>
      <c r="AJ30" s="1">
        <v>3</v>
      </c>
      <c r="AK30" s="1">
        <v>3</v>
      </c>
      <c r="AL30" s="1">
        <v>2</v>
      </c>
      <c r="AM30" s="1">
        <v>5</v>
      </c>
      <c r="AN30" s="1">
        <v>3</v>
      </c>
      <c r="AO30" s="1">
        <v>2</v>
      </c>
      <c r="AP30" s="1">
        <v>2</v>
      </c>
      <c r="AQ30" s="1">
        <v>2</v>
      </c>
      <c r="AR30" s="1">
        <v>4</v>
      </c>
      <c r="AS30" s="1">
        <v>4</v>
      </c>
      <c r="AT30" s="1">
        <v>4</v>
      </c>
      <c r="AU30" s="1">
        <v>4</v>
      </c>
      <c r="AV30" s="1">
        <v>3</v>
      </c>
      <c r="AW30" s="1">
        <v>3</v>
      </c>
      <c r="AX30" s="1">
        <v>2</v>
      </c>
      <c r="AY30" s="1">
        <v>3</v>
      </c>
      <c r="AZ30" s="1">
        <v>3</v>
      </c>
      <c r="BA30" s="1">
        <v>2</v>
      </c>
      <c r="BB30" s="1">
        <v>3</v>
      </c>
      <c r="BC30" s="1">
        <v>3</v>
      </c>
    </row>
    <row r="31" spans="1:55">
      <c r="A31" s="1" t="s">
        <v>110</v>
      </c>
      <c r="B31" s="1" t="s">
        <v>66</v>
      </c>
      <c r="C31" s="1" t="s">
        <v>109</v>
      </c>
      <c r="D31" s="1">
        <v>3</v>
      </c>
      <c r="E31" s="1">
        <v>3</v>
      </c>
      <c r="F31" s="1">
        <v>3</v>
      </c>
      <c r="G31" s="1">
        <v>1</v>
      </c>
      <c r="H31" s="1">
        <v>4</v>
      </c>
      <c r="I31" s="1">
        <v>5</v>
      </c>
      <c r="J31" s="1">
        <v>4</v>
      </c>
      <c r="K31" s="1">
        <v>3</v>
      </c>
      <c r="L31" s="1">
        <v>4</v>
      </c>
      <c r="M31" s="1">
        <v>3</v>
      </c>
      <c r="N31" s="1">
        <v>4</v>
      </c>
      <c r="O31" s="1">
        <v>3</v>
      </c>
      <c r="P31" s="1">
        <v>3</v>
      </c>
      <c r="Q31" s="1">
        <v>3</v>
      </c>
      <c r="R31" s="1">
        <v>3</v>
      </c>
      <c r="S31" s="1">
        <v>3</v>
      </c>
      <c r="T31" s="1">
        <v>4</v>
      </c>
      <c r="U31" s="1">
        <v>4</v>
      </c>
      <c r="V31" s="1">
        <v>3</v>
      </c>
      <c r="W31" s="1">
        <v>2</v>
      </c>
      <c r="X31" s="1">
        <v>2</v>
      </c>
      <c r="Y31" s="1">
        <v>2</v>
      </c>
      <c r="Z31" s="1">
        <v>2</v>
      </c>
      <c r="AA31" s="1">
        <v>3</v>
      </c>
      <c r="AB31" s="1">
        <v>3</v>
      </c>
      <c r="AC31" s="1">
        <v>1</v>
      </c>
      <c r="AD31" s="1">
        <v>3</v>
      </c>
      <c r="AE31" s="1">
        <v>3</v>
      </c>
      <c r="AF31" s="1">
        <v>2</v>
      </c>
      <c r="AG31" s="1">
        <v>2</v>
      </c>
      <c r="AH31" s="1">
        <v>4</v>
      </c>
      <c r="AI31" s="1">
        <v>5</v>
      </c>
      <c r="AJ31" s="1">
        <v>5</v>
      </c>
      <c r="AK31" s="1">
        <v>5</v>
      </c>
      <c r="AL31" s="1">
        <v>4</v>
      </c>
      <c r="AM31" s="1">
        <v>4</v>
      </c>
      <c r="AN31" s="1">
        <v>5</v>
      </c>
      <c r="AO31" s="1">
        <v>3</v>
      </c>
      <c r="AP31" s="1">
        <v>3</v>
      </c>
      <c r="AQ31" s="1">
        <v>4</v>
      </c>
      <c r="AR31" s="1">
        <v>3</v>
      </c>
      <c r="AS31" s="1">
        <v>4</v>
      </c>
      <c r="AT31" s="1">
        <v>3</v>
      </c>
      <c r="AU31" s="1">
        <v>4</v>
      </c>
      <c r="AV31" s="1">
        <v>5</v>
      </c>
      <c r="AW31" s="1">
        <v>3</v>
      </c>
      <c r="AX31" s="1">
        <v>3</v>
      </c>
      <c r="AY31" s="1">
        <v>3</v>
      </c>
      <c r="AZ31" s="1">
        <v>3</v>
      </c>
      <c r="BA31" s="1">
        <v>3</v>
      </c>
      <c r="BB31" s="1">
        <v>3</v>
      </c>
      <c r="BC31" s="1">
        <v>2</v>
      </c>
    </row>
    <row r="32" spans="1:55">
      <c r="A32" s="1" t="s">
        <v>111</v>
      </c>
      <c r="B32" s="1" t="s">
        <v>66</v>
      </c>
      <c r="C32" s="1" t="s">
        <v>112</v>
      </c>
      <c r="D32" s="1">
        <v>2</v>
      </c>
      <c r="E32" s="1">
        <v>3</v>
      </c>
      <c r="F32" s="1">
        <v>2</v>
      </c>
      <c r="G32" s="1">
        <v>3</v>
      </c>
      <c r="H32" s="1">
        <v>3</v>
      </c>
      <c r="I32" s="1">
        <v>3</v>
      </c>
      <c r="J32" s="1">
        <v>3</v>
      </c>
      <c r="K32" s="1">
        <v>3</v>
      </c>
      <c r="L32" s="1">
        <v>2</v>
      </c>
      <c r="M32" s="1">
        <v>3</v>
      </c>
      <c r="N32" s="1">
        <v>2</v>
      </c>
      <c r="O32" s="1">
        <v>2</v>
      </c>
      <c r="P32" s="1">
        <v>3</v>
      </c>
      <c r="Q32" s="1">
        <v>4</v>
      </c>
      <c r="R32" s="1">
        <v>4</v>
      </c>
      <c r="S32" s="1">
        <v>3</v>
      </c>
      <c r="T32" s="1">
        <v>4</v>
      </c>
      <c r="U32" s="1">
        <v>4</v>
      </c>
      <c r="V32" s="1">
        <v>2</v>
      </c>
      <c r="W32" s="1">
        <v>3</v>
      </c>
      <c r="X32" s="1">
        <v>3</v>
      </c>
      <c r="Y32" s="1">
        <v>3</v>
      </c>
      <c r="Z32" s="1">
        <v>3</v>
      </c>
      <c r="AA32" s="1">
        <v>3</v>
      </c>
      <c r="AB32" s="1">
        <v>3</v>
      </c>
      <c r="AC32" s="1">
        <v>3</v>
      </c>
      <c r="AD32" s="1">
        <v>4</v>
      </c>
      <c r="AE32" s="1">
        <v>3</v>
      </c>
      <c r="AF32" s="1">
        <v>2</v>
      </c>
      <c r="AG32" s="1">
        <v>3</v>
      </c>
      <c r="AH32" s="1">
        <v>3</v>
      </c>
      <c r="AI32" s="1">
        <v>3</v>
      </c>
      <c r="AJ32" s="1">
        <v>3</v>
      </c>
      <c r="AK32" s="1">
        <v>3</v>
      </c>
      <c r="AL32" s="1">
        <v>4</v>
      </c>
      <c r="AM32" s="1">
        <v>3</v>
      </c>
      <c r="AN32" s="1">
        <v>3</v>
      </c>
      <c r="AO32" s="1">
        <v>5</v>
      </c>
      <c r="AP32" s="1">
        <v>3</v>
      </c>
      <c r="AQ32" s="1">
        <v>4</v>
      </c>
      <c r="AR32" s="1">
        <v>3</v>
      </c>
      <c r="AS32" s="1">
        <v>4</v>
      </c>
      <c r="AT32" s="1">
        <v>4</v>
      </c>
      <c r="AU32" s="1">
        <v>4</v>
      </c>
      <c r="AV32" s="1">
        <v>3</v>
      </c>
      <c r="AW32" s="1">
        <v>3</v>
      </c>
      <c r="AX32" s="1">
        <v>4</v>
      </c>
      <c r="AY32" s="1">
        <v>3</v>
      </c>
      <c r="AZ32" s="1">
        <v>3</v>
      </c>
      <c r="BA32" s="1">
        <v>4</v>
      </c>
      <c r="BB32" s="1">
        <v>4</v>
      </c>
      <c r="BC32" s="1">
        <v>4</v>
      </c>
    </row>
    <row r="33" spans="1:55">
      <c r="A33" s="1" t="s">
        <v>113</v>
      </c>
      <c r="B33" s="1" t="s">
        <v>66</v>
      </c>
      <c r="C33" s="1" t="s">
        <v>112</v>
      </c>
      <c r="D33" s="1">
        <v>4</v>
      </c>
      <c r="E33" s="1">
        <v>4</v>
      </c>
      <c r="F33" s="1">
        <v>2</v>
      </c>
      <c r="G33" s="1">
        <v>2</v>
      </c>
      <c r="H33" s="1">
        <v>2</v>
      </c>
      <c r="I33" s="1">
        <v>2</v>
      </c>
      <c r="J33" s="1">
        <v>3</v>
      </c>
      <c r="K33" s="1">
        <v>2</v>
      </c>
      <c r="L33" s="1">
        <v>3</v>
      </c>
      <c r="M33" s="1">
        <v>4</v>
      </c>
      <c r="N33" s="1">
        <v>1</v>
      </c>
      <c r="O33" s="1">
        <v>2</v>
      </c>
      <c r="P33" s="1">
        <v>2</v>
      </c>
      <c r="Q33" s="1">
        <v>3</v>
      </c>
      <c r="R33" s="1">
        <v>4</v>
      </c>
      <c r="S33" s="1">
        <v>4</v>
      </c>
      <c r="T33" s="1">
        <v>5</v>
      </c>
      <c r="U33" s="1">
        <v>4</v>
      </c>
      <c r="V33" s="1">
        <v>2</v>
      </c>
      <c r="W33" s="1">
        <v>3</v>
      </c>
      <c r="X33" s="1">
        <v>2</v>
      </c>
      <c r="Y33" s="1">
        <v>2</v>
      </c>
      <c r="Z33" s="1">
        <v>2</v>
      </c>
      <c r="AA33" s="1">
        <v>2</v>
      </c>
      <c r="AB33" s="1">
        <v>2</v>
      </c>
      <c r="AC33" s="1">
        <v>4</v>
      </c>
      <c r="AD33" s="1">
        <v>4</v>
      </c>
      <c r="AE33" s="1">
        <v>4</v>
      </c>
      <c r="AF33" s="1">
        <v>1</v>
      </c>
      <c r="AG33" s="1">
        <v>2</v>
      </c>
      <c r="AH33" s="1">
        <v>3</v>
      </c>
      <c r="AI33" s="1">
        <v>4</v>
      </c>
      <c r="AJ33" s="1">
        <v>4</v>
      </c>
      <c r="AK33" s="1">
        <v>2</v>
      </c>
      <c r="AL33" s="1">
        <v>2</v>
      </c>
      <c r="AM33" s="1">
        <v>5</v>
      </c>
      <c r="AN33" s="1">
        <v>3</v>
      </c>
      <c r="AO33" s="1">
        <v>2</v>
      </c>
      <c r="AP33" s="1">
        <v>2</v>
      </c>
      <c r="AQ33" s="1">
        <v>1</v>
      </c>
      <c r="AR33" s="1">
        <v>4</v>
      </c>
      <c r="AS33" s="1">
        <v>4</v>
      </c>
      <c r="AT33" s="1">
        <v>4</v>
      </c>
      <c r="AU33" s="1">
        <v>4</v>
      </c>
      <c r="AV33" s="1">
        <v>4</v>
      </c>
      <c r="AW33" s="1">
        <v>4</v>
      </c>
      <c r="AX33" s="1">
        <v>4</v>
      </c>
      <c r="AY33" s="1">
        <v>4</v>
      </c>
      <c r="AZ33" s="1">
        <v>3</v>
      </c>
      <c r="BA33" s="1">
        <v>2</v>
      </c>
      <c r="BB33" s="1">
        <v>2</v>
      </c>
      <c r="BC33" s="1">
        <v>3</v>
      </c>
    </row>
    <row r="34" spans="1:55">
      <c r="A34" s="1" t="s">
        <v>114</v>
      </c>
      <c r="B34" s="1" t="s">
        <v>66</v>
      </c>
      <c r="C34" s="1" t="s">
        <v>115</v>
      </c>
      <c r="D34" s="1">
        <v>4</v>
      </c>
      <c r="E34" s="1">
        <v>3</v>
      </c>
      <c r="F34" s="1">
        <v>2</v>
      </c>
      <c r="G34" s="1">
        <v>2</v>
      </c>
      <c r="H34" s="1">
        <v>4</v>
      </c>
      <c r="I34" s="1">
        <v>2</v>
      </c>
      <c r="J34" s="1">
        <v>4</v>
      </c>
      <c r="K34" s="1">
        <v>2</v>
      </c>
      <c r="L34" s="1">
        <v>3</v>
      </c>
      <c r="M34" s="1">
        <v>3</v>
      </c>
      <c r="N34" s="1">
        <v>3</v>
      </c>
      <c r="O34" s="1">
        <v>3</v>
      </c>
      <c r="P34" s="1">
        <v>4</v>
      </c>
      <c r="Q34" s="1">
        <v>3</v>
      </c>
      <c r="R34" s="1">
        <v>5</v>
      </c>
      <c r="S34" s="1">
        <v>4</v>
      </c>
      <c r="T34" s="1">
        <v>4</v>
      </c>
      <c r="U34" s="1">
        <v>3</v>
      </c>
      <c r="V34" s="1">
        <v>4</v>
      </c>
      <c r="W34" s="1">
        <v>2</v>
      </c>
      <c r="X34" s="1">
        <v>2</v>
      </c>
      <c r="Y34" s="1">
        <v>3</v>
      </c>
      <c r="Z34" s="1">
        <v>3</v>
      </c>
      <c r="AA34" s="1">
        <v>4</v>
      </c>
      <c r="AB34" s="1">
        <v>3</v>
      </c>
      <c r="AC34" s="1">
        <v>3</v>
      </c>
      <c r="AD34" s="1">
        <v>4</v>
      </c>
      <c r="AE34" s="1">
        <v>4</v>
      </c>
      <c r="AF34" s="1">
        <v>1</v>
      </c>
      <c r="AG34" s="1">
        <v>2</v>
      </c>
      <c r="AH34" s="1">
        <v>5</v>
      </c>
      <c r="AI34" s="1">
        <v>4</v>
      </c>
      <c r="AJ34" s="1">
        <v>3</v>
      </c>
      <c r="AK34" s="1">
        <v>3</v>
      </c>
      <c r="AL34" s="1">
        <v>4</v>
      </c>
      <c r="AM34" s="1">
        <v>4</v>
      </c>
      <c r="AN34" s="1">
        <v>3</v>
      </c>
      <c r="AO34" s="1">
        <v>4</v>
      </c>
      <c r="AP34" s="1">
        <v>3</v>
      </c>
      <c r="AQ34" s="1">
        <v>5</v>
      </c>
      <c r="AR34" s="1">
        <v>4</v>
      </c>
      <c r="AS34" s="1">
        <v>4</v>
      </c>
      <c r="AT34" s="1">
        <v>4</v>
      </c>
      <c r="AU34" s="1">
        <v>4</v>
      </c>
      <c r="AV34" s="1">
        <v>3</v>
      </c>
      <c r="AW34" s="1">
        <v>4</v>
      </c>
      <c r="AX34" s="1">
        <v>4</v>
      </c>
      <c r="AY34" s="1">
        <v>3</v>
      </c>
      <c r="AZ34" s="1">
        <v>4</v>
      </c>
      <c r="BA34" s="1">
        <v>4</v>
      </c>
      <c r="BB34" s="1">
        <v>5</v>
      </c>
      <c r="BC34" s="1">
        <v>2</v>
      </c>
    </row>
    <row r="35" spans="1:55">
      <c r="A35" s="1" t="s">
        <v>116</v>
      </c>
      <c r="B35" s="1" t="s">
        <v>66</v>
      </c>
      <c r="C35" s="1" t="s">
        <v>115</v>
      </c>
      <c r="D35" s="1">
        <v>4</v>
      </c>
      <c r="E35" s="1">
        <v>3</v>
      </c>
      <c r="F35" s="1">
        <v>3</v>
      </c>
      <c r="G35" s="1">
        <v>3</v>
      </c>
      <c r="H35" s="1">
        <v>3</v>
      </c>
      <c r="I35" s="1">
        <v>2</v>
      </c>
      <c r="J35" s="1">
        <v>2</v>
      </c>
      <c r="K35" s="1">
        <v>3</v>
      </c>
      <c r="L35" s="1">
        <v>3</v>
      </c>
      <c r="M35" s="1">
        <v>3</v>
      </c>
      <c r="N35" s="1">
        <v>2</v>
      </c>
      <c r="O35" s="1">
        <v>3</v>
      </c>
      <c r="P35" s="1">
        <v>3</v>
      </c>
      <c r="Q35" s="1">
        <v>3</v>
      </c>
      <c r="R35" s="1">
        <v>3</v>
      </c>
      <c r="S35" s="1">
        <v>3</v>
      </c>
      <c r="T35" s="1">
        <v>3</v>
      </c>
      <c r="U35" s="1">
        <v>3</v>
      </c>
      <c r="V35" s="1">
        <v>2</v>
      </c>
      <c r="W35" s="1">
        <v>3</v>
      </c>
      <c r="X35" s="1">
        <v>3</v>
      </c>
      <c r="Y35" s="1">
        <v>2</v>
      </c>
      <c r="Z35" s="1">
        <v>3</v>
      </c>
      <c r="AA35" s="1">
        <v>2</v>
      </c>
      <c r="AB35" s="1">
        <v>3</v>
      </c>
      <c r="AC35" s="1">
        <v>4</v>
      </c>
      <c r="AD35" s="1">
        <v>3</v>
      </c>
      <c r="AE35" s="1">
        <v>4</v>
      </c>
      <c r="AF35" s="1">
        <v>2</v>
      </c>
      <c r="AG35" s="1">
        <v>2</v>
      </c>
      <c r="AH35" s="1">
        <v>3</v>
      </c>
      <c r="AI35" s="1">
        <v>3</v>
      </c>
      <c r="AJ35" s="1">
        <v>2</v>
      </c>
      <c r="AK35" s="1">
        <v>3</v>
      </c>
      <c r="AL35" s="1">
        <v>3</v>
      </c>
      <c r="AM35" s="1">
        <v>4</v>
      </c>
      <c r="AN35" s="1">
        <v>4</v>
      </c>
      <c r="AO35" s="1">
        <v>4</v>
      </c>
      <c r="AP35" s="1">
        <v>3</v>
      </c>
      <c r="AQ35" s="1">
        <v>3</v>
      </c>
      <c r="AR35" s="1">
        <v>4</v>
      </c>
      <c r="AS35" s="1">
        <v>3</v>
      </c>
      <c r="AT35" s="1">
        <v>4</v>
      </c>
      <c r="AU35" s="1">
        <v>4</v>
      </c>
      <c r="AV35" s="1">
        <v>3</v>
      </c>
      <c r="AW35" s="1">
        <v>3</v>
      </c>
      <c r="AX35" s="1">
        <v>3</v>
      </c>
      <c r="AY35" s="1">
        <v>3</v>
      </c>
      <c r="AZ35" s="1">
        <v>4</v>
      </c>
      <c r="BA35" s="1">
        <v>3</v>
      </c>
      <c r="BB35" s="1">
        <v>4</v>
      </c>
      <c r="BC35" s="1">
        <v>4</v>
      </c>
    </row>
    <row r="36" spans="1:55">
      <c r="A36" s="1" t="s">
        <v>117</v>
      </c>
      <c r="B36" s="1" t="s">
        <v>66</v>
      </c>
      <c r="C36" s="1" t="s">
        <v>118</v>
      </c>
      <c r="D36" s="1">
        <v>3</v>
      </c>
      <c r="E36" s="1">
        <v>4</v>
      </c>
      <c r="F36" s="1">
        <v>2</v>
      </c>
      <c r="G36" s="1">
        <v>3</v>
      </c>
      <c r="H36" s="1">
        <v>3</v>
      </c>
      <c r="I36" s="1">
        <v>3</v>
      </c>
      <c r="J36" s="1">
        <v>3</v>
      </c>
      <c r="K36" s="1">
        <v>3</v>
      </c>
      <c r="L36" s="1">
        <v>3</v>
      </c>
      <c r="M36" s="1">
        <v>3</v>
      </c>
      <c r="N36" s="1">
        <v>4</v>
      </c>
      <c r="O36" s="1">
        <v>3</v>
      </c>
      <c r="P36" s="1">
        <v>3</v>
      </c>
      <c r="Q36" s="1">
        <v>3</v>
      </c>
      <c r="R36" s="1">
        <v>4</v>
      </c>
      <c r="S36" s="1">
        <v>3</v>
      </c>
      <c r="T36" s="1">
        <v>4</v>
      </c>
      <c r="U36" s="1">
        <v>4</v>
      </c>
      <c r="V36" s="1">
        <v>3</v>
      </c>
      <c r="W36" s="1">
        <v>3</v>
      </c>
      <c r="X36" s="1">
        <v>2</v>
      </c>
      <c r="Y36" s="1">
        <v>3</v>
      </c>
      <c r="Z36" s="1">
        <v>3</v>
      </c>
      <c r="AA36" s="1">
        <v>2</v>
      </c>
      <c r="AB36" s="1">
        <v>4</v>
      </c>
      <c r="AC36" s="1">
        <v>3</v>
      </c>
      <c r="AD36" s="1">
        <v>3</v>
      </c>
      <c r="AE36" s="1">
        <v>3</v>
      </c>
      <c r="AF36" s="1">
        <v>3</v>
      </c>
      <c r="AG36" s="1">
        <v>2</v>
      </c>
      <c r="AH36" s="1">
        <v>4</v>
      </c>
      <c r="AI36" s="1">
        <v>3</v>
      </c>
      <c r="AJ36" s="1">
        <v>4</v>
      </c>
      <c r="AK36" s="1">
        <v>2</v>
      </c>
      <c r="AL36" s="1">
        <v>3</v>
      </c>
      <c r="AM36" s="1">
        <v>4</v>
      </c>
      <c r="AN36" s="1">
        <v>4</v>
      </c>
      <c r="AO36" s="1">
        <v>3</v>
      </c>
      <c r="AP36" s="1">
        <v>3</v>
      </c>
      <c r="AQ36" s="1">
        <v>4</v>
      </c>
      <c r="AR36" s="1">
        <v>4</v>
      </c>
      <c r="AS36" s="1">
        <v>4</v>
      </c>
      <c r="AT36" s="1">
        <v>3</v>
      </c>
      <c r="AU36" s="1">
        <v>3</v>
      </c>
      <c r="AV36" s="1">
        <v>4</v>
      </c>
      <c r="AW36" s="1">
        <v>4</v>
      </c>
      <c r="AX36" s="1">
        <v>4</v>
      </c>
      <c r="AY36" s="1">
        <v>3</v>
      </c>
      <c r="AZ36" s="1">
        <v>2</v>
      </c>
      <c r="BA36" s="1">
        <v>3</v>
      </c>
      <c r="BB36" s="1">
        <v>3</v>
      </c>
      <c r="BC36" s="1">
        <v>3</v>
      </c>
    </row>
    <row r="37" spans="1:55">
      <c r="A37" s="1" t="s">
        <v>119</v>
      </c>
      <c r="B37" s="1" t="s">
        <v>66</v>
      </c>
      <c r="C37" s="1" t="s">
        <v>118</v>
      </c>
      <c r="D37" s="1">
        <v>4</v>
      </c>
      <c r="E37" s="1">
        <v>3</v>
      </c>
      <c r="F37" s="1">
        <v>3</v>
      </c>
      <c r="G37" s="1">
        <v>2</v>
      </c>
      <c r="H37" s="1">
        <v>4</v>
      </c>
      <c r="I37" s="1">
        <v>3</v>
      </c>
      <c r="J37" s="1">
        <v>3</v>
      </c>
      <c r="K37" s="1">
        <v>3</v>
      </c>
      <c r="L37" s="1">
        <v>4</v>
      </c>
      <c r="M37" s="1">
        <v>3</v>
      </c>
      <c r="N37" s="1">
        <v>3</v>
      </c>
      <c r="O37" s="1">
        <v>4</v>
      </c>
      <c r="P37" s="1">
        <v>3</v>
      </c>
      <c r="Q37" s="1">
        <v>4</v>
      </c>
      <c r="R37" s="1">
        <v>3</v>
      </c>
      <c r="S37" s="1">
        <v>3</v>
      </c>
      <c r="T37" s="1">
        <v>3</v>
      </c>
      <c r="U37" s="1">
        <v>3</v>
      </c>
      <c r="V37" s="1">
        <v>3</v>
      </c>
      <c r="W37" s="1">
        <v>3</v>
      </c>
      <c r="X37" s="1">
        <v>3</v>
      </c>
      <c r="Y37" s="1">
        <v>3</v>
      </c>
      <c r="Z37" s="1">
        <v>5</v>
      </c>
      <c r="AA37" s="1">
        <v>4</v>
      </c>
      <c r="AB37" s="1">
        <v>4</v>
      </c>
      <c r="AC37" s="1">
        <v>2</v>
      </c>
      <c r="AD37" s="1">
        <v>3</v>
      </c>
      <c r="AE37" s="1">
        <v>4</v>
      </c>
      <c r="AF37" s="1">
        <v>2</v>
      </c>
      <c r="AG37" s="1">
        <v>2</v>
      </c>
      <c r="AH37" s="1">
        <v>4</v>
      </c>
      <c r="AI37" s="1">
        <v>3</v>
      </c>
      <c r="AJ37" s="1">
        <v>4</v>
      </c>
      <c r="AK37" s="1">
        <v>4</v>
      </c>
      <c r="AL37" s="1">
        <v>3</v>
      </c>
      <c r="AM37" s="1">
        <v>2</v>
      </c>
      <c r="AN37" s="1">
        <v>3</v>
      </c>
      <c r="AO37" s="1">
        <v>4</v>
      </c>
      <c r="AP37" s="1">
        <v>3</v>
      </c>
      <c r="AQ37" s="1">
        <v>5</v>
      </c>
      <c r="AR37" s="1">
        <v>5</v>
      </c>
      <c r="AS37" s="1">
        <v>4</v>
      </c>
      <c r="AT37" s="1">
        <v>5</v>
      </c>
      <c r="AU37" s="1">
        <v>4</v>
      </c>
      <c r="AV37" s="1">
        <v>4</v>
      </c>
      <c r="AW37" s="1">
        <v>4</v>
      </c>
      <c r="AX37" s="1">
        <v>3</v>
      </c>
      <c r="AY37" s="1">
        <v>5</v>
      </c>
      <c r="AZ37" s="1">
        <v>3</v>
      </c>
      <c r="BA37" s="1">
        <v>4</v>
      </c>
      <c r="BB37" s="1">
        <v>4</v>
      </c>
      <c r="BC37" s="1">
        <v>2</v>
      </c>
    </row>
    <row r="38" spans="1:55">
      <c r="A38" s="1" t="s">
        <v>120</v>
      </c>
      <c r="B38" s="1" t="s">
        <v>66</v>
      </c>
      <c r="C38" s="1" t="s">
        <v>121</v>
      </c>
      <c r="D38" s="1">
        <v>2</v>
      </c>
      <c r="E38" s="1">
        <v>3</v>
      </c>
      <c r="F38" s="1">
        <v>3</v>
      </c>
      <c r="G38" s="1">
        <v>2</v>
      </c>
      <c r="H38" s="1">
        <v>2</v>
      </c>
      <c r="I38" s="1">
        <v>3</v>
      </c>
      <c r="J38" s="1">
        <v>2</v>
      </c>
      <c r="K38" s="1">
        <v>3</v>
      </c>
      <c r="L38" s="1">
        <v>2</v>
      </c>
      <c r="M38" s="1">
        <v>4</v>
      </c>
      <c r="N38" s="1">
        <v>3</v>
      </c>
      <c r="O38" s="1">
        <v>2</v>
      </c>
      <c r="P38" s="1">
        <v>3</v>
      </c>
      <c r="Q38" s="1">
        <v>3</v>
      </c>
      <c r="R38" s="1">
        <v>3</v>
      </c>
      <c r="S38" s="1">
        <v>3</v>
      </c>
      <c r="T38" s="1">
        <v>4</v>
      </c>
      <c r="U38" s="1">
        <v>4</v>
      </c>
      <c r="V38" s="1">
        <v>2</v>
      </c>
      <c r="W38" s="1">
        <v>2</v>
      </c>
      <c r="X38" s="1">
        <v>4</v>
      </c>
      <c r="Y38" s="1">
        <v>3</v>
      </c>
      <c r="Z38" s="1">
        <v>3</v>
      </c>
      <c r="AA38" s="1">
        <v>2</v>
      </c>
      <c r="AB38" s="1">
        <v>3</v>
      </c>
      <c r="AC38" s="1">
        <v>4</v>
      </c>
      <c r="AD38" s="1">
        <v>3</v>
      </c>
      <c r="AE38" s="1">
        <v>4</v>
      </c>
      <c r="AF38" s="1">
        <v>4</v>
      </c>
      <c r="AG38" s="1">
        <v>3</v>
      </c>
      <c r="AH38" s="1">
        <v>3</v>
      </c>
      <c r="AI38" s="1">
        <v>3</v>
      </c>
      <c r="AJ38" s="1">
        <v>3</v>
      </c>
      <c r="AK38" s="1">
        <v>3</v>
      </c>
      <c r="AL38" s="1">
        <v>3</v>
      </c>
      <c r="AM38" s="1">
        <v>3</v>
      </c>
      <c r="AN38" s="1">
        <v>3</v>
      </c>
      <c r="AO38" s="1">
        <v>3</v>
      </c>
      <c r="AP38" s="1">
        <v>3</v>
      </c>
      <c r="AQ38" s="1">
        <v>4</v>
      </c>
      <c r="AR38" s="1">
        <v>4</v>
      </c>
      <c r="AS38" s="1">
        <v>4</v>
      </c>
      <c r="AT38" s="1">
        <v>3</v>
      </c>
      <c r="AU38" s="1">
        <v>3</v>
      </c>
      <c r="AV38" s="1">
        <v>3</v>
      </c>
      <c r="AW38" s="1">
        <v>5</v>
      </c>
      <c r="AX38" s="1">
        <v>3</v>
      </c>
      <c r="AY38" s="1">
        <v>4</v>
      </c>
      <c r="AZ38" s="1">
        <v>3</v>
      </c>
      <c r="BA38" s="1">
        <v>2</v>
      </c>
      <c r="BB38" s="1">
        <v>2</v>
      </c>
      <c r="BC38" s="1">
        <v>3</v>
      </c>
    </row>
    <row r="39" spans="1:55">
      <c r="A39" s="1" t="s">
        <v>122</v>
      </c>
      <c r="B39" s="1" t="s">
        <v>66</v>
      </c>
      <c r="C39" s="1" t="s">
        <v>121</v>
      </c>
      <c r="D39" s="1">
        <v>4</v>
      </c>
      <c r="E39" s="1">
        <v>2</v>
      </c>
      <c r="F39" s="1">
        <v>2</v>
      </c>
      <c r="G39" s="1">
        <v>3</v>
      </c>
      <c r="H39" s="1">
        <v>4</v>
      </c>
      <c r="I39" s="1">
        <v>4</v>
      </c>
      <c r="J39" s="1">
        <v>4</v>
      </c>
      <c r="K39" s="1">
        <v>3</v>
      </c>
      <c r="L39" s="1">
        <v>2</v>
      </c>
      <c r="M39" s="1">
        <v>3</v>
      </c>
      <c r="N39" s="1">
        <v>5</v>
      </c>
      <c r="O39" s="1">
        <v>3</v>
      </c>
      <c r="P39" s="1">
        <v>4</v>
      </c>
      <c r="Q39" s="1">
        <v>4</v>
      </c>
      <c r="R39" s="1">
        <v>3</v>
      </c>
      <c r="S39" s="1">
        <v>3</v>
      </c>
      <c r="T39" s="1">
        <v>2</v>
      </c>
      <c r="U39" s="1">
        <v>3</v>
      </c>
      <c r="V39" s="1">
        <v>3</v>
      </c>
      <c r="W39" s="1">
        <v>3</v>
      </c>
      <c r="X39" s="1">
        <v>2</v>
      </c>
      <c r="Y39" s="1">
        <v>3</v>
      </c>
      <c r="Z39" s="1">
        <v>3</v>
      </c>
      <c r="AA39" s="1">
        <v>3</v>
      </c>
      <c r="AB39" s="1">
        <v>4</v>
      </c>
      <c r="AC39" s="1">
        <v>2</v>
      </c>
      <c r="AD39" s="1">
        <v>4</v>
      </c>
      <c r="AE39" s="1">
        <v>4</v>
      </c>
      <c r="AF39" s="1">
        <v>2</v>
      </c>
      <c r="AG39" s="1">
        <v>3</v>
      </c>
      <c r="AH39" s="1">
        <v>3</v>
      </c>
      <c r="AI39" s="1">
        <v>3</v>
      </c>
      <c r="AJ39" s="1">
        <v>4</v>
      </c>
      <c r="AK39" s="1">
        <v>4</v>
      </c>
      <c r="AL39" s="1">
        <v>3</v>
      </c>
      <c r="AM39" s="1">
        <v>3</v>
      </c>
      <c r="AN39" s="1">
        <v>4</v>
      </c>
      <c r="AO39" s="1">
        <v>3</v>
      </c>
      <c r="AP39" s="1">
        <v>2</v>
      </c>
      <c r="AQ39" s="1">
        <v>3</v>
      </c>
      <c r="AR39" s="1">
        <v>4</v>
      </c>
      <c r="AS39" s="1">
        <v>5</v>
      </c>
      <c r="AT39" s="1">
        <v>3</v>
      </c>
      <c r="AU39" s="1">
        <v>3</v>
      </c>
      <c r="AV39" s="1">
        <v>4</v>
      </c>
      <c r="AW39" s="1">
        <v>5</v>
      </c>
      <c r="AX39" s="1">
        <v>4</v>
      </c>
      <c r="AY39" s="1">
        <v>2</v>
      </c>
      <c r="AZ39" s="1">
        <v>3</v>
      </c>
      <c r="BA39" s="1">
        <v>4</v>
      </c>
      <c r="BB39" s="1">
        <v>4</v>
      </c>
      <c r="BC39" s="1">
        <v>1</v>
      </c>
    </row>
    <row r="40" spans="1:55">
      <c r="A40" s="1" t="s">
        <v>123</v>
      </c>
      <c r="B40" s="1" t="s">
        <v>66</v>
      </c>
      <c r="C40" s="1" t="s">
        <v>124</v>
      </c>
      <c r="D40" s="1">
        <v>4</v>
      </c>
      <c r="E40" s="1">
        <v>4</v>
      </c>
      <c r="F40" s="1">
        <v>3</v>
      </c>
      <c r="G40" s="1">
        <v>2</v>
      </c>
      <c r="H40" s="1">
        <v>4</v>
      </c>
      <c r="I40" s="1">
        <v>3</v>
      </c>
      <c r="J40" s="1">
        <v>4</v>
      </c>
      <c r="K40" s="1">
        <v>3</v>
      </c>
      <c r="L40" s="1">
        <v>3</v>
      </c>
      <c r="M40" s="1">
        <v>3</v>
      </c>
      <c r="N40" s="1">
        <v>2</v>
      </c>
      <c r="O40" s="1">
        <v>3</v>
      </c>
      <c r="P40" s="1">
        <v>3</v>
      </c>
      <c r="Q40" s="1">
        <v>4</v>
      </c>
      <c r="R40" s="1">
        <v>4</v>
      </c>
      <c r="S40" s="1">
        <v>4</v>
      </c>
      <c r="T40" s="1">
        <v>4</v>
      </c>
      <c r="U40" s="1">
        <v>4</v>
      </c>
      <c r="V40" s="1">
        <v>3</v>
      </c>
      <c r="W40" s="1">
        <v>3</v>
      </c>
      <c r="X40" s="1">
        <v>3</v>
      </c>
      <c r="Y40" s="1">
        <v>2</v>
      </c>
      <c r="Z40" s="1">
        <v>3</v>
      </c>
      <c r="AA40" s="1">
        <v>3</v>
      </c>
      <c r="AB40" s="1">
        <v>4</v>
      </c>
      <c r="AC40" s="1">
        <v>3</v>
      </c>
      <c r="AD40" s="1">
        <v>3</v>
      </c>
      <c r="AE40" s="1">
        <v>3</v>
      </c>
      <c r="AF40" s="1">
        <v>2</v>
      </c>
      <c r="AG40" s="1">
        <v>1</v>
      </c>
      <c r="AH40" s="1">
        <v>3</v>
      </c>
      <c r="AI40" s="1">
        <v>4</v>
      </c>
      <c r="AJ40" s="1">
        <v>3</v>
      </c>
      <c r="AK40" s="1">
        <v>4</v>
      </c>
      <c r="AL40" s="1">
        <v>4</v>
      </c>
      <c r="AM40" s="1">
        <v>4</v>
      </c>
      <c r="AN40" s="1">
        <v>5</v>
      </c>
      <c r="AO40" s="1">
        <v>4</v>
      </c>
      <c r="AP40" s="1">
        <v>3</v>
      </c>
      <c r="AQ40" s="1">
        <v>4</v>
      </c>
      <c r="AR40" s="1">
        <v>4</v>
      </c>
      <c r="AS40" s="1">
        <v>5</v>
      </c>
      <c r="AT40" s="1">
        <v>4</v>
      </c>
      <c r="AU40" s="1">
        <v>3</v>
      </c>
      <c r="AV40" s="1">
        <v>3</v>
      </c>
      <c r="AW40" s="1">
        <v>4</v>
      </c>
      <c r="AX40" s="1">
        <v>4</v>
      </c>
      <c r="AY40" s="1">
        <v>4</v>
      </c>
      <c r="AZ40" s="1">
        <v>4</v>
      </c>
      <c r="BA40" s="1">
        <v>4</v>
      </c>
      <c r="BB40" s="1">
        <v>4</v>
      </c>
      <c r="BC40" s="1">
        <v>2</v>
      </c>
    </row>
    <row r="41" spans="1:55">
      <c r="A41" s="1" t="s">
        <v>125</v>
      </c>
      <c r="B41" s="1" t="s">
        <v>66</v>
      </c>
      <c r="C41" s="1" t="s">
        <v>124</v>
      </c>
      <c r="D41" s="1">
        <v>3</v>
      </c>
      <c r="E41" s="1">
        <v>3</v>
      </c>
      <c r="F41" s="1">
        <v>4</v>
      </c>
      <c r="G41" s="1">
        <v>4</v>
      </c>
      <c r="H41" s="1">
        <v>3</v>
      </c>
      <c r="I41" s="1">
        <v>2</v>
      </c>
      <c r="J41" s="1">
        <v>3</v>
      </c>
      <c r="K41" s="1">
        <v>3</v>
      </c>
      <c r="L41" s="1">
        <v>3</v>
      </c>
      <c r="M41" s="1">
        <v>3</v>
      </c>
      <c r="N41" s="1">
        <v>3</v>
      </c>
      <c r="O41" s="1">
        <v>4</v>
      </c>
      <c r="P41" s="1">
        <v>4</v>
      </c>
      <c r="Q41" s="1">
        <v>3</v>
      </c>
      <c r="R41" s="1">
        <v>3</v>
      </c>
      <c r="S41" s="1">
        <v>3</v>
      </c>
      <c r="T41" s="1">
        <v>4</v>
      </c>
      <c r="U41" s="1">
        <v>3</v>
      </c>
      <c r="V41" s="1">
        <v>2</v>
      </c>
      <c r="W41" s="1">
        <v>2</v>
      </c>
      <c r="X41" s="1">
        <v>3</v>
      </c>
      <c r="Y41" s="1">
        <v>3</v>
      </c>
      <c r="Z41" s="1">
        <v>3</v>
      </c>
      <c r="AA41" s="1">
        <v>4</v>
      </c>
      <c r="AB41" s="1">
        <v>4</v>
      </c>
      <c r="AC41" s="1">
        <v>4</v>
      </c>
      <c r="AD41" s="1">
        <v>3</v>
      </c>
      <c r="AE41" s="1">
        <v>2</v>
      </c>
      <c r="AF41" s="1">
        <v>2</v>
      </c>
      <c r="AG41" s="1">
        <v>2</v>
      </c>
      <c r="AH41" s="1">
        <v>4</v>
      </c>
      <c r="AI41" s="1">
        <v>2</v>
      </c>
      <c r="AJ41" s="1">
        <v>4</v>
      </c>
      <c r="AK41" s="1">
        <v>4</v>
      </c>
      <c r="AL41" s="1">
        <v>3</v>
      </c>
      <c r="AM41" s="1">
        <v>3</v>
      </c>
      <c r="AN41" s="1">
        <v>3</v>
      </c>
      <c r="AO41" s="1">
        <v>3</v>
      </c>
      <c r="AP41" s="1">
        <v>3</v>
      </c>
      <c r="AQ41" s="1">
        <v>3</v>
      </c>
      <c r="AR41" s="1">
        <v>3</v>
      </c>
      <c r="AS41" s="1">
        <v>2</v>
      </c>
      <c r="AT41" s="1">
        <v>2</v>
      </c>
      <c r="AU41" s="1">
        <v>2</v>
      </c>
      <c r="AV41" s="1">
        <v>4</v>
      </c>
      <c r="AW41" s="1">
        <v>4</v>
      </c>
      <c r="AX41" s="1">
        <v>3</v>
      </c>
      <c r="AY41" s="1">
        <v>3</v>
      </c>
      <c r="AZ41" s="1">
        <v>4</v>
      </c>
      <c r="BA41" s="1">
        <v>3</v>
      </c>
      <c r="BB41" s="1">
        <v>4</v>
      </c>
      <c r="BC41" s="1">
        <v>2</v>
      </c>
    </row>
    <row r="42" spans="1:55">
      <c r="A42" s="1" t="s">
        <v>126</v>
      </c>
      <c r="B42" s="1" t="s">
        <v>66</v>
      </c>
      <c r="C42" s="1" t="s">
        <v>127</v>
      </c>
      <c r="D42" s="1">
        <v>3</v>
      </c>
      <c r="E42" s="1">
        <v>4</v>
      </c>
      <c r="F42" s="1">
        <v>2</v>
      </c>
      <c r="G42" s="1">
        <v>2</v>
      </c>
      <c r="H42" s="1">
        <v>3</v>
      </c>
      <c r="I42" s="1">
        <v>2</v>
      </c>
      <c r="J42" s="1">
        <v>3</v>
      </c>
      <c r="K42" s="1">
        <v>4</v>
      </c>
      <c r="L42" s="1">
        <v>3</v>
      </c>
      <c r="M42" s="1">
        <v>3</v>
      </c>
      <c r="N42" s="1">
        <v>2</v>
      </c>
      <c r="O42" s="1">
        <v>3</v>
      </c>
      <c r="P42" s="1">
        <v>3</v>
      </c>
      <c r="Q42" s="1">
        <v>3</v>
      </c>
      <c r="R42" s="1">
        <v>4</v>
      </c>
      <c r="S42" s="1">
        <v>4</v>
      </c>
      <c r="T42" s="1">
        <v>4</v>
      </c>
      <c r="U42" s="1">
        <v>3</v>
      </c>
      <c r="V42" s="1">
        <v>2</v>
      </c>
      <c r="W42" s="1">
        <v>4</v>
      </c>
      <c r="X42" s="1">
        <v>2</v>
      </c>
      <c r="Y42" s="1">
        <v>3</v>
      </c>
      <c r="Z42" s="1">
        <v>3</v>
      </c>
      <c r="AA42" s="1">
        <v>4</v>
      </c>
      <c r="AB42" s="1">
        <v>3</v>
      </c>
      <c r="AC42" s="1">
        <v>3</v>
      </c>
      <c r="AD42" s="1">
        <v>3</v>
      </c>
      <c r="AE42" s="1">
        <v>4</v>
      </c>
      <c r="AF42" s="1">
        <v>3</v>
      </c>
      <c r="AG42" s="1">
        <v>2</v>
      </c>
      <c r="AH42" s="1">
        <v>3</v>
      </c>
      <c r="AI42" s="1">
        <v>4</v>
      </c>
      <c r="AJ42" s="1">
        <v>3</v>
      </c>
      <c r="AK42" s="1">
        <v>3</v>
      </c>
      <c r="AL42" s="1">
        <v>2</v>
      </c>
      <c r="AM42" s="1">
        <v>4</v>
      </c>
      <c r="AN42" s="1">
        <v>4</v>
      </c>
      <c r="AO42" s="1">
        <v>3</v>
      </c>
      <c r="AP42" s="1">
        <v>3</v>
      </c>
      <c r="AQ42" s="1">
        <v>4</v>
      </c>
      <c r="AR42" s="1">
        <v>4</v>
      </c>
      <c r="AS42" s="1">
        <v>5</v>
      </c>
      <c r="AT42" s="1">
        <v>4</v>
      </c>
      <c r="AU42" s="1">
        <v>5</v>
      </c>
      <c r="AV42" s="1">
        <v>3</v>
      </c>
      <c r="AW42" s="1">
        <v>4</v>
      </c>
      <c r="AX42" s="1">
        <v>3</v>
      </c>
      <c r="AY42" s="1">
        <v>3</v>
      </c>
      <c r="AZ42" s="1">
        <v>3</v>
      </c>
      <c r="BA42" s="1">
        <v>3</v>
      </c>
      <c r="BB42" s="1">
        <v>4</v>
      </c>
      <c r="BC42" s="1">
        <v>3</v>
      </c>
    </row>
    <row r="43" spans="1:55">
      <c r="A43" s="1" t="s">
        <v>128</v>
      </c>
      <c r="B43" s="1" t="s">
        <v>66</v>
      </c>
      <c r="C43" s="1" t="s">
        <v>127</v>
      </c>
      <c r="D43" s="1">
        <v>2</v>
      </c>
      <c r="E43" s="1">
        <v>3</v>
      </c>
      <c r="F43" s="1">
        <v>3</v>
      </c>
      <c r="G43" s="1">
        <v>3</v>
      </c>
      <c r="H43" s="1">
        <v>2</v>
      </c>
      <c r="I43" s="1">
        <v>3</v>
      </c>
      <c r="J43" s="1">
        <v>2</v>
      </c>
      <c r="K43" s="1">
        <v>3</v>
      </c>
      <c r="L43" s="1">
        <v>3</v>
      </c>
      <c r="M43" s="1">
        <v>3</v>
      </c>
      <c r="N43" s="1">
        <v>2</v>
      </c>
      <c r="O43" s="1">
        <v>4</v>
      </c>
      <c r="P43" s="1">
        <v>3</v>
      </c>
      <c r="Q43" s="1">
        <v>3</v>
      </c>
      <c r="R43" s="1">
        <v>3</v>
      </c>
      <c r="S43" s="1">
        <v>3</v>
      </c>
      <c r="T43" s="1">
        <v>4</v>
      </c>
      <c r="U43" s="1">
        <v>4</v>
      </c>
      <c r="V43" s="1">
        <v>4</v>
      </c>
      <c r="W43" s="1">
        <v>3</v>
      </c>
      <c r="X43" s="1">
        <v>2</v>
      </c>
      <c r="Y43" s="1">
        <v>3</v>
      </c>
      <c r="Z43" s="1">
        <v>3</v>
      </c>
      <c r="AA43" s="1">
        <v>4</v>
      </c>
      <c r="AB43" s="1">
        <v>4</v>
      </c>
      <c r="AC43" s="1">
        <v>3</v>
      </c>
      <c r="AD43" s="1">
        <v>4</v>
      </c>
      <c r="AE43" s="1">
        <v>3</v>
      </c>
      <c r="AF43" s="1">
        <v>2</v>
      </c>
      <c r="AG43" s="1">
        <v>2</v>
      </c>
      <c r="AH43" s="1">
        <v>3</v>
      </c>
      <c r="AI43" s="1">
        <v>3</v>
      </c>
      <c r="AJ43" s="1">
        <v>3</v>
      </c>
      <c r="AK43" s="1">
        <v>5</v>
      </c>
      <c r="AL43" s="1">
        <v>5</v>
      </c>
      <c r="AM43" s="1">
        <v>3</v>
      </c>
      <c r="AN43" s="1">
        <v>3</v>
      </c>
      <c r="AO43" s="1">
        <v>4</v>
      </c>
      <c r="AP43" s="1">
        <v>5</v>
      </c>
      <c r="AQ43" s="1">
        <v>5</v>
      </c>
      <c r="AR43" s="1">
        <v>3</v>
      </c>
      <c r="AS43" s="1">
        <v>4</v>
      </c>
      <c r="AT43" s="1">
        <v>3</v>
      </c>
      <c r="AU43" s="1">
        <v>4</v>
      </c>
      <c r="AV43" s="1">
        <v>2</v>
      </c>
      <c r="AW43" s="1">
        <v>3</v>
      </c>
      <c r="AX43" s="1">
        <v>2</v>
      </c>
      <c r="AY43" s="1">
        <v>2</v>
      </c>
      <c r="AZ43" s="1">
        <v>4</v>
      </c>
      <c r="BA43" s="1">
        <v>5</v>
      </c>
      <c r="BB43" s="1">
        <v>4</v>
      </c>
      <c r="BC43" s="1">
        <v>3</v>
      </c>
    </row>
    <row r="44" spans="1:55">
      <c r="A44" s="1" t="s">
        <v>129</v>
      </c>
      <c r="B44" s="1" t="s">
        <v>66</v>
      </c>
      <c r="C44" s="1" t="s">
        <v>130</v>
      </c>
      <c r="D44" s="1">
        <v>3</v>
      </c>
      <c r="E44" s="1">
        <v>4</v>
      </c>
      <c r="F44" s="1">
        <v>3</v>
      </c>
      <c r="G44" s="1">
        <v>2</v>
      </c>
      <c r="H44" s="1">
        <v>3</v>
      </c>
      <c r="I44" s="1">
        <v>3</v>
      </c>
      <c r="J44" s="1">
        <v>3</v>
      </c>
      <c r="K44" s="1">
        <v>2</v>
      </c>
      <c r="L44" s="1">
        <v>3</v>
      </c>
      <c r="M44" s="1">
        <v>4</v>
      </c>
      <c r="N44" s="1">
        <v>3</v>
      </c>
      <c r="O44" s="1">
        <v>2</v>
      </c>
      <c r="P44" s="1">
        <v>2</v>
      </c>
      <c r="Q44" s="1">
        <v>2</v>
      </c>
      <c r="R44" s="1">
        <v>4</v>
      </c>
      <c r="S44" s="1">
        <v>4</v>
      </c>
      <c r="T44" s="1">
        <v>3</v>
      </c>
      <c r="U44" s="1">
        <v>4</v>
      </c>
      <c r="V44" s="1">
        <v>3</v>
      </c>
      <c r="W44" s="1">
        <v>2</v>
      </c>
      <c r="X44" s="1">
        <v>3</v>
      </c>
      <c r="Y44" s="1">
        <v>2</v>
      </c>
      <c r="Z44" s="1">
        <v>3</v>
      </c>
      <c r="AA44" s="1">
        <v>3</v>
      </c>
      <c r="AB44" s="1">
        <v>3</v>
      </c>
      <c r="AC44" s="1">
        <v>4</v>
      </c>
      <c r="AD44" s="1">
        <v>4</v>
      </c>
      <c r="AE44" s="1">
        <v>4</v>
      </c>
      <c r="AF44" s="1">
        <v>2</v>
      </c>
      <c r="AG44" s="1">
        <v>3</v>
      </c>
      <c r="AH44" s="1">
        <v>3</v>
      </c>
      <c r="AI44" s="1">
        <v>3</v>
      </c>
      <c r="AJ44" s="1">
        <v>4</v>
      </c>
      <c r="AK44" s="1">
        <v>2</v>
      </c>
      <c r="AL44" s="1">
        <v>2</v>
      </c>
      <c r="AM44" s="1">
        <v>5</v>
      </c>
      <c r="AN44" s="1">
        <v>3</v>
      </c>
      <c r="AO44" s="1">
        <v>2</v>
      </c>
      <c r="AP44" s="1">
        <v>3</v>
      </c>
      <c r="AQ44" s="1">
        <v>3</v>
      </c>
      <c r="AR44" s="1">
        <v>3</v>
      </c>
      <c r="AS44" s="1">
        <v>4</v>
      </c>
      <c r="AT44" s="1">
        <v>4</v>
      </c>
      <c r="AU44" s="1">
        <v>3</v>
      </c>
      <c r="AV44" s="1">
        <v>3</v>
      </c>
      <c r="AW44" s="1">
        <v>2</v>
      </c>
      <c r="AX44" s="1">
        <v>3</v>
      </c>
      <c r="AY44" s="1">
        <v>3</v>
      </c>
      <c r="AZ44" s="1">
        <v>3</v>
      </c>
      <c r="BA44" s="1">
        <v>1</v>
      </c>
      <c r="BB44" s="1">
        <v>2</v>
      </c>
      <c r="BC44" s="1">
        <v>2</v>
      </c>
    </row>
    <row r="45" spans="1:55">
      <c r="A45" s="1" t="s">
        <v>131</v>
      </c>
      <c r="B45" s="1" t="s">
        <v>66</v>
      </c>
      <c r="C45" s="1" t="s">
        <v>130</v>
      </c>
      <c r="D45" s="1">
        <v>3</v>
      </c>
      <c r="E45" s="1">
        <v>2</v>
      </c>
      <c r="F45" s="1">
        <v>4</v>
      </c>
      <c r="G45" s="1">
        <v>4</v>
      </c>
      <c r="H45" s="1">
        <v>4</v>
      </c>
      <c r="I45" s="1">
        <v>4</v>
      </c>
      <c r="J45" s="1">
        <v>3</v>
      </c>
      <c r="K45" s="1">
        <v>3</v>
      </c>
      <c r="L45" s="1">
        <v>4</v>
      </c>
      <c r="M45" s="1">
        <v>2</v>
      </c>
      <c r="N45" s="1">
        <v>4</v>
      </c>
      <c r="O45" s="1">
        <v>4</v>
      </c>
      <c r="P45" s="1">
        <v>4</v>
      </c>
      <c r="Q45" s="1">
        <v>3</v>
      </c>
      <c r="R45" s="1">
        <v>3</v>
      </c>
      <c r="S45" s="1">
        <v>3</v>
      </c>
      <c r="T45" s="1">
        <v>2</v>
      </c>
      <c r="U45" s="1">
        <v>3</v>
      </c>
      <c r="V45" s="1">
        <v>4</v>
      </c>
      <c r="W45" s="1">
        <v>3</v>
      </c>
      <c r="X45" s="1">
        <v>3</v>
      </c>
      <c r="Y45" s="1">
        <v>3</v>
      </c>
      <c r="Z45" s="1">
        <v>4</v>
      </c>
      <c r="AA45" s="1">
        <v>2</v>
      </c>
      <c r="AB45" s="1">
        <v>3</v>
      </c>
      <c r="AC45" s="1">
        <v>2</v>
      </c>
      <c r="AD45" s="1">
        <v>3</v>
      </c>
      <c r="AE45" s="1">
        <v>2</v>
      </c>
      <c r="AF45" s="1">
        <v>3</v>
      </c>
      <c r="AG45" s="1">
        <v>3</v>
      </c>
      <c r="AH45" s="1">
        <v>4</v>
      </c>
      <c r="AI45" s="1">
        <v>4</v>
      </c>
      <c r="AJ45" s="1">
        <v>3</v>
      </c>
      <c r="AK45" s="1">
        <v>3</v>
      </c>
      <c r="AL45" s="1">
        <v>4</v>
      </c>
      <c r="AM45" s="1">
        <v>2</v>
      </c>
      <c r="AN45" s="1">
        <v>3</v>
      </c>
      <c r="AO45" s="1">
        <v>5</v>
      </c>
      <c r="AP45" s="1">
        <v>3</v>
      </c>
      <c r="AQ45" s="1">
        <v>4</v>
      </c>
      <c r="AR45" s="1">
        <v>2</v>
      </c>
      <c r="AS45" s="1">
        <v>2</v>
      </c>
      <c r="AT45" s="1">
        <v>2</v>
      </c>
      <c r="AU45" s="1">
        <v>2</v>
      </c>
      <c r="AV45" s="1">
        <v>4</v>
      </c>
      <c r="AW45" s="1">
        <v>4</v>
      </c>
      <c r="AX45" s="1">
        <v>4</v>
      </c>
      <c r="AY45" s="1">
        <v>3</v>
      </c>
      <c r="AZ45" s="1">
        <v>3</v>
      </c>
      <c r="BA45" s="1">
        <v>3</v>
      </c>
      <c r="BB45" s="1">
        <v>3</v>
      </c>
      <c r="BC45" s="1">
        <v>3</v>
      </c>
    </row>
    <row r="46" spans="1:55">
      <c r="A46" s="1" t="s">
        <v>132</v>
      </c>
      <c r="B46" s="1" t="s">
        <v>66</v>
      </c>
      <c r="C46" s="1" t="s">
        <v>133</v>
      </c>
      <c r="D46" s="1">
        <v>2</v>
      </c>
      <c r="E46" s="1">
        <v>3</v>
      </c>
      <c r="F46" s="1">
        <v>3</v>
      </c>
      <c r="G46" s="1">
        <v>3</v>
      </c>
      <c r="H46" s="1">
        <v>3</v>
      </c>
      <c r="I46" s="1">
        <v>3</v>
      </c>
      <c r="J46" s="1">
        <v>4</v>
      </c>
      <c r="K46" s="1">
        <v>5</v>
      </c>
      <c r="L46" s="1">
        <v>5</v>
      </c>
      <c r="M46" s="1">
        <v>2</v>
      </c>
      <c r="N46" s="1">
        <v>4</v>
      </c>
      <c r="O46" s="1">
        <v>5</v>
      </c>
      <c r="P46" s="1">
        <v>5</v>
      </c>
      <c r="Q46" s="1">
        <v>5</v>
      </c>
      <c r="R46" s="1">
        <v>2</v>
      </c>
      <c r="S46" s="1">
        <v>2</v>
      </c>
      <c r="T46" s="1">
        <v>3</v>
      </c>
      <c r="U46" s="1">
        <v>2</v>
      </c>
      <c r="V46" s="1">
        <v>4</v>
      </c>
      <c r="W46" s="1">
        <v>2</v>
      </c>
      <c r="X46" s="1">
        <v>3</v>
      </c>
      <c r="Y46" s="1">
        <v>3</v>
      </c>
      <c r="Z46" s="1">
        <v>4</v>
      </c>
      <c r="AA46" s="1">
        <v>3</v>
      </c>
      <c r="AB46" s="1">
        <v>4</v>
      </c>
      <c r="AC46" s="1">
        <v>2</v>
      </c>
      <c r="AD46" s="1">
        <v>4</v>
      </c>
      <c r="AE46" s="1">
        <v>3</v>
      </c>
      <c r="AF46" s="1">
        <v>3</v>
      </c>
      <c r="AG46" s="1">
        <v>3</v>
      </c>
      <c r="AH46" s="1">
        <v>4</v>
      </c>
      <c r="AI46" s="1">
        <v>3</v>
      </c>
      <c r="AJ46" s="1">
        <v>4</v>
      </c>
      <c r="AK46" s="1">
        <v>5</v>
      </c>
      <c r="AL46" s="1">
        <v>5</v>
      </c>
      <c r="AM46" s="1">
        <v>3</v>
      </c>
      <c r="AN46" s="1">
        <v>3</v>
      </c>
      <c r="AO46" s="1">
        <v>5</v>
      </c>
      <c r="AP46" s="1">
        <v>5</v>
      </c>
      <c r="AQ46" s="1">
        <v>4</v>
      </c>
      <c r="AR46" s="1">
        <v>4</v>
      </c>
      <c r="AS46" s="1">
        <v>3</v>
      </c>
      <c r="AT46" s="1">
        <v>4</v>
      </c>
      <c r="AU46" s="1">
        <v>3</v>
      </c>
      <c r="AV46" s="1">
        <v>4</v>
      </c>
      <c r="AW46" s="1">
        <v>2</v>
      </c>
      <c r="AX46" s="1">
        <v>3</v>
      </c>
      <c r="AY46" s="1">
        <v>2</v>
      </c>
      <c r="AZ46" s="1">
        <v>5</v>
      </c>
      <c r="BA46" s="1">
        <v>5</v>
      </c>
      <c r="BB46" s="1">
        <v>5</v>
      </c>
      <c r="BC46" s="1">
        <v>2</v>
      </c>
    </row>
    <row r="47" spans="1:55">
      <c r="A47" s="1" t="s">
        <v>134</v>
      </c>
      <c r="B47" s="1" t="s">
        <v>66</v>
      </c>
      <c r="C47" s="1" t="s">
        <v>133</v>
      </c>
      <c r="D47" s="1">
        <v>3</v>
      </c>
      <c r="E47" s="1">
        <v>2</v>
      </c>
      <c r="F47" s="1">
        <v>3</v>
      </c>
      <c r="G47" s="1">
        <v>4</v>
      </c>
      <c r="H47" s="1">
        <v>4</v>
      </c>
      <c r="I47" s="1">
        <v>3</v>
      </c>
      <c r="J47" s="1">
        <v>4</v>
      </c>
      <c r="K47" s="1">
        <v>4</v>
      </c>
      <c r="L47" s="1">
        <v>4</v>
      </c>
      <c r="M47" s="1">
        <v>4</v>
      </c>
      <c r="N47" s="1">
        <v>4</v>
      </c>
      <c r="O47" s="1">
        <v>4</v>
      </c>
      <c r="P47" s="1">
        <v>3</v>
      </c>
      <c r="Q47" s="1">
        <v>3</v>
      </c>
      <c r="R47" s="1">
        <v>2</v>
      </c>
      <c r="S47" s="1">
        <v>3</v>
      </c>
      <c r="T47" s="1">
        <v>3</v>
      </c>
      <c r="U47" s="1">
        <v>3</v>
      </c>
      <c r="V47" s="1">
        <v>4</v>
      </c>
      <c r="W47" s="1">
        <v>3</v>
      </c>
      <c r="X47" s="1">
        <v>2</v>
      </c>
      <c r="Y47" s="1">
        <v>3</v>
      </c>
      <c r="Z47" s="1">
        <v>3</v>
      </c>
      <c r="AA47" s="1">
        <v>4</v>
      </c>
      <c r="AB47" s="1">
        <v>3</v>
      </c>
      <c r="AC47" s="1">
        <v>2</v>
      </c>
      <c r="AD47" s="1">
        <v>4</v>
      </c>
      <c r="AE47" s="1">
        <v>3</v>
      </c>
      <c r="AF47" s="1">
        <v>3</v>
      </c>
      <c r="AG47" s="1">
        <v>2</v>
      </c>
      <c r="AH47" s="1">
        <v>4</v>
      </c>
      <c r="AI47" s="1">
        <v>4</v>
      </c>
      <c r="AJ47" s="1">
        <v>4</v>
      </c>
      <c r="AK47" s="1">
        <v>3</v>
      </c>
      <c r="AL47" s="1">
        <v>3</v>
      </c>
      <c r="AM47" s="1">
        <v>3</v>
      </c>
      <c r="AN47" s="1">
        <v>5</v>
      </c>
      <c r="AO47" s="1">
        <v>4</v>
      </c>
      <c r="AP47" s="1">
        <v>3</v>
      </c>
      <c r="AQ47" s="1">
        <v>2</v>
      </c>
      <c r="AR47" s="1">
        <v>3</v>
      </c>
      <c r="AS47" s="1">
        <v>3</v>
      </c>
      <c r="AT47" s="1">
        <v>3</v>
      </c>
      <c r="AU47" s="1">
        <v>4</v>
      </c>
      <c r="AV47" s="1">
        <v>4</v>
      </c>
      <c r="AW47" s="1">
        <v>3</v>
      </c>
      <c r="AX47" s="1">
        <v>4</v>
      </c>
      <c r="AY47" s="1">
        <v>3</v>
      </c>
      <c r="AZ47" s="1">
        <v>4</v>
      </c>
      <c r="BA47" s="1">
        <v>2</v>
      </c>
      <c r="BB47" s="1">
        <v>3</v>
      </c>
      <c r="BC47" s="1">
        <v>2</v>
      </c>
    </row>
    <row r="48" spans="1:55">
      <c r="A48" s="1" t="s">
        <v>135</v>
      </c>
      <c r="B48" s="1" t="s">
        <v>66</v>
      </c>
      <c r="C48" s="1" t="s">
        <v>136</v>
      </c>
      <c r="D48" s="1">
        <v>4</v>
      </c>
      <c r="E48" s="1">
        <v>4</v>
      </c>
      <c r="F48" s="1">
        <v>3</v>
      </c>
      <c r="G48" s="1">
        <v>3</v>
      </c>
      <c r="H48" s="1">
        <v>3</v>
      </c>
      <c r="I48" s="1">
        <v>4</v>
      </c>
      <c r="J48" s="1">
        <v>4</v>
      </c>
      <c r="K48" s="1">
        <v>4</v>
      </c>
      <c r="L48" s="1">
        <v>3</v>
      </c>
      <c r="M48" s="1">
        <v>3</v>
      </c>
      <c r="N48" s="1">
        <v>2</v>
      </c>
      <c r="O48" s="1">
        <v>3</v>
      </c>
      <c r="P48" s="1">
        <v>4</v>
      </c>
      <c r="Q48" s="1">
        <v>3</v>
      </c>
      <c r="R48" s="1">
        <v>4</v>
      </c>
      <c r="S48" s="1">
        <v>3</v>
      </c>
      <c r="T48" s="1">
        <v>3</v>
      </c>
      <c r="U48" s="1">
        <v>4</v>
      </c>
      <c r="V48" s="1">
        <v>2</v>
      </c>
      <c r="W48" s="1">
        <v>4</v>
      </c>
      <c r="X48" s="1">
        <v>4</v>
      </c>
      <c r="Y48" s="1">
        <v>3</v>
      </c>
      <c r="Z48" s="1">
        <v>2</v>
      </c>
      <c r="AA48" s="1">
        <v>3</v>
      </c>
      <c r="AB48" s="1">
        <v>3</v>
      </c>
      <c r="AC48" s="1">
        <v>3</v>
      </c>
      <c r="AD48" s="1">
        <v>4</v>
      </c>
      <c r="AE48" s="1">
        <v>3</v>
      </c>
      <c r="AF48" s="1">
        <v>2</v>
      </c>
      <c r="AG48" s="1">
        <v>4</v>
      </c>
      <c r="AH48" s="1">
        <v>3</v>
      </c>
      <c r="AI48" s="1">
        <v>3</v>
      </c>
      <c r="AJ48" s="1">
        <v>3</v>
      </c>
      <c r="AK48" s="1">
        <v>4</v>
      </c>
      <c r="AL48" s="1">
        <v>3</v>
      </c>
      <c r="AM48" s="1">
        <v>3</v>
      </c>
      <c r="AN48" s="1">
        <v>4</v>
      </c>
      <c r="AO48" s="1">
        <v>5</v>
      </c>
      <c r="AP48" s="1">
        <v>4</v>
      </c>
      <c r="AQ48" s="1">
        <v>4</v>
      </c>
      <c r="AR48" s="1">
        <v>4</v>
      </c>
      <c r="AS48" s="1">
        <v>3</v>
      </c>
      <c r="AT48" s="1">
        <v>3</v>
      </c>
      <c r="AU48" s="1">
        <v>4</v>
      </c>
      <c r="AV48" s="1">
        <v>4</v>
      </c>
      <c r="AW48" s="1">
        <v>4</v>
      </c>
      <c r="AX48" s="1">
        <v>5</v>
      </c>
      <c r="AY48" s="1">
        <v>4</v>
      </c>
      <c r="AZ48" s="1">
        <v>4</v>
      </c>
      <c r="BA48" s="1">
        <v>4</v>
      </c>
      <c r="BB48" s="1">
        <v>4</v>
      </c>
      <c r="BC48" s="1">
        <v>2</v>
      </c>
    </row>
    <row r="49" spans="1:55">
      <c r="A49" s="1" t="s">
        <v>137</v>
      </c>
      <c r="B49" s="1" t="s">
        <v>66</v>
      </c>
      <c r="C49" s="1" t="s">
        <v>136</v>
      </c>
      <c r="D49" s="1">
        <v>2</v>
      </c>
      <c r="E49" s="1">
        <v>3</v>
      </c>
      <c r="F49" s="1">
        <v>4</v>
      </c>
      <c r="G49" s="1">
        <v>3</v>
      </c>
      <c r="H49" s="1">
        <v>4</v>
      </c>
      <c r="I49" s="1">
        <v>4</v>
      </c>
      <c r="J49" s="1">
        <v>3</v>
      </c>
      <c r="K49" s="1">
        <v>2</v>
      </c>
      <c r="L49" s="1">
        <v>3</v>
      </c>
      <c r="M49" s="1">
        <v>3</v>
      </c>
      <c r="N49" s="1">
        <v>2</v>
      </c>
      <c r="O49" s="1">
        <v>2</v>
      </c>
      <c r="P49" s="1">
        <v>3</v>
      </c>
      <c r="Q49" s="1">
        <v>3</v>
      </c>
      <c r="R49" s="1">
        <v>3</v>
      </c>
      <c r="S49" s="1">
        <v>4</v>
      </c>
      <c r="T49" s="1">
        <v>3</v>
      </c>
      <c r="U49" s="1">
        <v>3</v>
      </c>
      <c r="V49" s="1">
        <v>3</v>
      </c>
      <c r="W49" s="1">
        <v>4</v>
      </c>
      <c r="X49" s="1">
        <v>3</v>
      </c>
      <c r="Y49" s="1">
        <v>4</v>
      </c>
      <c r="Z49" s="1">
        <v>3</v>
      </c>
      <c r="AA49" s="1">
        <v>3</v>
      </c>
      <c r="AB49" s="1">
        <v>2</v>
      </c>
      <c r="AC49" s="1">
        <v>3</v>
      </c>
      <c r="AD49" s="1">
        <v>3</v>
      </c>
      <c r="AE49" s="1">
        <v>5</v>
      </c>
      <c r="AF49" s="1">
        <v>3</v>
      </c>
      <c r="AG49" s="1">
        <v>2</v>
      </c>
      <c r="AH49" s="1">
        <v>4</v>
      </c>
      <c r="AI49" s="1">
        <v>4</v>
      </c>
      <c r="AJ49" s="1">
        <v>3</v>
      </c>
      <c r="AK49" s="1">
        <v>3</v>
      </c>
      <c r="AL49" s="1">
        <v>3</v>
      </c>
      <c r="AM49" s="1">
        <v>4</v>
      </c>
      <c r="AN49" s="1">
        <v>5</v>
      </c>
      <c r="AO49" s="1">
        <v>4</v>
      </c>
      <c r="AP49" s="1">
        <v>3</v>
      </c>
      <c r="AQ49" s="1">
        <v>4</v>
      </c>
      <c r="AR49" s="1">
        <v>4</v>
      </c>
      <c r="AS49" s="1">
        <v>4</v>
      </c>
      <c r="AT49" s="1">
        <v>3</v>
      </c>
      <c r="AU49" s="1">
        <v>4</v>
      </c>
      <c r="AV49" s="1">
        <v>5</v>
      </c>
      <c r="AW49" s="1">
        <v>4</v>
      </c>
      <c r="AX49" s="1">
        <v>3</v>
      </c>
      <c r="AY49" s="1">
        <v>4</v>
      </c>
      <c r="AZ49" s="1">
        <v>3</v>
      </c>
      <c r="BA49" s="1">
        <v>3</v>
      </c>
      <c r="BB49" s="1">
        <v>3</v>
      </c>
      <c r="BC49" s="1">
        <v>2</v>
      </c>
    </row>
    <row r="50" spans="1:55">
      <c r="A50" s="1" t="s">
        <v>138</v>
      </c>
      <c r="B50" s="1" t="s">
        <v>66</v>
      </c>
      <c r="C50" s="1" t="s">
        <v>139</v>
      </c>
      <c r="D50" s="1">
        <v>3</v>
      </c>
      <c r="E50" s="1">
        <v>4</v>
      </c>
      <c r="F50" s="1">
        <v>3</v>
      </c>
      <c r="G50" s="1">
        <v>1</v>
      </c>
      <c r="H50" s="1">
        <v>3</v>
      </c>
      <c r="I50" s="1">
        <v>3</v>
      </c>
      <c r="J50" s="1">
        <v>3</v>
      </c>
      <c r="K50" s="1">
        <v>3</v>
      </c>
      <c r="L50" s="1">
        <v>3</v>
      </c>
      <c r="M50" s="1">
        <v>4</v>
      </c>
      <c r="N50" s="1">
        <v>3</v>
      </c>
      <c r="O50" s="1">
        <v>3</v>
      </c>
      <c r="P50" s="1">
        <v>4</v>
      </c>
      <c r="Q50" s="1">
        <v>3</v>
      </c>
      <c r="R50" s="1">
        <v>4</v>
      </c>
      <c r="S50" s="1">
        <v>4</v>
      </c>
      <c r="T50" s="1">
        <v>4</v>
      </c>
      <c r="U50" s="1">
        <v>3</v>
      </c>
      <c r="V50" s="1">
        <v>3</v>
      </c>
      <c r="W50" s="1">
        <v>2</v>
      </c>
      <c r="X50" s="1">
        <v>2</v>
      </c>
      <c r="Y50" s="1">
        <v>2</v>
      </c>
      <c r="Z50" s="1">
        <v>3</v>
      </c>
      <c r="AA50" s="1">
        <v>3</v>
      </c>
      <c r="AB50" s="1">
        <v>3</v>
      </c>
      <c r="AC50" s="1">
        <v>3</v>
      </c>
      <c r="AD50" s="1">
        <v>3</v>
      </c>
      <c r="AE50" s="1">
        <v>3</v>
      </c>
      <c r="AF50" s="1">
        <v>2</v>
      </c>
      <c r="AG50" s="1">
        <v>3</v>
      </c>
      <c r="AH50" s="1">
        <v>5</v>
      </c>
      <c r="AI50" s="1">
        <v>5</v>
      </c>
      <c r="AJ50" s="1">
        <v>5</v>
      </c>
      <c r="AK50" s="1">
        <v>4</v>
      </c>
      <c r="AL50" s="1">
        <v>4</v>
      </c>
      <c r="AM50" s="1">
        <v>4</v>
      </c>
      <c r="AN50" s="1">
        <v>4</v>
      </c>
      <c r="AO50" s="1">
        <v>3</v>
      </c>
      <c r="AP50" s="1">
        <v>4</v>
      </c>
      <c r="AQ50" s="1">
        <v>3</v>
      </c>
      <c r="AR50" s="1">
        <v>4</v>
      </c>
      <c r="AS50" s="1">
        <v>5</v>
      </c>
      <c r="AT50" s="1">
        <v>4</v>
      </c>
      <c r="AU50" s="1">
        <v>4</v>
      </c>
      <c r="AV50" s="1">
        <v>4</v>
      </c>
      <c r="AW50" s="1">
        <v>2</v>
      </c>
      <c r="AX50" s="1">
        <v>2</v>
      </c>
      <c r="AY50" s="1">
        <v>2</v>
      </c>
      <c r="AZ50" s="1">
        <v>3</v>
      </c>
      <c r="BA50" s="1">
        <v>3</v>
      </c>
      <c r="BB50" s="1">
        <v>4</v>
      </c>
      <c r="BC50" s="1">
        <v>1</v>
      </c>
    </row>
    <row r="51" spans="1:55">
      <c r="A51" s="1" t="s">
        <v>140</v>
      </c>
      <c r="B51" s="1" t="s">
        <v>66</v>
      </c>
      <c r="C51" s="1" t="s">
        <v>139</v>
      </c>
      <c r="D51" s="1">
        <v>2</v>
      </c>
      <c r="E51" s="1">
        <v>4</v>
      </c>
      <c r="F51" s="1">
        <v>2</v>
      </c>
      <c r="G51" s="1">
        <v>3</v>
      </c>
      <c r="H51" s="1">
        <v>2</v>
      </c>
      <c r="I51" s="1">
        <v>3</v>
      </c>
      <c r="J51" s="1">
        <v>2</v>
      </c>
      <c r="K51" s="1">
        <v>3</v>
      </c>
      <c r="L51" s="1">
        <v>5</v>
      </c>
      <c r="M51" s="1">
        <v>3</v>
      </c>
      <c r="N51" s="1">
        <v>2</v>
      </c>
      <c r="O51" s="1">
        <v>4</v>
      </c>
      <c r="P51" s="1">
        <v>4</v>
      </c>
      <c r="Q51" s="1">
        <v>4</v>
      </c>
      <c r="R51" s="1">
        <v>4</v>
      </c>
      <c r="S51" s="1">
        <v>4</v>
      </c>
      <c r="T51" s="1">
        <v>4</v>
      </c>
      <c r="U51" s="1">
        <v>4</v>
      </c>
      <c r="V51" s="1">
        <v>2</v>
      </c>
      <c r="W51" s="1">
        <v>3</v>
      </c>
      <c r="X51" s="1">
        <v>3</v>
      </c>
      <c r="Y51" s="1">
        <v>3</v>
      </c>
      <c r="Z51" s="1">
        <v>5</v>
      </c>
      <c r="AA51" s="1">
        <v>3</v>
      </c>
      <c r="AB51" s="1">
        <v>4</v>
      </c>
      <c r="AC51" s="1">
        <v>4</v>
      </c>
      <c r="AD51" s="1">
        <v>4</v>
      </c>
      <c r="AE51" s="1">
        <v>4</v>
      </c>
      <c r="AF51" s="1">
        <v>2</v>
      </c>
      <c r="AG51" s="1">
        <v>2</v>
      </c>
      <c r="AH51" s="1">
        <v>2</v>
      </c>
      <c r="AI51" s="1">
        <v>2</v>
      </c>
      <c r="AJ51" s="1">
        <v>2</v>
      </c>
      <c r="AK51" s="1">
        <v>3</v>
      </c>
      <c r="AL51" s="1">
        <v>4</v>
      </c>
      <c r="AM51" s="1">
        <v>3</v>
      </c>
      <c r="AN51" s="1">
        <v>2</v>
      </c>
      <c r="AO51" s="1">
        <v>3</v>
      </c>
      <c r="AP51" s="1">
        <v>3</v>
      </c>
      <c r="AQ51" s="1">
        <v>3</v>
      </c>
      <c r="AR51" s="1">
        <v>4</v>
      </c>
      <c r="AS51" s="1">
        <v>4</v>
      </c>
      <c r="AT51" s="1">
        <v>4</v>
      </c>
      <c r="AU51" s="1">
        <v>4</v>
      </c>
      <c r="AV51" s="1">
        <v>3</v>
      </c>
      <c r="AW51" s="1">
        <v>4</v>
      </c>
      <c r="AX51" s="1">
        <v>4</v>
      </c>
      <c r="AY51" s="1">
        <v>3</v>
      </c>
      <c r="AZ51" s="1">
        <v>4</v>
      </c>
      <c r="BA51" s="1">
        <v>5</v>
      </c>
      <c r="BB51" s="1">
        <v>4</v>
      </c>
      <c r="BC51" s="1">
        <v>3</v>
      </c>
    </row>
    <row r="52" spans="1:55">
      <c r="A52" s="1" t="s">
        <v>141</v>
      </c>
      <c r="B52" s="1" t="s">
        <v>66</v>
      </c>
      <c r="C52" s="1" t="s">
        <v>142</v>
      </c>
      <c r="D52" s="1">
        <v>2</v>
      </c>
      <c r="E52" s="1">
        <v>3</v>
      </c>
      <c r="F52" s="1">
        <v>2</v>
      </c>
      <c r="G52" s="1">
        <v>4</v>
      </c>
      <c r="H52" s="1">
        <v>3</v>
      </c>
      <c r="I52" s="1">
        <v>3</v>
      </c>
      <c r="J52" s="1">
        <v>2</v>
      </c>
      <c r="K52" s="1">
        <v>2</v>
      </c>
      <c r="L52" s="1">
        <v>3</v>
      </c>
      <c r="M52" s="1">
        <v>3</v>
      </c>
      <c r="N52" s="1">
        <v>3</v>
      </c>
      <c r="O52" s="1">
        <v>2</v>
      </c>
      <c r="P52" s="1">
        <v>2</v>
      </c>
      <c r="Q52" s="1">
        <v>2</v>
      </c>
      <c r="R52" s="1">
        <v>3</v>
      </c>
      <c r="S52" s="1">
        <v>2</v>
      </c>
      <c r="T52" s="1">
        <v>4</v>
      </c>
      <c r="U52" s="1">
        <v>2</v>
      </c>
      <c r="V52" s="1">
        <v>2</v>
      </c>
      <c r="W52" s="1">
        <v>2</v>
      </c>
      <c r="X52" s="1">
        <v>3</v>
      </c>
      <c r="Y52" s="1">
        <v>3</v>
      </c>
      <c r="Z52" s="1">
        <v>2</v>
      </c>
      <c r="AA52" s="1">
        <v>2</v>
      </c>
      <c r="AB52" s="1">
        <v>2</v>
      </c>
      <c r="AC52" s="1">
        <v>4</v>
      </c>
      <c r="AD52" s="1">
        <v>3</v>
      </c>
      <c r="AE52" s="1">
        <v>3</v>
      </c>
      <c r="AF52" s="1">
        <v>2</v>
      </c>
      <c r="AG52" s="1">
        <v>3</v>
      </c>
      <c r="AH52" s="1">
        <v>3</v>
      </c>
      <c r="AI52" s="1">
        <v>3</v>
      </c>
      <c r="AJ52" s="1">
        <v>3</v>
      </c>
      <c r="AK52" s="1">
        <v>2</v>
      </c>
      <c r="AL52" s="1">
        <v>2</v>
      </c>
      <c r="AM52" s="1">
        <v>4</v>
      </c>
      <c r="AN52" s="1">
        <v>3</v>
      </c>
      <c r="AO52" s="1">
        <v>3</v>
      </c>
      <c r="AP52" s="1">
        <v>3</v>
      </c>
      <c r="AQ52" s="1">
        <v>3</v>
      </c>
      <c r="AR52" s="1">
        <v>3</v>
      </c>
      <c r="AS52" s="1">
        <v>4</v>
      </c>
      <c r="AT52" s="1">
        <v>3</v>
      </c>
      <c r="AU52" s="1">
        <v>3</v>
      </c>
      <c r="AV52" s="1">
        <v>3</v>
      </c>
      <c r="AW52" s="1">
        <v>4</v>
      </c>
      <c r="AX52" s="1">
        <v>3</v>
      </c>
      <c r="AY52" s="1">
        <v>3</v>
      </c>
      <c r="AZ52" s="1">
        <v>2</v>
      </c>
      <c r="BA52" s="1">
        <v>3</v>
      </c>
      <c r="BB52" s="1">
        <v>1</v>
      </c>
      <c r="BC52" s="1">
        <v>3</v>
      </c>
    </row>
    <row r="53" spans="1:55">
      <c r="A53" s="1" t="s">
        <v>143</v>
      </c>
      <c r="B53" s="1" t="s">
        <v>66</v>
      </c>
      <c r="C53" s="1" t="s">
        <v>142</v>
      </c>
      <c r="D53" s="1">
        <v>3</v>
      </c>
      <c r="E53" s="1">
        <v>2</v>
      </c>
      <c r="F53" s="1">
        <v>4</v>
      </c>
      <c r="G53" s="1">
        <v>3</v>
      </c>
      <c r="H53" s="1">
        <v>2</v>
      </c>
      <c r="I53" s="1">
        <v>3</v>
      </c>
      <c r="J53" s="1">
        <v>3</v>
      </c>
      <c r="K53" s="1">
        <v>3</v>
      </c>
      <c r="L53" s="1">
        <v>3</v>
      </c>
      <c r="M53" s="1">
        <v>3</v>
      </c>
      <c r="N53" s="1">
        <v>2</v>
      </c>
      <c r="O53" s="1">
        <v>4</v>
      </c>
      <c r="P53" s="1">
        <v>3</v>
      </c>
      <c r="Q53" s="1">
        <v>4</v>
      </c>
      <c r="R53" s="1">
        <v>3</v>
      </c>
      <c r="S53" s="1">
        <v>4</v>
      </c>
      <c r="T53" s="1">
        <v>2</v>
      </c>
      <c r="U53" s="1">
        <v>3</v>
      </c>
      <c r="V53" s="1">
        <v>2</v>
      </c>
      <c r="W53" s="1">
        <v>3</v>
      </c>
      <c r="X53" s="1">
        <v>4</v>
      </c>
      <c r="Y53" s="1">
        <v>4</v>
      </c>
      <c r="Z53" s="1">
        <v>3</v>
      </c>
      <c r="AA53" s="1">
        <v>3</v>
      </c>
      <c r="AB53" s="1">
        <v>2</v>
      </c>
      <c r="AC53" s="1">
        <v>4</v>
      </c>
      <c r="AD53" s="1">
        <v>3</v>
      </c>
      <c r="AE53" s="1">
        <v>3</v>
      </c>
      <c r="AF53" s="1">
        <v>3</v>
      </c>
      <c r="AG53" s="1">
        <v>3</v>
      </c>
      <c r="AH53" s="1">
        <v>4</v>
      </c>
      <c r="AI53" s="1">
        <v>3</v>
      </c>
      <c r="AJ53" s="1">
        <v>3</v>
      </c>
      <c r="AK53" s="1">
        <v>2</v>
      </c>
      <c r="AL53" s="1">
        <v>3</v>
      </c>
      <c r="AM53" s="1">
        <v>3</v>
      </c>
      <c r="AN53" s="1">
        <v>5</v>
      </c>
      <c r="AO53" s="1">
        <v>4</v>
      </c>
      <c r="AP53" s="1">
        <v>4</v>
      </c>
      <c r="AQ53" s="1">
        <v>3</v>
      </c>
      <c r="AR53" s="1">
        <v>4</v>
      </c>
      <c r="AS53" s="1">
        <v>4</v>
      </c>
      <c r="AT53" s="1">
        <v>4</v>
      </c>
      <c r="AU53" s="1">
        <v>3</v>
      </c>
      <c r="AV53" s="1">
        <v>4</v>
      </c>
      <c r="AW53" s="1">
        <v>4</v>
      </c>
      <c r="AX53" s="1">
        <v>4</v>
      </c>
      <c r="AY53" s="1">
        <v>4</v>
      </c>
      <c r="AZ53" s="1">
        <v>2</v>
      </c>
      <c r="BA53" s="1">
        <v>4</v>
      </c>
      <c r="BB53" s="1">
        <v>3</v>
      </c>
      <c r="BC53" s="1">
        <v>3</v>
      </c>
    </row>
    <row r="54" spans="1:55">
      <c r="A54" s="1" t="s">
        <v>144</v>
      </c>
      <c r="B54" s="1" t="s">
        <v>66</v>
      </c>
      <c r="C54" s="1" t="s">
        <v>145</v>
      </c>
      <c r="D54" s="1">
        <v>3</v>
      </c>
      <c r="E54" s="1">
        <v>1</v>
      </c>
      <c r="F54" s="1">
        <v>3</v>
      </c>
      <c r="G54" s="1">
        <v>4</v>
      </c>
      <c r="H54" s="1">
        <v>3</v>
      </c>
      <c r="I54" s="1">
        <v>3</v>
      </c>
      <c r="J54" s="1">
        <v>3</v>
      </c>
      <c r="K54" s="1">
        <v>1</v>
      </c>
      <c r="L54" s="1">
        <v>1</v>
      </c>
      <c r="M54" s="1">
        <v>1</v>
      </c>
      <c r="N54" s="1">
        <v>3</v>
      </c>
      <c r="O54" s="1">
        <v>2</v>
      </c>
      <c r="P54" s="1">
        <v>2</v>
      </c>
      <c r="Q54" s="1">
        <v>2</v>
      </c>
      <c r="R54" s="1">
        <v>1</v>
      </c>
      <c r="S54" s="1">
        <v>2</v>
      </c>
      <c r="T54" s="1">
        <v>1</v>
      </c>
      <c r="U54" s="1">
        <v>3</v>
      </c>
      <c r="V54" s="1">
        <v>4</v>
      </c>
      <c r="W54" s="1">
        <v>3</v>
      </c>
      <c r="X54" s="1">
        <v>3</v>
      </c>
      <c r="Y54" s="1">
        <v>3</v>
      </c>
      <c r="Z54" s="1">
        <v>2</v>
      </c>
      <c r="AA54" s="1">
        <v>2</v>
      </c>
      <c r="AB54" s="1">
        <v>3</v>
      </c>
      <c r="AC54" s="1">
        <v>2</v>
      </c>
      <c r="AD54" s="1">
        <v>3</v>
      </c>
      <c r="AE54" s="1">
        <v>3</v>
      </c>
      <c r="AF54" s="1">
        <v>4</v>
      </c>
      <c r="AG54" s="1">
        <v>3</v>
      </c>
      <c r="AH54" s="1">
        <v>4</v>
      </c>
      <c r="AI54" s="1">
        <v>5</v>
      </c>
      <c r="AJ54" s="1">
        <v>4</v>
      </c>
      <c r="AK54" s="1">
        <v>3</v>
      </c>
      <c r="AL54" s="1">
        <v>2</v>
      </c>
      <c r="AM54" s="1">
        <v>2</v>
      </c>
      <c r="AN54" s="1">
        <v>4</v>
      </c>
      <c r="AO54" s="1">
        <v>2</v>
      </c>
      <c r="AP54" s="1">
        <v>2</v>
      </c>
      <c r="AQ54" s="1">
        <v>2</v>
      </c>
      <c r="AR54" s="1">
        <v>2</v>
      </c>
      <c r="AS54" s="1">
        <v>2</v>
      </c>
      <c r="AT54" s="1">
        <v>2</v>
      </c>
      <c r="AU54" s="1">
        <v>2</v>
      </c>
      <c r="AV54" s="1">
        <v>4</v>
      </c>
      <c r="AW54" s="1">
        <v>4</v>
      </c>
      <c r="AX54" s="1">
        <v>4</v>
      </c>
      <c r="AY54" s="1">
        <v>3</v>
      </c>
      <c r="AZ54" s="1">
        <v>3</v>
      </c>
      <c r="BA54" s="1">
        <v>2</v>
      </c>
      <c r="BB54" s="1">
        <v>2</v>
      </c>
      <c r="BC54" s="1">
        <v>3</v>
      </c>
    </row>
    <row r="55" spans="1:55">
      <c r="A55" s="1" t="s">
        <v>146</v>
      </c>
      <c r="B55" s="1" t="s">
        <v>66</v>
      </c>
      <c r="C55" s="1" t="s">
        <v>145</v>
      </c>
      <c r="D55" s="1">
        <v>3</v>
      </c>
      <c r="E55" s="1">
        <v>3</v>
      </c>
      <c r="F55" s="1">
        <v>4</v>
      </c>
      <c r="G55" s="1">
        <v>4</v>
      </c>
      <c r="H55" s="1">
        <v>4</v>
      </c>
      <c r="I55" s="1">
        <v>4</v>
      </c>
      <c r="J55" s="1">
        <v>4</v>
      </c>
      <c r="K55" s="1">
        <v>4</v>
      </c>
      <c r="L55" s="1">
        <v>5</v>
      </c>
      <c r="M55" s="1">
        <v>3</v>
      </c>
      <c r="N55" s="1">
        <v>3</v>
      </c>
      <c r="O55" s="1">
        <v>4</v>
      </c>
      <c r="P55" s="1">
        <v>4</v>
      </c>
      <c r="Q55" s="1">
        <v>5</v>
      </c>
      <c r="R55" s="1">
        <v>2</v>
      </c>
      <c r="S55" s="1">
        <v>2</v>
      </c>
      <c r="T55" s="1">
        <v>3</v>
      </c>
      <c r="U55" s="1">
        <v>2</v>
      </c>
      <c r="V55" s="1">
        <v>4</v>
      </c>
      <c r="W55" s="1">
        <v>3</v>
      </c>
      <c r="X55" s="1">
        <v>3</v>
      </c>
      <c r="Y55" s="1">
        <v>3</v>
      </c>
      <c r="Z55" s="1">
        <v>4</v>
      </c>
      <c r="AA55" s="1">
        <v>4</v>
      </c>
      <c r="AB55" s="1">
        <v>3</v>
      </c>
      <c r="AC55" s="1">
        <v>2</v>
      </c>
      <c r="AD55" s="1">
        <v>3</v>
      </c>
      <c r="AE55" s="1">
        <v>3</v>
      </c>
      <c r="AF55" s="1">
        <v>3</v>
      </c>
      <c r="AG55" s="1">
        <v>4</v>
      </c>
      <c r="AH55" s="1">
        <v>5</v>
      </c>
      <c r="AI55" s="1">
        <v>5</v>
      </c>
      <c r="AJ55" s="1">
        <v>4</v>
      </c>
      <c r="AK55" s="1">
        <v>5</v>
      </c>
      <c r="AL55" s="1">
        <v>4</v>
      </c>
      <c r="AM55" s="1">
        <v>2</v>
      </c>
      <c r="AN55" s="1">
        <v>5</v>
      </c>
      <c r="AO55" s="1">
        <v>4</v>
      </c>
      <c r="AP55" s="1">
        <v>4</v>
      </c>
      <c r="AQ55" s="1">
        <v>5</v>
      </c>
      <c r="AR55" s="1">
        <v>4</v>
      </c>
      <c r="AS55" s="1">
        <v>2</v>
      </c>
      <c r="AT55" s="1">
        <v>3</v>
      </c>
      <c r="AU55" s="1">
        <v>2</v>
      </c>
      <c r="AV55" s="1">
        <v>5</v>
      </c>
      <c r="AW55" s="1">
        <v>4</v>
      </c>
      <c r="AX55" s="1">
        <v>4</v>
      </c>
      <c r="AY55" s="1">
        <v>4</v>
      </c>
      <c r="AZ55" s="1">
        <v>4</v>
      </c>
      <c r="BA55" s="1">
        <v>4</v>
      </c>
      <c r="BB55" s="1">
        <v>5</v>
      </c>
      <c r="BC55" s="1">
        <v>2</v>
      </c>
    </row>
    <row r="56" spans="1:55">
      <c r="A56" s="1" t="s">
        <v>147</v>
      </c>
      <c r="B56" s="1" t="s">
        <v>66</v>
      </c>
      <c r="C56" s="1" t="s">
        <v>148</v>
      </c>
      <c r="D56" s="1">
        <v>4</v>
      </c>
      <c r="E56" s="1">
        <v>3</v>
      </c>
      <c r="F56" s="1">
        <v>2</v>
      </c>
      <c r="G56" s="1">
        <v>1</v>
      </c>
      <c r="H56" s="1">
        <v>3</v>
      </c>
      <c r="I56" s="1">
        <v>4</v>
      </c>
      <c r="J56" s="1">
        <v>4</v>
      </c>
      <c r="K56" s="1">
        <v>3</v>
      </c>
      <c r="L56" s="1">
        <v>3</v>
      </c>
      <c r="M56" s="1">
        <v>4</v>
      </c>
      <c r="N56" s="1">
        <v>3</v>
      </c>
      <c r="O56" s="1">
        <v>3</v>
      </c>
      <c r="P56" s="1">
        <v>3</v>
      </c>
      <c r="Q56" s="1">
        <v>3</v>
      </c>
      <c r="R56" s="1">
        <v>3</v>
      </c>
      <c r="S56" s="1">
        <v>4</v>
      </c>
      <c r="T56" s="1">
        <v>3</v>
      </c>
      <c r="U56" s="1">
        <v>3</v>
      </c>
      <c r="V56" s="1">
        <v>3</v>
      </c>
      <c r="W56" s="1">
        <v>3</v>
      </c>
      <c r="X56" s="1">
        <v>3</v>
      </c>
      <c r="Y56" s="1">
        <v>3</v>
      </c>
      <c r="Z56" s="1">
        <v>3</v>
      </c>
      <c r="AA56" s="1">
        <v>5</v>
      </c>
      <c r="AB56" s="1">
        <v>3</v>
      </c>
      <c r="AC56" s="1">
        <v>4</v>
      </c>
      <c r="AD56" s="1">
        <v>4</v>
      </c>
      <c r="AE56" s="1">
        <v>4</v>
      </c>
      <c r="AF56" s="1">
        <v>2</v>
      </c>
      <c r="AG56" s="1">
        <v>2</v>
      </c>
      <c r="AH56" s="1">
        <v>4</v>
      </c>
      <c r="AI56" s="1">
        <v>4</v>
      </c>
      <c r="AJ56" s="1">
        <v>5</v>
      </c>
      <c r="AK56" s="1">
        <v>3</v>
      </c>
      <c r="AL56" s="1">
        <v>3</v>
      </c>
      <c r="AM56" s="1">
        <v>3</v>
      </c>
      <c r="AN56" s="1">
        <v>5</v>
      </c>
      <c r="AO56" s="1">
        <v>2</v>
      </c>
      <c r="AP56" s="1">
        <v>3</v>
      </c>
      <c r="AQ56" s="1">
        <v>3</v>
      </c>
      <c r="AR56" s="1">
        <v>4</v>
      </c>
      <c r="AS56" s="1">
        <v>4</v>
      </c>
      <c r="AT56" s="1">
        <v>3</v>
      </c>
      <c r="AU56" s="1">
        <v>4</v>
      </c>
      <c r="AV56" s="1">
        <v>3</v>
      </c>
      <c r="AW56" s="1">
        <v>4</v>
      </c>
      <c r="AX56" s="1">
        <v>3</v>
      </c>
      <c r="AY56" s="1">
        <v>4</v>
      </c>
      <c r="AZ56" s="1">
        <v>3</v>
      </c>
      <c r="BA56" s="1">
        <v>3</v>
      </c>
      <c r="BB56" s="1">
        <v>4</v>
      </c>
      <c r="BC56" s="1">
        <v>3</v>
      </c>
    </row>
    <row r="57" spans="1:55">
      <c r="A57" s="1" t="s">
        <v>149</v>
      </c>
      <c r="B57" s="1" t="s">
        <v>66</v>
      </c>
      <c r="C57" s="1" t="s">
        <v>148</v>
      </c>
      <c r="D57" s="1">
        <v>3</v>
      </c>
      <c r="E57" s="1">
        <v>3</v>
      </c>
      <c r="F57" s="1">
        <v>3</v>
      </c>
      <c r="G57" s="1">
        <v>3</v>
      </c>
      <c r="H57" s="1">
        <v>2</v>
      </c>
      <c r="I57" s="1">
        <v>2</v>
      </c>
      <c r="J57" s="1">
        <v>2</v>
      </c>
      <c r="K57" s="1">
        <v>3</v>
      </c>
      <c r="L57" s="1">
        <v>3</v>
      </c>
      <c r="M57" s="1">
        <v>3</v>
      </c>
      <c r="N57" s="1">
        <v>2</v>
      </c>
      <c r="O57" s="1">
        <v>3</v>
      </c>
      <c r="P57" s="1">
        <v>4</v>
      </c>
      <c r="Q57" s="1">
        <v>3</v>
      </c>
      <c r="R57" s="1">
        <v>2</v>
      </c>
      <c r="S57" s="1">
        <v>3</v>
      </c>
      <c r="T57" s="1">
        <v>3</v>
      </c>
      <c r="U57" s="1">
        <v>3</v>
      </c>
      <c r="V57" s="1">
        <v>3</v>
      </c>
      <c r="W57" s="1">
        <v>2</v>
      </c>
      <c r="X57" s="1">
        <v>3</v>
      </c>
      <c r="Y57" s="1">
        <v>2</v>
      </c>
      <c r="Z57" s="1">
        <v>3</v>
      </c>
      <c r="AA57" s="1">
        <v>5</v>
      </c>
      <c r="AB57" s="1">
        <v>3</v>
      </c>
      <c r="AC57" s="1">
        <v>4</v>
      </c>
      <c r="AD57" s="1">
        <v>3</v>
      </c>
      <c r="AE57" s="1">
        <v>2</v>
      </c>
      <c r="AF57" s="1">
        <v>3</v>
      </c>
      <c r="AG57" s="1">
        <v>4</v>
      </c>
      <c r="AH57" s="1">
        <v>4</v>
      </c>
      <c r="AI57" s="1">
        <v>3</v>
      </c>
      <c r="AJ57" s="1">
        <v>4</v>
      </c>
      <c r="AK57" s="1">
        <v>4</v>
      </c>
      <c r="AL57" s="1">
        <v>3</v>
      </c>
      <c r="AM57" s="1">
        <v>3</v>
      </c>
      <c r="AN57" s="1">
        <v>3</v>
      </c>
      <c r="AO57" s="1">
        <v>4</v>
      </c>
      <c r="AP57" s="1">
        <v>3</v>
      </c>
      <c r="AQ57" s="1">
        <v>3</v>
      </c>
      <c r="AR57" s="1">
        <v>2</v>
      </c>
      <c r="AS57" s="1">
        <v>2</v>
      </c>
      <c r="AT57" s="1">
        <v>2</v>
      </c>
      <c r="AU57" s="1">
        <v>2</v>
      </c>
      <c r="AV57" s="1">
        <v>3</v>
      </c>
      <c r="AW57" s="1">
        <v>4</v>
      </c>
      <c r="AX57" s="1">
        <v>4</v>
      </c>
      <c r="AY57" s="1">
        <v>3</v>
      </c>
      <c r="AZ57" s="1">
        <v>2</v>
      </c>
      <c r="BA57" s="1">
        <v>4</v>
      </c>
      <c r="BB57" s="1">
        <v>3</v>
      </c>
      <c r="BC57" s="1">
        <v>4</v>
      </c>
    </row>
    <row r="58" spans="1:55">
      <c r="A58" s="1" t="s">
        <v>150</v>
      </c>
      <c r="B58" s="1" t="s">
        <v>66</v>
      </c>
      <c r="C58" s="1" t="s">
        <v>151</v>
      </c>
      <c r="D58" s="1">
        <v>3</v>
      </c>
      <c r="E58" s="1">
        <v>4</v>
      </c>
      <c r="F58" s="1">
        <v>3</v>
      </c>
      <c r="G58" s="1">
        <v>3</v>
      </c>
      <c r="H58" s="1">
        <v>3</v>
      </c>
      <c r="I58" s="1">
        <v>3</v>
      </c>
      <c r="J58" s="1">
        <v>3</v>
      </c>
      <c r="K58" s="1">
        <v>4</v>
      </c>
      <c r="L58" s="1">
        <v>3</v>
      </c>
      <c r="M58" s="1">
        <v>3</v>
      </c>
      <c r="N58" s="1">
        <v>4</v>
      </c>
      <c r="O58" s="1">
        <v>4</v>
      </c>
      <c r="P58" s="1">
        <v>4</v>
      </c>
      <c r="Q58" s="1">
        <v>5</v>
      </c>
      <c r="R58" s="1">
        <v>3</v>
      </c>
      <c r="S58" s="1">
        <v>3</v>
      </c>
      <c r="T58" s="1">
        <v>3</v>
      </c>
      <c r="U58" s="1">
        <v>2</v>
      </c>
      <c r="V58" s="1">
        <v>2</v>
      </c>
      <c r="W58" s="1">
        <v>3</v>
      </c>
      <c r="X58" s="1">
        <v>3</v>
      </c>
      <c r="Y58" s="1">
        <v>3</v>
      </c>
      <c r="Z58" s="1">
        <v>3</v>
      </c>
      <c r="AA58" s="1">
        <v>4</v>
      </c>
      <c r="AB58" s="1">
        <v>4</v>
      </c>
      <c r="AC58" s="1">
        <v>2</v>
      </c>
      <c r="AD58" s="1">
        <v>4</v>
      </c>
      <c r="AE58" s="1">
        <v>3</v>
      </c>
      <c r="AF58" s="1">
        <v>2</v>
      </c>
      <c r="AG58" s="1">
        <v>2</v>
      </c>
      <c r="AH58" s="1">
        <v>4</v>
      </c>
      <c r="AI58" s="1">
        <v>3</v>
      </c>
      <c r="AJ58" s="1">
        <v>4</v>
      </c>
      <c r="AK58" s="1">
        <v>4</v>
      </c>
      <c r="AL58" s="1">
        <v>4</v>
      </c>
      <c r="AM58" s="1">
        <v>4</v>
      </c>
      <c r="AN58" s="1">
        <v>3</v>
      </c>
      <c r="AO58" s="1">
        <v>4</v>
      </c>
      <c r="AP58" s="1">
        <v>5</v>
      </c>
      <c r="AQ58" s="1">
        <v>4</v>
      </c>
      <c r="AR58" s="1">
        <v>4</v>
      </c>
      <c r="AS58" s="1">
        <v>3</v>
      </c>
      <c r="AT58" s="1">
        <v>2</v>
      </c>
      <c r="AU58" s="1">
        <v>3</v>
      </c>
      <c r="AV58" s="1">
        <v>3</v>
      </c>
      <c r="AW58" s="1">
        <v>4</v>
      </c>
      <c r="AX58" s="1">
        <v>4</v>
      </c>
      <c r="AY58" s="1">
        <v>4</v>
      </c>
      <c r="AZ58" s="1">
        <v>4</v>
      </c>
      <c r="BA58" s="1">
        <v>5</v>
      </c>
      <c r="BB58" s="1">
        <v>4</v>
      </c>
      <c r="BC58" s="1">
        <v>2</v>
      </c>
    </row>
    <row r="59" spans="1:55">
      <c r="A59" s="1" t="s">
        <v>152</v>
      </c>
      <c r="B59" s="1" t="s">
        <v>66</v>
      </c>
      <c r="C59" s="1" t="s">
        <v>151</v>
      </c>
      <c r="D59" s="1">
        <v>4</v>
      </c>
      <c r="E59" s="1">
        <v>4</v>
      </c>
      <c r="F59" s="1">
        <v>2</v>
      </c>
      <c r="G59" s="1">
        <v>1</v>
      </c>
      <c r="H59" s="1">
        <v>3</v>
      </c>
      <c r="I59" s="1">
        <v>2</v>
      </c>
      <c r="J59" s="1">
        <v>2</v>
      </c>
      <c r="K59" s="1">
        <v>4</v>
      </c>
      <c r="L59" s="1">
        <v>3</v>
      </c>
      <c r="M59" s="1">
        <v>3</v>
      </c>
      <c r="N59" s="1">
        <v>2</v>
      </c>
      <c r="O59" s="1">
        <v>4</v>
      </c>
      <c r="P59" s="1">
        <v>3</v>
      </c>
      <c r="Q59" s="1">
        <v>3</v>
      </c>
      <c r="R59" s="1">
        <v>4</v>
      </c>
      <c r="S59" s="1">
        <v>3</v>
      </c>
      <c r="T59" s="1">
        <v>4</v>
      </c>
      <c r="U59" s="1">
        <v>4</v>
      </c>
      <c r="V59" s="1">
        <v>3</v>
      </c>
      <c r="W59" s="1">
        <v>4</v>
      </c>
      <c r="X59" s="1">
        <v>4</v>
      </c>
      <c r="Y59" s="1">
        <v>3</v>
      </c>
      <c r="Z59" s="1">
        <v>3</v>
      </c>
      <c r="AA59" s="1">
        <v>4</v>
      </c>
      <c r="AB59" s="1">
        <v>4</v>
      </c>
      <c r="AC59" s="1">
        <v>4</v>
      </c>
      <c r="AD59" s="1">
        <v>4</v>
      </c>
      <c r="AE59" s="1">
        <v>4</v>
      </c>
      <c r="AF59" s="1">
        <v>2</v>
      </c>
      <c r="AG59" s="1">
        <v>3</v>
      </c>
      <c r="AH59" s="1">
        <v>3</v>
      </c>
      <c r="AI59" s="1">
        <v>3</v>
      </c>
      <c r="AJ59" s="1">
        <v>2</v>
      </c>
      <c r="AK59" s="1">
        <v>4</v>
      </c>
      <c r="AL59" s="1">
        <v>3</v>
      </c>
      <c r="AM59" s="1">
        <v>3</v>
      </c>
      <c r="AN59" s="1">
        <v>3</v>
      </c>
      <c r="AO59" s="1">
        <v>4</v>
      </c>
      <c r="AP59" s="1">
        <v>4</v>
      </c>
      <c r="AQ59" s="1">
        <v>4</v>
      </c>
      <c r="AR59" s="1">
        <v>5</v>
      </c>
      <c r="AS59" s="1">
        <v>4</v>
      </c>
      <c r="AT59" s="1">
        <v>4</v>
      </c>
      <c r="AU59" s="1">
        <v>3</v>
      </c>
      <c r="AV59" s="1">
        <v>3</v>
      </c>
      <c r="AW59" s="1">
        <v>4</v>
      </c>
      <c r="AX59" s="1">
        <v>4</v>
      </c>
      <c r="AY59" s="1">
        <v>4</v>
      </c>
      <c r="AZ59" s="1">
        <v>4</v>
      </c>
      <c r="BA59" s="1">
        <v>4</v>
      </c>
      <c r="BB59" s="1">
        <v>3</v>
      </c>
      <c r="BC59" s="1">
        <v>3</v>
      </c>
    </row>
    <row r="60" spans="1:55">
      <c r="A60" s="1" t="s">
        <v>153</v>
      </c>
      <c r="B60" s="1" t="s">
        <v>66</v>
      </c>
      <c r="C60" s="1" t="s">
        <v>154</v>
      </c>
      <c r="D60" s="1">
        <v>3</v>
      </c>
      <c r="E60" s="1">
        <v>3</v>
      </c>
      <c r="F60" s="1">
        <v>3</v>
      </c>
      <c r="G60" s="1">
        <v>2</v>
      </c>
      <c r="H60" s="1">
        <v>3</v>
      </c>
      <c r="I60" s="1">
        <v>3</v>
      </c>
      <c r="J60" s="1">
        <v>3</v>
      </c>
      <c r="K60" s="1">
        <v>4</v>
      </c>
      <c r="L60" s="1">
        <v>3</v>
      </c>
      <c r="M60" s="1">
        <v>4</v>
      </c>
      <c r="N60" s="1">
        <v>3</v>
      </c>
      <c r="O60" s="1">
        <v>4</v>
      </c>
      <c r="P60" s="1">
        <v>3</v>
      </c>
      <c r="Q60" s="1">
        <v>3</v>
      </c>
      <c r="R60" s="1">
        <v>3</v>
      </c>
      <c r="S60" s="1">
        <v>4</v>
      </c>
      <c r="T60" s="1">
        <v>3</v>
      </c>
      <c r="U60" s="1">
        <v>3</v>
      </c>
      <c r="V60" s="1">
        <v>3</v>
      </c>
      <c r="W60" s="1">
        <v>3</v>
      </c>
      <c r="X60" s="1">
        <v>3</v>
      </c>
      <c r="Y60" s="1">
        <v>3</v>
      </c>
      <c r="Z60" s="1">
        <v>3</v>
      </c>
      <c r="AA60" s="1">
        <v>2</v>
      </c>
      <c r="AB60" s="1">
        <v>3</v>
      </c>
      <c r="AC60" s="1">
        <v>3</v>
      </c>
      <c r="AD60" s="1">
        <v>3</v>
      </c>
      <c r="AE60" s="1">
        <v>3</v>
      </c>
      <c r="AF60" s="1">
        <v>3</v>
      </c>
      <c r="AG60" s="1">
        <v>2</v>
      </c>
      <c r="AH60" s="1">
        <v>4</v>
      </c>
      <c r="AI60" s="1">
        <v>3</v>
      </c>
      <c r="AJ60" s="1">
        <v>3</v>
      </c>
      <c r="AK60" s="1">
        <v>4</v>
      </c>
      <c r="AL60" s="1">
        <v>3</v>
      </c>
      <c r="AM60" s="1">
        <v>3</v>
      </c>
      <c r="AN60" s="1">
        <v>2</v>
      </c>
      <c r="AO60" s="1">
        <v>3</v>
      </c>
      <c r="AP60" s="1">
        <v>2</v>
      </c>
      <c r="AQ60" s="1">
        <v>4</v>
      </c>
      <c r="AR60" s="1">
        <v>2</v>
      </c>
      <c r="AS60" s="1">
        <v>4</v>
      </c>
      <c r="AT60" s="1">
        <v>3</v>
      </c>
      <c r="AU60" s="1">
        <v>4</v>
      </c>
      <c r="AV60" s="1">
        <v>3</v>
      </c>
      <c r="AW60" s="1">
        <v>3</v>
      </c>
      <c r="AX60" s="1">
        <v>3</v>
      </c>
      <c r="AY60" s="1">
        <v>3</v>
      </c>
      <c r="AZ60" s="1">
        <v>2</v>
      </c>
      <c r="BA60" s="1">
        <v>4</v>
      </c>
      <c r="BB60" s="1">
        <v>3</v>
      </c>
      <c r="BC60" s="1">
        <v>3</v>
      </c>
    </row>
    <row r="61" spans="1:55">
      <c r="A61" s="1" t="s">
        <v>155</v>
      </c>
      <c r="B61" s="1" t="s">
        <v>66</v>
      </c>
      <c r="C61" s="1" t="s">
        <v>154</v>
      </c>
      <c r="D61" s="1">
        <v>3</v>
      </c>
      <c r="E61" s="1">
        <v>2</v>
      </c>
      <c r="F61" s="1">
        <v>3</v>
      </c>
      <c r="G61" s="1">
        <v>3</v>
      </c>
      <c r="H61" s="1">
        <v>2</v>
      </c>
      <c r="I61" s="1">
        <v>3</v>
      </c>
      <c r="J61" s="1">
        <v>2</v>
      </c>
      <c r="K61" s="1">
        <v>2</v>
      </c>
      <c r="L61" s="1">
        <v>3</v>
      </c>
      <c r="M61" s="1">
        <v>3</v>
      </c>
      <c r="N61" s="1">
        <v>3</v>
      </c>
      <c r="O61" s="1">
        <v>2</v>
      </c>
      <c r="P61" s="1">
        <v>2</v>
      </c>
      <c r="Q61" s="1">
        <v>3</v>
      </c>
      <c r="R61" s="1">
        <v>4</v>
      </c>
      <c r="S61" s="1">
        <v>4</v>
      </c>
      <c r="T61" s="1">
        <v>3</v>
      </c>
      <c r="U61" s="1">
        <v>3</v>
      </c>
      <c r="V61" s="1">
        <v>2</v>
      </c>
      <c r="W61" s="1">
        <v>2</v>
      </c>
      <c r="X61" s="1">
        <v>3</v>
      </c>
      <c r="Y61" s="1">
        <v>2</v>
      </c>
      <c r="Z61" s="1">
        <v>2</v>
      </c>
      <c r="AA61" s="1">
        <v>3</v>
      </c>
      <c r="AB61" s="1">
        <v>3</v>
      </c>
      <c r="AC61" s="1">
        <v>4</v>
      </c>
      <c r="AD61" s="1">
        <v>3</v>
      </c>
      <c r="AE61" s="1">
        <v>4</v>
      </c>
      <c r="AF61" s="1">
        <v>3</v>
      </c>
      <c r="AG61" s="1">
        <v>3</v>
      </c>
      <c r="AH61" s="1">
        <v>3</v>
      </c>
      <c r="AI61" s="1">
        <v>3</v>
      </c>
      <c r="AJ61" s="1">
        <v>3</v>
      </c>
      <c r="AK61" s="1">
        <v>2</v>
      </c>
      <c r="AL61" s="1">
        <v>3</v>
      </c>
      <c r="AM61" s="1">
        <v>4</v>
      </c>
      <c r="AN61" s="1">
        <v>3</v>
      </c>
      <c r="AO61" s="1">
        <v>4</v>
      </c>
      <c r="AP61" s="1">
        <v>3</v>
      </c>
      <c r="AQ61" s="1">
        <v>3</v>
      </c>
      <c r="AR61" s="1">
        <v>3</v>
      </c>
      <c r="AS61" s="1">
        <v>4</v>
      </c>
      <c r="AT61" s="1">
        <v>3</v>
      </c>
      <c r="AU61" s="1">
        <v>4</v>
      </c>
      <c r="AV61" s="1">
        <v>3</v>
      </c>
      <c r="AW61" s="1">
        <v>3</v>
      </c>
      <c r="AX61" s="1">
        <v>3</v>
      </c>
      <c r="AY61" s="1">
        <v>4</v>
      </c>
      <c r="AZ61" s="1">
        <v>3</v>
      </c>
      <c r="BA61" s="1">
        <v>3</v>
      </c>
      <c r="BB61" s="1">
        <v>3</v>
      </c>
      <c r="BC61" s="1">
        <v>3</v>
      </c>
    </row>
    <row r="62" spans="1:55">
      <c r="A62" s="1" t="s">
        <v>156</v>
      </c>
      <c r="B62" s="1" t="s">
        <v>66</v>
      </c>
      <c r="C62" s="1" t="s">
        <v>157</v>
      </c>
      <c r="D62" s="1">
        <v>2</v>
      </c>
      <c r="E62" s="1">
        <v>2</v>
      </c>
      <c r="F62" s="1">
        <v>4</v>
      </c>
      <c r="G62" s="1">
        <v>4</v>
      </c>
      <c r="H62" s="1">
        <v>3</v>
      </c>
      <c r="I62" s="1">
        <v>2</v>
      </c>
      <c r="J62" s="1">
        <v>2</v>
      </c>
      <c r="K62" s="1">
        <v>4</v>
      </c>
      <c r="L62" s="1">
        <v>3</v>
      </c>
      <c r="M62" s="1">
        <v>1</v>
      </c>
      <c r="N62" s="1">
        <v>2</v>
      </c>
      <c r="O62" s="1">
        <v>3</v>
      </c>
      <c r="P62" s="1">
        <v>3</v>
      </c>
      <c r="Q62" s="1">
        <v>3</v>
      </c>
      <c r="R62" s="1">
        <v>3</v>
      </c>
      <c r="S62" s="1">
        <v>2</v>
      </c>
      <c r="T62" s="1">
        <v>2</v>
      </c>
      <c r="U62" s="1">
        <v>3</v>
      </c>
      <c r="V62" s="1">
        <v>2</v>
      </c>
      <c r="W62" s="1">
        <v>3</v>
      </c>
      <c r="X62" s="1">
        <v>3</v>
      </c>
      <c r="Y62" s="1">
        <v>3</v>
      </c>
      <c r="Z62" s="1">
        <v>3</v>
      </c>
      <c r="AA62" s="1">
        <v>2</v>
      </c>
      <c r="AB62" s="1">
        <v>3</v>
      </c>
      <c r="AC62" s="1">
        <v>3</v>
      </c>
      <c r="AD62" s="1">
        <v>3</v>
      </c>
      <c r="AE62" s="1">
        <v>3</v>
      </c>
      <c r="AF62" s="1">
        <v>3</v>
      </c>
      <c r="AG62" s="1">
        <v>3</v>
      </c>
      <c r="AH62" s="1">
        <v>3</v>
      </c>
      <c r="AI62" s="1">
        <v>2</v>
      </c>
      <c r="AJ62" s="1">
        <v>3</v>
      </c>
      <c r="AK62" s="1">
        <v>4</v>
      </c>
      <c r="AL62" s="1">
        <v>3</v>
      </c>
      <c r="AM62" s="1">
        <v>4</v>
      </c>
      <c r="AN62" s="1">
        <v>2</v>
      </c>
      <c r="AO62" s="1">
        <v>3</v>
      </c>
      <c r="AP62" s="1">
        <v>2</v>
      </c>
      <c r="AQ62" s="1">
        <v>2</v>
      </c>
      <c r="AR62" s="1">
        <v>3</v>
      </c>
      <c r="AS62" s="1">
        <v>4</v>
      </c>
      <c r="AT62" s="1">
        <v>3</v>
      </c>
      <c r="AU62" s="1">
        <v>4</v>
      </c>
      <c r="AV62" s="1">
        <v>2</v>
      </c>
      <c r="AW62" s="1">
        <v>4</v>
      </c>
      <c r="AX62" s="1">
        <v>3</v>
      </c>
      <c r="AY62" s="1">
        <v>2</v>
      </c>
      <c r="AZ62" s="1">
        <v>3</v>
      </c>
      <c r="BA62" s="1">
        <v>2</v>
      </c>
      <c r="BB62" s="1">
        <v>3</v>
      </c>
      <c r="BC62" s="1">
        <v>4</v>
      </c>
    </row>
    <row r="63" spans="1:55">
      <c r="A63" s="1" t="s">
        <v>158</v>
      </c>
      <c r="B63" s="1" t="s">
        <v>66</v>
      </c>
      <c r="C63" s="1" t="s">
        <v>157</v>
      </c>
      <c r="D63" s="1">
        <v>3</v>
      </c>
      <c r="E63" s="1">
        <v>4</v>
      </c>
      <c r="F63" s="1">
        <v>1</v>
      </c>
      <c r="G63" s="1">
        <v>2</v>
      </c>
      <c r="H63" s="1">
        <v>4</v>
      </c>
      <c r="I63" s="1">
        <v>4</v>
      </c>
      <c r="J63" s="1">
        <v>3</v>
      </c>
      <c r="K63" s="1">
        <v>2</v>
      </c>
      <c r="L63" s="1">
        <v>2</v>
      </c>
      <c r="M63" s="1">
        <v>4</v>
      </c>
      <c r="N63" s="1">
        <v>4</v>
      </c>
      <c r="O63" s="1">
        <v>3</v>
      </c>
      <c r="P63" s="1">
        <v>3</v>
      </c>
      <c r="Q63" s="1">
        <v>3</v>
      </c>
      <c r="R63" s="1">
        <v>4</v>
      </c>
      <c r="S63" s="1">
        <v>3</v>
      </c>
      <c r="T63" s="1">
        <v>3</v>
      </c>
      <c r="U63" s="1">
        <v>3</v>
      </c>
      <c r="V63" s="1">
        <v>3</v>
      </c>
      <c r="W63" s="1">
        <v>2</v>
      </c>
      <c r="X63" s="1">
        <v>2</v>
      </c>
      <c r="Y63" s="1">
        <v>2</v>
      </c>
      <c r="Z63" s="1">
        <v>2</v>
      </c>
      <c r="AA63" s="1">
        <v>3</v>
      </c>
      <c r="AB63" s="1">
        <v>3</v>
      </c>
      <c r="AC63" s="1">
        <v>3</v>
      </c>
      <c r="AD63" s="1">
        <v>3</v>
      </c>
      <c r="AE63" s="1">
        <v>3</v>
      </c>
      <c r="AF63" s="1">
        <v>3</v>
      </c>
      <c r="AG63" s="1">
        <v>2</v>
      </c>
      <c r="AH63" s="1">
        <v>4</v>
      </c>
      <c r="AI63" s="1">
        <v>3</v>
      </c>
      <c r="AJ63" s="1">
        <v>3</v>
      </c>
      <c r="AK63" s="1">
        <v>3</v>
      </c>
      <c r="AL63" s="1">
        <v>3</v>
      </c>
      <c r="AM63" s="1">
        <v>3</v>
      </c>
      <c r="AN63" s="1">
        <v>4</v>
      </c>
      <c r="AO63" s="1">
        <v>4</v>
      </c>
      <c r="AP63" s="1">
        <v>3</v>
      </c>
      <c r="AQ63" s="1">
        <v>3</v>
      </c>
      <c r="AR63" s="1">
        <v>3</v>
      </c>
      <c r="AS63" s="1">
        <v>4</v>
      </c>
      <c r="AT63" s="1">
        <v>2</v>
      </c>
      <c r="AU63" s="1">
        <v>3</v>
      </c>
      <c r="AV63" s="1">
        <v>3</v>
      </c>
      <c r="AW63" s="1">
        <v>2</v>
      </c>
      <c r="AX63" s="1">
        <v>3</v>
      </c>
      <c r="AY63" s="1">
        <v>2</v>
      </c>
      <c r="AZ63" s="1">
        <v>2</v>
      </c>
      <c r="BA63" s="1">
        <v>4</v>
      </c>
      <c r="BB63" s="1">
        <v>3</v>
      </c>
      <c r="BC63" s="1">
        <v>2</v>
      </c>
    </row>
    <row r="64" spans="1:55">
      <c r="A64" s="1" t="s">
        <v>159</v>
      </c>
      <c r="B64" s="1" t="s">
        <v>66</v>
      </c>
      <c r="C64" s="1" t="s">
        <v>160</v>
      </c>
      <c r="D64" s="1">
        <v>3</v>
      </c>
      <c r="E64" s="1">
        <v>3</v>
      </c>
      <c r="F64" s="1">
        <v>3</v>
      </c>
      <c r="G64" s="1">
        <v>3</v>
      </c>
      <c r="H64" s="1">
        <v>3</v>
      </c>
      <c r="I64" s="1">
        <v>3</v>
      </c>
      <c r="J64" s="1">
        <v>3</v>
      </c>
      <c r="K64" s="1">
        <v>4</v>
      </c>
      <c r="L64" s="1">
        <v>3</v>
      </c>
      <c r="M64" s="1">
        <v>3</v>
      </c>
      <c r="N64" s="1">
        <v>3</v>
      </c>
      <c r="O64" s="1">
        <v>3</v>
      </c>
      <c r="P64" s="1">
        <v>3</v>
      </c>
      <c r="Q64" s="1">
        <v>4</v>
      </c>
      <c r="R64" s="1">
        <v>3</v>
      </c>
      <c r="S64" s="1">
        <v>3</v>
      </c>
      <c r="T64" s="1">
        <v>3</v>
      </c>
      <c r="U64" s="1">
        <v>3</v>
      </c>
      <c r="V64" s="1">
        <v>3</v>
      </c>
      <c r="W64" s="1">
        <v>3</v>
      </c>
      <c r="X64" s="1">
        <v>3</v>
      </c>
      <c r="Y64" s="1">
        <v>3</v>
      </c>
      <c r="Z64" s="1">
        <v>4</v>
      </c>
      <c r="AA64" s="1">
        <v>3</v>
      </c>
      <c r="AB64" s="1">
        <v>4</v>
      </c>
      <c r="AC64" s="1">
        <v>4</v>
      </c>
      <c r="AD64" s="1">
        <v>4</v>
      </c>
      <c r="AE64" s="1">
        <v>3</v>
      </c>
      <c r="AF64" s="1">
        <v>3</v>
      </c>
      <c r="AG64" s="1">
        <v>3</v>
      </c>
      <c r="AH64" s="1">
        <v>5</v>
      </c>
      <c r="AI64" s="1">
        <v>3</v>
      </c>
      <c r="AJ64" s="1">
        <v>3</v>
      </c>
      <c r="AK64" s="1">
        <v>3</v>
      </c>
      <c r="AL64" s="1">
        <v>3</v>
      </c>
      <c r="AM64" s="1">
        <v>3</v>
      </c>
      <c r="AN64" s="1">
        <v>4</v>
      </c>
      <c r="AO64" s="1">
        <v>4</v>
      </c>
      <c r="AP64" s="1">
        <v>5</v>
      </c>
      <c r="AQ64" s="1">
        <v>4</v>
      </c>
      <c r="AR64" s="1">
        <v>4</v>
      </c>
      <c r="AS64" s="1">
        <v>3</v>
      </c>
      <c r="AT64" s="1">
        <v>3</v>
      </c>
      <c r="AU64" s="1">
        <v>3</v>
      </c>
      <c r="AV64" s="1">
        <v>3</v>
      </c>
      <c r="AW64" s="1">
        <v>3</v>
      </c>
      <c r="AX64" s="1">
        <v>4</v>
      </c>
      <c r="AY64" s="1">
        <v>2</v>
      </c>
      <c r="AZ64" s="1">
        <v>5</v>
      </c>
      <c r="BA64" s="1">
        <v>4</v>
      </c>
      <c r="BB64" s="1">
        <v>4</v>
      </c>
      <c r="BC64" s="1">
        <v>2</v>
      </c>
    </row>
    <row r="65" spans="1:55">
      <c r="A65" s="1" t="s">
        <v>161</v>
      </c>
      <c r="B65" s="1" t="s">
        <v>66</v>
      </c>
      <c r="C65" s="1" t="s">
        <v>160</v>
      </c>
      <c r="D65" s="1">
        <v>3</v>
      </c>
      <c r="E65" s="1">
        <v>3</v>
      </c>
      <c r="F65" s="1">
        <v>3</v>
      </c>
      <c r="G65" s="1">
        <v>3</v>
      </c>
      <c r="H65" s="1">
        <v>4</v>
      </c>
      <c r="I65" s="1">
        <v>3</v>
      </c>
      <c r="J65" s="1">
        <v>4</v>
      </c>
      <c r="K65" s="1">
        <v>3</v>
      </c>
      <c r="L65" s="1">
        <v>2</v>
      </c>
      <c r="M65" s="1">
        <v>3</v>
      </c>
      <c r="N65" s="1">
        <v>3</v>
      </c>
      <c r="O65" s="1">
        <v>3</v>
      </c>
      <c r="P65" s="1">
        <v>3</v>
      </c>
      <c r="Q65" s="1">
        <v>3</v>
      </c>
      <c r="R65" s="1">
        <v>3</v>
      </c>
      <c r="S65" s="1">
        <v>3</v>
      </c>
      <c r="T65" s="1">
        <v>3</v>
      </c>
      <c r="U65" s="1">
        <v>3</v>
      </c>
      <c r="V65" s="1">
        <v>4</v>
      </c>
      <c r="W65" s="1">
        <v>3</v>
      </c>
      <c r="X65" s="1">
        <v>4</v>
      </c>
      <c r="Y65" s="1">
        <v>3</v>
      </c>
      <c r="Z65" s="1">
        <v>3</v>
      </c>
      <c r="AA65" s="1">
        <v>3</v>
      </c>
      <c r="AB65" s="1">
        <v>2</v>
      </c>
      <c r="AC65" s="1">
        <v>3</v>
      </c>
      <c r="AD65" s="1">
        <v>5</v>
      </c>
      <c r="AE65" s="1">
        <v>4</v>
      </c>
      <c r="AF65" s="1">
        <v>1</v>
      </c>
      <c r="AG65" s="1">
        <v>3</v>
      </c>
      <c r="AH65" s="1">
        <v>4</v>
      </c>
      <c r="AI65" s="1">
        <v>4</v>
      </c>
      <c r="AJ65" s="1">
        <v>3</v>
      </c>
      <c r="AK65" s="1">
        <v>3</v>
      </c>
      <c r="AL65" s="1">
        <v>3</v>
      </c>
      <c r="AM65" s="1">
        <v>3</v>
      </c>
      <c r="AN65" s="1">
        <v>4</v>
      </c>
      <c r="AO65" s="1">
        <v>3</v>
      </c>
      <c r="AP65" s="1">
        <v>3</v>
      </c>
      <c r="AQ65" s="1">
        <v>3</v>
      </c>
      <c r="AR65" s="1">
        <v>4</v>
      </c>
      <c r="AS65" s="1">
        <v>4</v>
      </c>
      <c r="AT65" s="1">
        <v>3</v>
      </c>
      <c r="AU65" s="1">
        <v>3</v>
      </c>
      <c r="AV65" s="1">
        <v>4</v>
      </c>
      <c r="AW65" s="1">
        <v>5</v>
      </c>
      <c r="AX65" s="1">
        <v>4</v>
      </c>
      <c r="AY65" s="1">
        <v>5</v>
      </c>
      <c r="AZ65" s="1">
        <v>3</v>
      </c>
      <c r="BA65" s="1">
        <v>3</v>
      </c>
      <c r="BB65" s="1">
        <v>3</v>
      </c>
      <c r="BC65" s="1">
        <v>3</v>
      </c>
    </row>
    <row r="66" spans="1:55">
      <c r="A66" s="1" t="s">
        <v>162</v>
      </c>
      <c r="B66" s="1" t="s">
        <v>66</v>
      </c>
      <c r="C66" s="1" t="s">
        <v>163</v>
      </c>
      <c r="D66" s="1">
        <v>3</v>
      </c>
      <c r="E66" s="1">
        <v>4</v>
      </c>
      <c r="F66" s="1">
        <v>1</v>
      </c>
      <c r="G66" s="1">
        <v>1</v>
      </c>
      <c r="H66" s="1">
        <v>2</v>
      </c>
      <c r="I66" s="1">
        <v>3</v>
      </c>
      <c r="J66" s="1">
        <v>3</v>
      </c>
      <c r="K66" s="1">
        <v>4</v>
      </c>
      <c r="L66" s="1">
        <v>3</v>
      </c>
      <c r="M66" s="1">
        <v>5</v>
      </c>
      <c r="N66" s="1">
        <v>2</v>
      </c>
      <c r="O66" s="1">
        <v>4</v>
      </c>
      <c r="P66" s="1">
        <v>3</v>
      </c>
      <c r="Q66" s="1">
        <v>3</v>
      </c>
      <c r="R66" s="1">
        <v>4</v>
      </c>
      <c r="S66" s="1">
        <v>4</v>
      </c>
      <c r="T66" s="1">
        <v>4</v>
      </c>
      <c r="U66" s="1">
        <v>4</v>
      </c>
      <c r="V66" s="1">
        <v>1</v>
      </c>
      <c r="W66" s="1">
        <v>3</v>
      </c>
      <c r="X66" s="1">
        <v>3</v>
      </c>
      <c r="Y66" s="1">
        <v>4</v>
      </c>
      <c r="Z66" s="1">
        <v>4</v>
      </c>
      <c r="AA66" s="1">
        <v>3</v>
      </c>
      <c r="AB66" s="1">
        <v>3</v>
      </c>
      <c r="AC66" s="1">
        <v>4</v>
      </c>
      <c r="AD66" s="1">
        <v>4</v>
      </c>
      <c r="AE66" s="1">
        <v>5</v>
      </c>
      <c r="AF66" s="1">
        <v>2</v>
      </c>
      <c r="AG66" s="1">
        <v>1</v>
      </c>
      <c r="AH66" s="1">
        <v>4</v>
      </c>
      <c r="AI66" s="1">
        <v>3</v>
      </c>
      <c r="AJ66" s="1">
        <v>2</v>
      </c>
      <c r="AK66" s="1">
        <v>4</v>
      </c>
      <c r="AL66" s="1">
        <v>3</v>
      </c>
      <c r="AM66" s="1">
        <v>5</v>
      </c>
      <c r="AN66" s="1">
        <v>3</v>
      </c>
      <c r="AO66" s="1">
        <v>3</v>
      </c>
      <c r="AP66" s="1">
        <v>3</v>
      </c>
      <c r="AQ66" s="1">
        <v>3</v>
      </c>
      <c r="AR66" s="1">
        <v>3</v>
      </c>
      <c r="AS66" s="1">
        <v>5</v>
      </c>
      <c r="AT66" s="1">
        <v>4</v>
      </c>
      <c r="AU66" s="1">
        <v>5</v>
      </c>
      <c r="AV66" s="1">
        <v>3</v>
      </c>
      <c r="AW66" s="1">
        <v>5</v>
      </c>
      <c r="AX66" s="1">
        <v>5</v>
      </c>
      <c r="AY66" s="1">
        <v>5</v>
      </c>
      <c r="AZ66" s="1">
        <v>4</v>
      </c>
      <c r="BA66" s="1">
        <v>4</v>
      </c>
      <c r="BB66" s="1">
        <v>3</v>
      </c>
      <c r="BC66" s="1">
        <v>4</v>
      </c>
    </row>
    <row r="67" spans="1:55">
      <c r="A67" s="1" t="s">
        <v>164</v>
      </c>
      <c r="B67" s="1" t="s">
        <v>66</v>
      </c>
      <c r="C67" s="1" t="s">
        <v>163</v>
      </c>
      <c r="D67" s="1">
        <v>2</v>
      </c>
      <c r="E67" s="1">
        <v>4</v>
      </c>
      <c r="F67" s="1">
        <v>3</v>
      </c>
      <c r="G67" s="1">
        <v>2</v>
      </c>
      <c r="H67" s="1">
        <v>4</v>
      </c>
      <c r="I67" s="1">
        <v>3</v>
      </c>
      <c r="J67" s="1">
        <v>3</v>
      </c>
      <c r="K67" s="1">
        <v>4</v>
      </c>
      <c r="L67" s="1">
        <v>3</v>
      </c>
      <c r="M67" s="1">
        <v>3</v>
      </c>
      <c r="N67" s="1">
        <v>2</v>
      </c>
      <c r="O67" s="1">
        <v>3</v>
      </c>
      <c r="P67" s="1">
        <v>3</v>
      </c>
      <c r="Q67" s="1">
        <v>3</v>
      </c>
      <c r="R67" s="1">
        <v>2</v>
      </c>
      <c r="S67" s="1">
        <v>4</v>
      </c>
      <c r="T67" s="1">
        <v>4</v>
      </c>
      <c r="U67" s="1">
        <v>3</v>
      </c>
      <c r="V67" s="1">
        <v>3</v>
      </c>
      <c r="W67" s="1">
        <v>3</v>
      </c>
      <c r="X67" s="1">
        <v>3</v>
      </c>
      <c r="Y67" s="1">
        <v>2</v>
      </c>
      <c r="Z67" s="1">
        <v>4</v>
      </c>
      <c r="AA67" s="1">
        <v>3</v>
      </c>
      <c r="AB67" s="1">
        <v>2</v>
      </c>
      <c r="AC67" s="1">
        <v>4</v>
      </c>
      <c r="AD67" s="1">
        <v>4</v>
      </c>
      <c r="AE67" s="1">
        <v>4</v>
      </c>
      <c r="AF67" s="1">
        <v>4</v>
      </c>
      <c r="AG67" s="1">
        <v>2</v>
      </c>
      <c r="AH67" s="1">
        <v>3</v>
      </c>
      <c r="AI67" s="1">
        <v>3</v>
      </c>
      <c r="AJ67" s="1">
        <v>3</v>
      </c>
      <c r="AK67" s="1">
        <v>4</v>
      </c>
      <c r="AL67" s="1">
        <v>3</v>
      </c>
      <c r="AM67" s="1">
        <v>3</v>
      </c>
      <c r="AN67" s="1">
        <v>4</v>
      </c>
      <c r="AO67" s="1">
        <v>4</v>
      </c>
      <c r="AP67" s="1">
        <v>4</v>
      </c>
      <c r="AQ67" s="1">
        <v>4</v>
      </c>
      <c r="AR67" s="1">
        <v>5</v>
      </c>
      <c r="AS67" s="1">
        <v>3</v>
      </c>
      <c r="AT67" s="1">
        <v>3</v>
      </c>
      <c r="AU67" s="1">
        <v>4</v>
      </c>
      <c r="AV67" s="1">
        <v>3</v>
      </c>
      <c r="AW67" s="1">
        <v>3</v>
      </c>
      <c r="AX67" s="1">
        <v>3</v>
      </c>
      <c r="AY67" s="1">
        <v>2</v>
      </c>
      <c r="AZ67" s="1">
        <v>3</v>
      </c>
      <c r="BA67" s="1">
        <v>3</v>
      </c>
      <c r="BB67" s="1">
        <v>4</v>
      </c>
      <c r="BC67" s="1">
        <v>4</v>
      </c>
    </row>
    <row r="68" spans="1:55">
      <c r="A68" s="1" t="s">
        <v>165</v>
      </c>
      <c r="B68" s="1" t="s">
        <v>66</v>
      </c>
      <c r="C68" s="1" t="s">
        <v>166</v>
      </c>
      <c r="D68" s="1">
        <v>4</v>
      </c>
      <c r="E68" s="1">
        <v>3</v>
      </c>
      <c r="F68" s="1">
        <v>3</v>
      </c>
      <c r="G68" s="1">
        <v>2</v>
      </c>
      <c r="H68" s="1">
        <v>3</v>
      </c>
      <c r="I68" s="1">
        <v>3</v>
      </c>
      <c r="J68" s="1">
        <v>3</v>
      </c>
      <c r="K68" s="1">
        <v>3</v>
      </c>
      <c r="L68" s="1">
        <v>3</v>
      </c>
      <c r="M68" s="1">
        <v>4</v>
      </c>
      <c r="N68" s="1">
        <v>4</v>
      </c>
      <c r="O68" s="1">
        <v>3</v>
      </c>
      <c r="P68" s="1">
        <v>3</v>
      </c>
      <c r="Q68" s="1">
        <v>3</v>
      </c>
      <c r="R68" s="1">
        <v>1</v>
      </c>
      <c r="S68" s="1">
        <v>3</v>
      </c>
      <c r="T68" s="1">
        <v>3</v>
      </c>
      <c r="U68" s="1">
        <v>4</v>
      </c>
      <c r="V68" s="1">
        <v>3</v>
      </c>
      <c r="W68" s="1">
        <v>2</v>
      </c>
      <c r="X68" s="1">
        <v>3</v>
      </c>
      <c r="Y68" s="1">
        <v>3</v>
      </c>
      <c r="Z68" s="1">
        <v>3</v>
      </c>
      <c r="AA68" s="1">
        <v>3</v>
      </c>
      <c r="AB68" s="1">
        <v>3</v>
      </c>
      <c r="AC68" s="1">
        <v>4</v>
      </c>
      <c r="AD68" s="1">
        <v>3</v>
      </c>
      <c r="AE68" s="1">
        <v>3</v>
      </c>
      <c r="AF68" s="1">
        <v>2</v>
      </c>
      <c r="AG68" s="1">
        <v>3</v>
      </c>
      <c r="AH68" s="1">
        <v>4</v>
      </c>
      <c r="AI68" s="1">
        <v>4</v>
      </c>
      <c r="AJ68" s="1">
        <v>4</v>
      </c>
      <c r="AK68" s="1">
        <v>2</v>
      </c>
      <c r="AL68" s="1">
        <v>4</v>
      </c>
      <c r="AM68" s="1">
        <v>4</v>
      </c>
      <c r="AN68" s="1">
        <v>3</v>
      </c>
      <c r="AO68" s="1">
        <v>4</v>
      </c>
      <c r="AP68" s="1">
        <v>4</v>
      </c>
      <c r="AQ68" s="1">
        <v>4</v>
      </c>
      <c r="AR68" s="1">
        <v>3</v>
      </c>
      <c r="AS68" s="1">
        <v>3</v>
      </c>
      <c r="AT68" s="1">
        <v>3</v>
      </c>
      <c r="AU68" s="1">
        <v>4</v>
      </c>
      <c r="AV68" s="1">
        <v>3</v>
      </c>
      <c r="AW68" s="1">
        <v>4</v>
      </c>
      <c r="AX68" s="1">
        <v>3</v>
      </c>
      <c r="AY68" s="1">
        <v>3</v>
      </c>
      <c r="AZ68" s="1">
        <v>4</v>
      </c>
      <c r="BA68" s="1">
        <v>4</v>
      </c>
      <c r="BB68" s="1">
        <v>4</v>
      </c>
      <c r="BC68" s="1">
        <v>2</v>
      </c>
    </row>
    <row r="69" spans="1:55">
      <c r="A69" s="1" t="s">
        <v>167</v>
      </c>
      <c r="B69" s="1" t="s">
        <v>66</v>
      </c>
      <c r="C69" s="1" t="s">
        <v>166</v>
      </c>
      <c r="D69" s="1">
        <v>3</v>
      </c>
      <c r="E69" s="1">
        <v>3</v>
      </c>
      <c r="F69" s="1">
        <v>3</v>
      </c>
      <c r="G69" s="1">
        <v>3</v>
      </c>
      <c r="H69" s="1">
        <v>4</v>
      </c>
      <c r="I69" s="1">
        <v>2</v>
      </c>
      <c r="J69" s="1">
        <v>4</v>
      </c>
      <c r="K69" s="1">
        <v>4</v>
      </c>
      <c r="L69" s="1">
        <v>3</v>
      </c>
      <c r="M69" s="1">
        <v>4</v>
      </c>
      <c r="N69" s="1">
        <v>3</v>
      </c>
      <c r="O69" s="1">
        <v>3</v>
      </c>
      <c r="P69" s="1">
        <v>4</v>
      </c>
      <c r="Q69" s="1">
        <v>3</v>
      </c>
      <c r="R69" s="1">
        <v>3</v>
      </c>
      <c r="S69" s="1">
        <v>3</v>
      </c>
      <c r="T69" s="1">
        <v>3</v>
      </c>
      <c r="U69" s="1">
        <v>3</v>
      </c>
      <c r="V69" s="1">
        <v>4</v>
      </c>
      <c r="W69" s="1">
        <v>2</v>
      </c>
      <c r="X69" s="1">
        <v>2</v>
      </c>
      <c r="Y69" s="1">
        <v>2</v>
      </c>
      <c r="Z69" s="1">
        <v>4</v>
      </c>
      <c r="AA69" s="1">
        <v>4</v>
      </c>
      <c r="AB69" s="1">
        <v>3</v>
      </c>
      <c r="AC69" s="1">
        <v>2</v>
      </c>
      <c r="AD69" s="1">
        <v>4</v>
      </c>
      <c r="AE69" s="1">
        <v>3</v>
      </c>
      <c r="AF69" s="1">
        <v>3</v>
      </c>
      <c r="AG69" s="1">
        <v>3</v>
      </c>
      <c r="AH69" s="1">
        <v>4</v>
      </c>
      <c r="AI69" s="1">
        <v>3</v>
      </c>
      <c r="AJ69" s="1">
        <v>5</v>
      </c>
      <c r="AK69" s="1">
        <v>4</v>
      </c>
      <c r="AL69" s="1">
        <v>5</v>
      </c>
      <c r="AM69" s="1">
        <v>3</v>
      </c>
      <c r="AN69" s="1">
        <v>4</v>
      </c>
      <c r="AO69" s="1">
        <v>3</v>
      </c>
      <c r="AP69" s="1">
        <v>4</v>
      </c>
      <c r="AQ69" s="1">
        <v>3</v>
      </c>
      <c r="AR69" s="1">
        <v>3</v>
      </c>
      <c r="AS69" s="1">
        <v>3</v>
      </c>
      <c r="AT69" s="1">
        <v>2</v>
      </c>
      <c r="AU69" s="1">
        <v>4</v>
      </c>
      <c r="AV69" s="1">
        <v>3</v>
      </c>
      <c r="AW69" s="1">
        <v>3</v>
      </c>
      <c r="AX69" s="1">
        <v>3</v>
      </c>
      <c r="AY69" s="1">
        <v>3</v>
      </c>
      <c r="AZ69" s="1">
        <v>4</v>
      </c>
      <c r="BA69" s="1">
        <v>4</v>
      </c>
      <c r="BB69" s="1">
        <v>3</v>
      </c>
      <c r="BC69" s="1">
        <v>3</v>
      </c>
    </row>
    <row r="70" spans="1:55">
      <c r="A70" s="1" t="s">
        <v>168</v>
      </c>
      <c r="B70" s="1" t="s">
        <v>66</v>
      </c>
      <c r="C70" s="1" t="s">
        <v>169</v>
      </c>
      <c r="D70" s="1">
        <v>3</v>
      </c>
      <c r="E70" s="1">
        <v>2</v>
      </c>
      <c r="F70" s="1">
        <v>3</v>
      </c>
      <c r="G70" s="1">
        <v>4</v>
      </c>
      <c r="H70" s="1">
        <v>2</v>
      </c>
      <c r="I70" s="1">
        <v>3</v>
      </c>
      <c r="J70" s="1">
        <v>2</v>
      </c>
      <c r="K70" s="1">
        <v>4</v>
      </c>
      <c r="L70" s="1">
        <v>4</v>
      </c>
      <c r="M70" s="1">
        <v>3</v>
      </c>
      <c r="N70" s="1">
        <v>3</v>
      </c>
      <c r="O70" s="1">
        <v>4</v>
      </c>
      <c r="P70" s="1">
        <v>4</v>
      </c>
      <c r="Q70" s="1">
        <v>4</v>
      </c>
      <c r="R70" s="1">
        <v>3</v>
      </c>
      <c r="S70" s="1">
        <v>2</v>
      </c>
      <c r="T70" s="1">
        <v>2</v>
      </c>
      <c r="U70" s="1">
        <v>2</v>
      </c>
      <c r="V70" s="1">
        <v>3</v>
      </c>
      <c r="W70" s="1">
        <v>4</v>
      </c>
      <c r="X70" s="1">
        <v>4</v>
      </c>
      <c r="Y70" s="1">
        <v>3</v>
      </c>
      <c r="Z70" s="1">
        <v>3</v>
      </c>
      <c r="AA70" s="1">
        <v>3</v>
      </c>
      <c r="AB70" s="1">
        <v>3</v>
      </c>
      <c r="AC70" s="1">
        <v>4</v>
      </c>
      <c r="AD70" s="1">
        <v>4</v>
      </c>
      <c r="AE70" s="1">
        <v>4</v>
      </c>
      <c r="AF70" s="1">
        <v>3</v>
      </c>
      <c r="AG70" s="1">
        <v>3</v>
      </c>
      <c r="AH70" s="1">
        <v>2</v>
      </c>
      <c r="AI70" s="1">
        <v>4</v>
      </c>
      <c r="AJ70" s="1">
        <v>4</v>
      </c>
      <c r="AK70" s="1">
        <v>3</v>
      </c>
      <c r="AL70" s="1">
        <v>4</v>
      </c>
      <c r="AM70" s="1">
        <v>3</v>
      </c>
      <c r="AN70" s="1">
        <v>4</v>
      </c>
      <c r="AO70" s="1">
        <v>3</v>
      </c>
      <c r="AP70" s="1">
        <v>3</v>
      </c>
      <c r="AQ70" s="1">
        <v>3</v>
      </c>
      <c r="AR70" s="1">
        <v>2</v>
      </c>
      <c r="AS70" s="1">
        <v>3</v>
      </c>
      <c r="AT70" s="1">
        <v>3</v>
      </c>
      <c r="AU70" s="1">
        <v>3</v>
      </c>
      <c r="AV70" s="1">
        <v>2</v>
      </c>
      <c r="AW70" s="1">
        <v>5</v>
      </c>
      <c r="AX70" s="1">
        <v>5</v>
      </c>
      <c r="AY70" s="1">
        <v>5</v>
      </c>
      <c r="AZ70" s="1">
        <v>3</v>
      </c>
      <c r="BA70" s="1">
        <v>3</v>
      </c>
      <c r="BB70" s="1">
        <v>4</v>
      </c>
      <c r="BC70" s="1">
        <v>3</v>
      </c>
    </row>
    <row r="71" spans="1:55">
      <c r="A71" s="1" t="s">
        <v>170</v>
      </c>
      <c r="B71" s="1" t="s">
        <v>66</v>
      </c>
      <c r="C71" s="1" t="s">
        <v>169</v>
      </c>
      <c r="D71" s="1">
        <v>4</v>
      </c>
      <c r="E71" s="1">
        <v>3</v>
      </c>
      <c r="F71" s="1">
        <v>2</v>
      </c>
      <c r="G71" s="1">
        <v>3</v>
      </c>
      <c r="H71" s="1">
        <v>4</v>
      </c>
      <c r="I71" s="1">
        <v>3</v>
      </c>
      <c r="J71" s="1">
        <v>3</v>
      </c>
      <c r="K71" s="1">
        <v>2</v>
      </c>
      <c r="L71" s="1">
        <v>4</v>
      </c>
      <c r="M71" s="1">
        <v>3</v>
      </c>
      <c r="N71" s="1">
        <v>3</v>
      </c>
      <c r="O71" s="1">
        <v>3</v>
      </c>
      <c r="P71" s="1">
        <v>4</v>
      </c>
      <c r="Q71" s="1">
        <v>3</v>
      </c>
      <c r="R71" s="1">
        <v>3</v>
      </c>
      <c r="S71" s="1">
        <v>3</v>
      </c>
      <c r="T71" s="1">
        <v>2</v>
      </c>
      <c r="U71" s="1">
        <v>3</v>
      </c>
      <c r="V71" s="1">
        <v>3</v>
      </c>
      <c r="W71" s="1">
        <v>4</v>
      </c>
      <c r="X71" s="1">
        <v>4</v>
      </c>
      <c r="Y71" s="1">
        <v>5</v>
      </c>
      <c r="Z71" s="1">
        <v>3</v>
      </c>
      <c r="AA71" s="1">
        <v>2</v>
      </c>
      <c r="AB71" s="1">
        <v>3</v>
      </c>
      <c r="AC71" s="1">
        <v>2</v>
      </c>
      <c r="AD71" s="1">
        <v>4</v>
      </c>
      <c r="AE71" s="1">
        <v>4</v>
      </c>
      <c r="AF71" s="1">
        <v>2</v>
      </c>
      <c r="AG71" s="1">
        <v>3</v>
      </c>
      <c r="AH71" s="1">
        <v>4</v>
      </c>
      <c r="AI71" s="1">
        <v>4</v>
      </c>
      <c r="AJ71" s="1">
        <v>4</v>
      </c>
      <c r="AK71" s="1">
        <v>4</v>
      </c>
      <c r="AL71" s="1">
        <v>3</v>
      </c>
      <c r="AM71" s="1">
        <v>2</v>
      </c>
      <c r="AN71" s="1">
        <v>4</v>
      </c>
      <c r="AO71" s="1">
        <v>4</v>
      </c>
      <c r="AP71" s="1">
        <v>4</v>
      </c>
      <c r="AQ71" s="1">
        <v>3</v>
      </c>
      <c r="AR71" s="1">
        <v>4</v>
      </c>
      <c r="AS71" s="1">
        <v>3</v>
      </c>
      <c r="AT71" s="1">
        <v>4</v>
      </c>
      <c r="AU71" s="1">
        <v>2</v>
      </c>
      <c r="AV71" s="1">
        <v>4</v>
      </c>
      <c r="AW71" s="1">
        <v>4</v>
      </c>
      <c r="AX71" s="1">
        <v>4</v>
      </c>
      <c r="AY71" s="1">
        <v>5</v>
      </c>
      <c r="AZ71" s="1">
        <v>3</v>
      </c>
      <c r="BA71" s="1">
        <v>3</v>
      </c>
      <c r="BB71" s="1">
        <v>4</v>
      </c>
      <c r="BC71" s="1">
        <v>2</v>
      </c>
    </row>
    <row r="72" spans="1:55">
      <c r="A72" s="1" t="s">
        <v>171</v>
      </c>
      <c r="B72" s="1" t="s">
        <v>66</v>
      </c>
      <c r="C72" s="1" t="s">
        <v>172</v>
      </c>
      <c r="D72" s="1">
        <v>3</v>
      </c>
      <c r="E72" s="1">
        <v>4</v>
      </c>
      <c r="F72" s="1">
        <v>3</v>
      </c>
      <c r="G72" s="1">
        <v>1</v>
      </c>
      <c r="H72" s="1">
        <v>3</v>
      </c>
      <c r="I72" s="1">
        <v>3</v>
      </c>
      <c r="J72" s="1">
        <v>3</v>
      </c>
      <c r="K72" s="1">
        <v>3</v>
      </c>
      <c r="L72" s="1">
        <v>2</v>
      </c>
      <c r="M72" s="1">
        <v>4</v>
      </c>
      <c r="N72" s="1">
        <v>3</v>
      </c>
      <c r="O72" s="1">
        <v>3</v>
      </c>
      <c r="P72" s="1">
        <v>3</v>
      </c>
      <c r="Q72" s="1">
        <v>2</v>
      </c>
      <c r="R72" s="1">
        <v>3</v>
      </c>
      <c r="S72" s="1">
        <v>4</v>
      </c>
      <c r="T72" s="1">
        <v>3</v>
      </c>
      <c r="U72" s="1">
        <v>4</v>
      </c>
      <c r="V72" s="1">
        <v>4</v>
      </c>
      <c r="W72" s="1">
        <v>3</v>
      </c>
      <c r="X72" s="1">
        <v>5</v>
      </c>
      <c r="Y72" s="1">
        <v>4</v>
      </c>
      <c r="Z72" s="1">
        <v>3</v>
      </c>
      <c r="AA72" s="1">
        <v>3</v>
      </c>
      <c r="AB72" s="1">
        <v>3</v>
      </c>
      <c r="AC72" s="1">
        <v>3</v>
      </c>
      <c r="AD72" s="1">
        <v>3</v>
      </c>
      <c r="AE72" s="1">
        <v>3</v>
      </c>
      <c r="AF72" s="1">
        <v>2</v>
      </c>
      <c r="AG72" s="1">
        <v>2</v>
      </c>
      <c r="AH72" s="1">
        <v>3</v>
      </c>
      <c r="AI72" s="1">
        <v>3</v>
      </c>
      <c r="AJ72" s="1">
        <v>5</v>
      </c>
      <c r="AK72" s="1">
        <v>3</v>
      </c>
      <c r="AL72" s="1">
        <v>3</v>
      </c>
      <c r="AM72" s="1">
        <v>4</v>
      </c>
      <c r="AN72" s="1">
        <v>4</v>
      </c>
      <c r="AO72" s="1">
        <v>3</v>
      </c>
      <c r="AP72" s="1">
        <v>2</v>
      </c>
      <c r="AQ72" s="1">
        <v>3</v>
      </c>
      <c r="AR72" s="1">
        <v>3</v>
      </c>
      <c r="AS72" s="1">
        <v>4</v>
      </c>
      <c r="AT72" s="1">
        <v>4</v>
      </c>
      <c r="AU72" s="1">
        <v>5</v>
      </c>
      <c r="AV72" s="1">
        <v>3</v>
      </c>
      <c r="AW72" s="1">
        <v>4</v>
      </c>
      <c r="AX72" s="1">
        <v>4</v>
      </c>
      <c r="AY72" s="1">
        <v>4</v>
      </c>
      <c r="AZ72" s="1">
        <v>3</v>
      </c>
      <c r="BA72" s="1">
        <v>3</v>
      </c>
      <c r="BB72" s="1">
        <v>3</v>
      </c>
      <c r="BC72" s="1">
        <v>2</v>
      </c>
    </row>
    <row r="73" spans="1:55">
      <c r="A73" s="1" t="s">
        <v>173</v>
      </c>
      <c r="B73" s="1" t="s">
        <v>66</v>
      </c>
      <c r="C73" s="1" t="s">
        <v>172</v>
      </c>
      <c r="D73" s="1">
        <v>3</v>
      </c>
      <c r="E73" s="1">
        <v>2</v>
      </c>
      <c r="F73" s="1">
        <v>3</v>
      </c>
      <c r="G73" s="1">
        <v>3</v>
      </c>
      <c r="H73" s="1">
        <v>3</v>
      </c>
      <c r="I73" s="1">
        <v>3</v>
      </c>
      <c r="J73" s="1">
        <v>3</v>
      </c>
      <c r="K73" s="1">
        <v>3</v>
      </c>
      <c r="L73" s="1">
        <v>3</v>
      </c>
      <c r="M73" s="1">
        <v>3</v>
      </c>
      <c r="N73" s="1">
        <v>3</v>
      </c>
      <c r="O73" s="1">
        <v>4</v>
      </c>
      <c r="P73" s="1">
        <v>3</v>
      </c>
      <c r="Q73" s="1">
        <v>3</v>
      </c>
      <c r="R73" s="1">
        <v>2</v>
      </c>
      <c r="S73" s="1">
        <v>3</v>
      </c>
      <c r="T73" s="1">
        <v>3</v>
      </c>
      <c r="U73" s="1">
        <v>3</v>
      </c>
      <c r="V73" s="1">
        <v>3</v>
      </c>
      <c r="W73" s="1">
        <v>3</v>
      </c>
      <c r="X73" s="1">
        <v>4</v>
      </c>
      <c r="Y73" s="1">
        <v>3</v>
      </c>
      <c r="Z73" s="1">
        <v>3</v>
      </c>
      <c r="AA73" s="1">
        <v>4</v>
      </c>
      <c r="AB73" s="1">
        <v>3</v>
      </c>
      <c r="AC73" s="1">
        <v>3</v>
      </c>
      <c r="AD73" s="1">
        <v>3</v>
      </c>
      <c r="AE73" s="1">
        <v>2</v>
      </c>
      <c r="AF73" s="1">
        <v>4</v>
      </c>
      <c r="AG73" s="1">
        <v>4</v>
      </c>
      <c r="AH73" s="1">
        <v>3</v>
      </c>
      <c r="AI73" s="1">
        <v>3</v>
      </c>
      <c r="AJ73" s="1">
        <v>2</v>
      </c>
      <c r="AK73" s="1">
        <v>4</v>
      </c>
      <c r="AL73" s="1">
        <v>3</v>
      </c>
      <c r="AM73" s="1">
        <v>2</v>
      </c>
      <c r="AN73" s="1">
        <v>3</v>
      </c>
      <c r="AO73" s="1">
        <v>4</v>
      </c>
      <c r="AP73" s="1">
        <v>3</v>
      </c>
      <c r="AQ73" s="1">
        <v>4</v>
      </c>
      <c r="AR73" s="1">
        <v>4</v>
      </c>
      <c r="AS73" s="1">
        <v>3</v>
      </c>
      <c r="AT73" s="1">
        <v>3</v>
      </c>
      <c r="AU73" s="1">
        <v>3</v>
      </c>
      <c r="AV73" s="1">
        <v>3</v>
      </c>
      <c r="AW73" s="1">
        <v>4</v>
      </c>
      <c r="AX73" s="1">
        <v>3</v>
      </c>
      <c r="AY73" s="1">
        <v>4</v>
      </c>
      <c r="AZ73" s="1">
        <v>4</v>
      </c>
      <c r="BA73" s="1">
        <v>4</v>
      </c>
      <c r="BB73" s="1">
        <v>3</v>
      </c>
      <c r="BC73" s="1">
        <v>3</v>
      </c>
    </row>
    <row r="74" spans="1:55">
      <c r="A74" s="1" t="s">
        <v>174</v>
      </c>
      <c r="B74" s="1" t="s">
        <v>66</v>
      </c>
      <c r="C74" s="1" t="s">
        <v>175</v>
      </c>
      <c r="D74" s="1">
        <v>4</v>
      </c>
      <c r="E74" s="1">
        <v>3</v>
      </c>
      <c r="F74" s="1">
        <v>2</v>
      </c>
      <c r="G74" s="1">
        <v>2</v>
      </c>
      <c r="H74" s="1">
        <v>3</v>
      </c>
      <c r="I74" s="1">
        <v>4</v>
      </c>
      <c r="J74" s="1">
        <v>5</v>
      </c>
      <c r="K74" s="1">
        <v>3</v>
      </c>
      <c r="L74" s="1">
        <v>4</v>
      </c>
      <c r="M74" s="1">
        <v>4</v>
      </c>
      <c r="N74" s="1">
        <v>5</v>
      </c>
      <c r="O74" s="1">
        <v>3</v>
      </c>
      <c r="P74" s="1">
        <v>3</v>
      </c>
      <c r="Q74" s="1">
        <v>3</v>
      </c>
      <c r="R74" s="1">
        <v>4</v>
      </c>
      <c r="S74" s="1">
        <v>3</v>
      </c>
      <c r="T74" s="1">
        <v>3</v>
      </c>
      <c r="U74" s="1">
        <v>3</v>
      </c>
      <c r="V74" s="1">
        <v>4</v>
      </c>
      <c r="W74" s="1">
        <v>3</v>
      </c>
      <c r="X74" s="1">
        <v>3</v>
      </c>
      <c r="Y74" s="1">
        <v>2</v>
      </c>
      <c r="Z74" s="1">
        <v>4</v>
      </c>
      <c r="AA74" s="1">
        <v>4</v>
      </c>
      <c r="AB74" s="1">
        <v>3</v>
      </c>
      <c r="AC74" s="1">
        <v>3</v>
      </c>
      <c r="AD74" s="1">
        <v>4</v>
      </c>
      <c r="AE74" s="1">
        <v>4</v>
      </c>
      <c r="AF74" s="1">
        <v>3</v>
      </c>
      <c r="AG74" s="1">
        <v>3</v>
      </c>
      <c r="AH74" s="1">
        <v>5</v>
      </c>
      <c r="AI74" s="1">
        <v>3</v>
      </c>
      <c r="AJ74" s="1">
        <v>5</v>
      </c>
      <c r="AK74" s="1">
        <v>4</v>
      </c>
      <c r="AL74" s="1">
        <v>3</v>
      </c>
      <c r="AM74" s="1">
        <v>3</v>
      </c>
      <c r="AN74" s="1">
        <v>5</v>
      </c>
      <c r="AO74" s="1">
        <v>3</v>
      </c>
      <c r="AP74" s="1">
        <v>3</v>
      </c>
      <c r="AQ74" s="1">
        <v>3</v>
      </c>
      <c r="AR74" s="1">
        <v>5</v>
      </c>
      <c r="AS74" s="1">
        <v>4</v>
      </c>
      <c r="AT74" s="1">
        <v>4</v>
      </c>
      <c r="AU74" s="1">
        <v>3</v>
      </c>
      <c r="AV74" s="1">
        <v>5</v>
      </c>
      <c r="AW74" s="1">
        <v>2</v>
      </c>
      <c r="AX74" s="1">
        <v>3</v>
      </c>
      <c r="AY74" s="1">
        <v>3</v>
      </c>
      <c r="AZ74" s="1">
        <v>3</v>
      </c>
      <c r="BA74" s="1">
        <v>2</v>
      </c>
      <c r="BB74" s="1">
        <v>4</v>
      </c>
      <c r="BC74" s="1">
        <v>2</v>
      </c>
    </row>
    <row r="75" spans="1:55">
      <c r="A75" s="1" t="s">
        <v>176</v>
      </c>
      <c r="B75" s="1" t="s">
        <v>66</v>
      </c>
      <c r="C75" s="1" t="s">
        <v>175</v>
      </c>
      <c r="D75" s="1">
        <v>3</v>
      </c>
      <c r="E75" s="1">
        <v>2</v>
      </c>
      <c r="F75" s="1">
        <v>4</v>
      </c>
      <c r="G75" s="1">
        <v>3</v>
      </c>
      <c r="H75" s="1">
        <v>2</v>
      </c>
      <c r="I75" s="1">
        <v>3</v>
      </c>
      <c r="J75" s="1">
        <v>2</v>
      </c>
      <c r="K75" s="1">
        <v>4</v>
      </c>
      <c r="L75" s="1">
        <v>4</v>
      </c>
      <c r="M75" s="1">
        <v>2</v>
      </c>
      <c r="N75" s="1">
        <v>3</v>
      </c>
      <c r="O75" s="1">
        <v>3</v>
      </c>
      <c r="P75" s="1">
        <v>4</v>
      </c>
      <c r="Q75" s="1">
        <v>4</v>
      </c>
      <c r="R75" s="1">
        <v>3</v>
      </c>
      <c r="S75" s="1">
        <v>3</v>
      </c>
      <c r="T75" s="1">
        <v>3</v>
      </c>
      <c r="U75" s="1">
        <v>2</v>
      </c>
      <c r="V75" s="1">
        <v>3</v>
      </c>
      <c r="W75" s="1">
        <v>4</v>
      </c>
      <c r="X75" s="1">
        <v>3</v>
      </c>
      <c r="Y75" s="1">
        <v>4</v>
      </c>
      <c r="Z75" s="1">
        <v>4</v>
      </c>
      <c r="AA75" s="1">
        <v>5</v>
      </c>
      <c r="AB75" s="1">
        <v>3</v>
      </c>
      <c r="AC75" s="1">
        <v>3</v>
      </c>
      <c r="AD75" s="1">
        <v>4</v>
      </c>
      <c r="AE75" s="1">
        <v>3</v>
      </c>
      <c r="AF75" s="1">
        <v>3</v>
      </c>
      <c r="AG75" s="1">
        <v>3</v>
      </c>
      <c r="AH75" s="1">
        <v>4</v>
      </c>
      <c r="AI75" s="1">
        <v>4</v>
      </c>
      <c r="AJ75" s="1">
        <v>4</v>
      </c>
      <c r="AK75" s="1">
        <v>3</v>
      </c>
      <c r="AL75" s="1">
        <v>4</v>
      </c>
      <c r="AM75" s="1">
        <v>2</v>
      </c>
      <c r="AN75" s="1">
        <v>4</v>
      </c>
      <c r="AO75" s="1">
        <v>4</v>
      </c>
      <c r="AP75" s="1">
        <v>5</v>
      </c>
      <c r="AQ75" s="1">
        <v>3</v>
      </c>
      <c r="AR75" s="1">
        <v>3</v>
      </c>
      <c r="AS75" s="1">
        <v>4</v>
      </c>
      <c r="AT75" s="1">
        <v>3</v>
      </c>
      <c r="AU75" s="1">
        <v>3</v>
      </c>
      <c r="AV75" s="1">
        <v>4</v>
      </c>
      <c r="AW75" s="1">
        <v>3</v>
      </c>
      <c r="AX75" s="1">
        <v>4</v>
      </c>
      <c r="AY75" s="1">
        <v>4</v>
      </c>
      <c r="AZ75" s="1">
        <v>4</v>
      </c>
      <c r="BA75" s="1">
        <v>5</v>
      </c>
      <c r="BB75" s="1">
        <v>3</v>
      </c>
      <c r="BC75" s="1">
        <v>1</v>
      </c>
    </row>
    <row r="76" spans="1:55">
      <c r="A76" s="1" t="s">
        <v>177</v>
      </c>
      <c r="B76" s="1" t="s">
        <v>66</v>
      </c>
      <c r="C76" s="1" t="s">
        <v>178</v>
      </c>
      <c r="D76" s="1">
        <v>3</v>
      </c>
      <c r="E76" s="1">
        <v>4</v>
      </c>
      <c r="F76" s="1">
        <v>2</v>
      </c>
      <c r="G76" s="1">
        <v>1</v>
      </c>
      <c r="H76" s="1">
        <v>4</v>
      </c>
      <c r="I76" s="1">
        <v>3</v>
      </c>
      <c r="J76" s="1">
        <v>4</v>
      </c>
      <c r="K76" s="1">
        <v>3</v>
      </c>
      <c r="L76" s="1">
        <v>3</v>
      </c>
      <c r="M76" s="1">
        <v>4</v>
      </c>
      <c r="N76" s="1">
        <v>3</v>
      </c>
      <c r="O76" s="1">
        <v>3</v>
      </c>
      <c r="P76" s="1">
        <v>3</v>
      </c>
      <c r="Q76" s="1">
        <v>3</v>
      </c>
      <c r="R76" s="1">
        <v>4</v>
      </c>
      <c r="S76" s="1">
        <v>4</v>
      </c>
      <c r="T76" s="1">
        <v>3</v>
      </c>
      <c r="U76" s="1">
        <v>4</v>
      </c>
      <c r="V76" s="1">
        <v>4</v>
      </c>
      <c r="W76" s="1">
        <v>4</v>
      </c>
      <c r="X76" s="1">
        <v>3</v>
      </c>
      <c r="Y76" s="1">
        <v>3</v>
      </c>
      <c r="Z76" s="1">
        <v>3</v>
      </c>
      <c r="AA76" s="1">
        <v>3</v>
      </c>
      <c r="AB76" s="1">
        <v>2</v>
      </c>
      <c r="AC76" s="1">
        <v>3</v>
      </c>
      <c r="AD76" s="1">
        <v>3</v>
      </c>
      <c r="AE76" s="1">
        <v>5</v>
      </c>
      <c r="AF76" s="1">
        <v>1</v>
      </c>
      <c r="AG76" s="1">
        <v>2</v>
      </c>
      <c r="AH76" s="1">
        <v>4</v>
      </c>
      <c r="AI76" s="1">
        <v>4</v>
      </c>
      <c r="AJ76" s="1">
        <v>5</v>
      </c>
      <c r="AK76" s="1">
        <v>2</v>
      </c>
      <c r="AL76" s="1">
        <v>4</v>
      </c>
      <c r="AM76" s="1">
        <v>3</v>
      </c>
      <c r="AN76" s="1">
        <v>5</v>
      </c>
      <c r="AO76" s="1">
        <v>4</v>
      </c>
      <c r="AP76" s="1">
        <v>3</v>
      </c>
      <c r="AQ76" s="1">
        <v>3</v>
      </c>
      <c r="AR76" s="1">
        <v>4</v>
      </c>
      <c r="AS76" s="1">
        <v>5</v>
      </c>
      <c r="AT76" s="1">
        <v>4</v>
      </c>
      <c r="AU76" s="1">
        <v>4</v>
      </c>
      <c r="AV76" s="1">
        <v>4</v>
      </c>
      <c r="AW76" s="1">
        <v>4</v>
      </c>
      <c r="AX76" s="1">
        <v>3</v>
      </c>
      <c r="AY76" s="1">
        <v>5</v>
      </c>
      <c r="AZ76" s="1">
        <v>4</v>
      </c>
      <c r="BA76" s="1">
        <v>3</v>
      </c>
      <c r="BB76" s="1">
        <v>3</v>
      </c>
      <c r="BC76" s="1">
        <v>2</v>
      </c>
    </row>
    <row r="77" spans="1:55">
      <c r="A77" s="1" t="s">
        <v>179</v>
      </c>
      <c r="B77" s="1" t="s">
        <v>66</v>
      </c>
      <c r="C77" s="1" t="s">
        <v>178</v>
      </c>
      <c r="D77" s="1">
        <v>3</v>
      </c>
      <c r="E77" s="1">
        <v>2</v>
      </c>
      <c r="F77" s="1">
        <v>4</v>
      </c>
      <c r="G77" s="1">
        <v>4</v>
      </c>
      <c r="H77" s="1">
        <v>3</v>
      </c>
      <c r="I77" s="1">
        <v>3</v>
      </c>
      <c r="J77" s="1">
        <v>1</v>
      </c>
      <c r="K77" s="1">
        <v>4</v>
      </c>
      <c r="L77" s="1">
        <v>3</v>
      </c>
      <c r="M77" s="1">
        <v>2</v>
      </c>
      <c r="N77" s="1">
        <v>1</v>
      </c>
      <c r="O77" s="1">
        <v>5</v>
      </c>
      <c r="P77" s="1">
        <v>5</v>
      </c>
      <c r="Q77" s="1">
        <v>4</v>
      </c>
      <c r="R77" s="1">
        <v>1</v>
      </c>
      <c r="S77" s="1">
        <v>4</v>
      </c>
      <c r="T77" s="1">
        <v>3</v>
      </c>
      <c r="U77" s="1">
        <v>3</v>
      </c>
      <c r="V77" s="1">
        <v>2</v>
      </c>
      <c r="W77" s="1">
        <v>3</v>
      </c>
      <c r="X77" s="1">
        <v>2</v>
      </c>
      <c r="Y77" s="1">
        <v>3</v>
      </c>
      <c r="Z77" s="1">
        <v>4</v>
      </c>
      <c r="AA77" s="1">
        <v>4</v>
      </c>
      <c r="AB77" s="1">
        <v>4</v>
      </c>
      <c r="AC77" s="1">
        <v>4</v>
      </c>
      <c r="AD77" s="1">
        <v>3</v>
      </c>
      <c r="AE77" s="1">
        <v>4</v>
      </c>
      <c r="AF77" s="1">
        <v>3</v>
      </c>
      <c r="AG77" s="1">
        <v>3</v>
      </c>
      <c r="AH77" s="1">
        <v>3</v>
      </c>
      <c r="AI77" s="1">
        <v>3</v>
      </c>
      <c r="AJ77" s="1">
        <v>3</v>
      </c>
      <c r="AK77" s="1">
        <v>5</v>
      </c>
      <c r="AL77" s="1">
        <v>5</v>
      </c>
      <c r="AM77" s="1">
        <v>3</v>
      </c>
      <c r="AN77" s="1">
        <v>2</v>
      </c>
      <c r="AO77" s="1">
        <v>4</v>
      </c>
      <c r="AP77" s="1">
        <v>4</v>
      </c>
      <c r="AQ77" s="1">
        <v>4</v>
      </c>
      <c r="AR77" s="1">
        <v>3</v>
      </c>
      <c r="AS77" s="1">
        <v>3</v>
      </c>
      <c r="AT77" s="1">
        <v>3</v>
      </c>
      <c r="AU77" s="1">
        <v>3</v>
      </c>
      <c r="AV77" s="1">
        <v>2</v>
      </c>
      <c r="AW77" s="1">
        <v>3</v>
      </c>
      <c r="AX77" s="1">
        <v>3</v>
      </c>
      <c r="AY77" s="1">
        <v>3</v>
      </c>
      <c r="AZ77" s="1">
        <v>5</v>
      </c>
      <c r="BA77" s="1">
        <v>5</v>
      </c>
      <c r="BB77" s="1">
        <v>4</v>
      </c>
      <c r="BC77" s="1">
        <v>3</v>
      </c>
    </row>
    <row r="78" spans="1:55">
      <c r="A78" s="1" t="s">
        <v>180</v>
      </c>
      <c r="B78" s="1" t="s">
        <v>66</v>
      </c>
      <c r="C78" s="1" t="s">
        <v>181</v>
      </c>
      <c r="D78" s="1">
        <v>3</v>
      </c>
      <c r="E78" s="1">
        <v>2</v>
      </c>
      <c r="F78" s="1">
        <v>3</v>
      </c>
      <c r="G78" s="1">
        <v>3</v>
      </c>
      <c r="H78" s="1">
        <v>3</v>
      </c>
      <c r="I78" s="1">
        <v>4</v>
      </c>
      <c r="J78" s="1">
        <v>4</v>
      </c>
      <c r="K78" s="1">
        <v>3</v>
      </c>
      <c r="L78" s="1">
        <v>5</v>
      </c>
      <c r="M78" s="1">
        <v>4</v>
      </c>
      <c r="N78" s="1">
        <v>4</v>
      </c>
      <c r="O78" s="1">
        <v>3</v>
      </c>
      <c r="P78" s="1">
        <v>4</v>
      </c>
      <c r="Q78" s="1">
        <v>3</v>
      </c>
      <c r="R78" s="1">
        <v>4</v>
      </c>
      <c r="S78" s="1">
        <v>3</v>
      </c>
      <c r="T78" s="1">
        <v>4</v>
      </c>
      <c r="U78" s="1">
        <v>3</v>
      </c>
      <c r="V78" s="1">
        <v>3</v>
      </c>
      <c r="W78" s="1">
        <v>3</v>
      </c>
      <c r="X78" s="1">
        <v>2</v>
      </c>
      <c r="Y78" s="1">
        <v>3</v>
      </c>
      <c r="Z78" s="1">
        <v>3</v>
      </c>
      <c r="AA78" s="1">
        <v>3</v>
      </c>
      <c r="AB78" s="1">
        <v>3</v>
      </c>
      <c r="AC78" s="1">
        <v>2</v>
      </c>
      <c r="AD78" s="1">
        <v>4</v>
      </c>
      <c r="AE78" s="1">
        <v>3</v>
      </c>
      <c r="AF78" s="1">
        <v>3</v>
      </c>
      <c r="AG78" s="1">
        <v>3</v>
      </c>
      <c r="AH78" s="1">
        <v>4</v>
      </c>
      <c r="AI78" s="1">
        <v>4</v>
      </c>
      <c r="AJ78" s="1">
        <v>4</v>
      </c>
      <c r="AK78" s="1">
        <v>3</v>
      </c>
      <c r="AL78" s="1">
        <v>4</v>
      </c>
      <c r="AM78" s="1">
        <v>3</v>
      </c>
      <c r="AN78" s="1">
        <v>5</v>
      </c>
      <c r="AO78" s="1">
        <v>4</v>
      </c>
      <c r="AP78" s="1">
        <v>4</v>
      </c>
      <c r="AQ78" s="1">
        <v>4</v>
      </c>
      <c r="AR78" s="1">
        <v>4</v>
      </c>
      <c r="AS78" s="1">
        <v>3</v>
      </c>
      <c r="AT78" s="1">
        <v>3</v>
      </c>
      <c r="AU78" s="1">
        <v>3</v>
      </c>
      <c r="AV78" s="1">
        <v>5</v>
      </c>
      <c r="AW78" s="1">
        <v>3</v>
      </c>
      <c r="AX78" s="1">
        <v>3</v>
      </c>
      <c r="AY78" s="1">
        <v>3</v>
      </c>
      <c r="AZ78" s="1">
        <v>4</v>
      </c>
      <c r="BA78" s="1">
        <v>4</v>
      </c>
      <c r="BB78" s="1">
        <v>5</v>
      </c>
      <c r="BC78" s="1">
        <v>2</v>
      </c>
    </row>
    <row r="79" spans="1:55">
      <c r="A79" s="1" t="s">
        <v>182</v>
      </c>
      <c r="B79" s="1" t="s">
        <v>66</v>
      </c>
      <c r="C79" s="1" t="s">
        <v>181</v>
      </c>
      <c r="D79" s="1">
        <v>4</v>
      </c>
      <c r="E79" s="1">
        <v>3</v>
      </c>
      <c r="F79" s="1">
        <v>2</v>
      </c>
      <c r="G79" s="1">
        <v>3</v>
      </c>
      <c r="H79" s="1">
        <v>4</v>
      </c>
      <c r="I79" s="1">
        <v>3</v>
      </c>
      <c r="J79" s="1">
        <v>3</v>
      </c>
      <c r="K79" s="1">
        <v>4</v>
      </c>
      <c r="L79" s="1">
        <v>4</v>
      </c>
      <c r="M79" s="1">
        <v>4</v>
      </c>
      <c r="N79" s="1">
        <v>3</v>
      </c>
      <c r="O79" s="1">
        <v>3</v>
      </c>
      <c r="P79" s="1">
        <v>3</v>
      </c>
      <c r="Q79" s="1">
        <v>4</v>
      </c>
      <c r="R79" s="1">
        <v>3</v>
      </c>
      <c r="S79" s="1">
        <v>3</v>
      </c>
      <c r="T79" s="1">
        <v>3</v>
      </c>
      <c r="U79" s="1">
        <v>4</v>
      </c>
      <c r="V79" s="1">
        <v>2</v>
      </c>
      <c r="W79" s="1">
        <v>2</v>
      </c>
      <c r="X79" s="1">
        <v>2</v>
      </c>
      <c r="Y79" s="1">
        <v>2</v>
      </c>
      <c r="Z79" s="1">
        <v>3</v>
      </c>
      <c r="AA79" s="1">
        <v>3</v>
      </c>
      <c r="AB79" s="1">
        <v>3</v>
      </c>
      <c r="AC79" s="1">
        <v>3</v>
      </c>
      <c r="AD79" s="1">
        <v>4</v>
      </c>
      <c r="AE79" s="1">
        <v>5</v>
      </c>
      <c r="AF79" s="1">
        <v>2</v>
      </c>
      <c r="AG79" s="1">
        <v>3</v>
      </c>
      <c r="AH79" s="1">
        <v>3</v>
      </c>
      <c r="AI79" s="1">
        <v>3</v>
      </c>
      <c r="AJ79" s="1">
        <v>4</v>
      </c>
      <c r="AK79" s="1">
        <v>3</v>
      </c>
      <c r="AL79" s="1">
        <v>4</v>
      </c>
      <c r="AM79" s="1">
        <v>5</v>
      </c>
      <c r="AN79" s="1">
        <v>3</v>
      </c>
      <c r="AO79" s="1">
        <v>4</v>
      </c>
      <c r="AP79" s="1">
        <v>4</v>
      </c>
      <c r="AQ79" s="1">
        <v>5</v>
      </c>
      <c r="AR79" s="1">
        <v>4</v>
      </c>
      <c r="AS79" s="1">
        <v>4</v>
      </c>
      <c r="AT79" s="1">
        <v>4</v>
      </c>
      <c r="AU79" s="1">
        <v>3</v>
      </c>
      <c r="AV79" s="1">
        <v>3</v>
      </c>
      <c r="AW79" s="1">
        <v>4</v>
      </c>
      <c r="AX79" s="1">
        <v>3</v>
      </c>
      <c r="AY79" s="1">
        <v>4</v>
      </c>
      <c r="AZ79" s="1">
        <v>4</v>
      </c>
      <c r="BA79" s="1">
        <v>4</v>
      </c>
      <c r="BB79" s="1">
        <v>3</v>
      </c>
      <c r="BC79" s="1">
        <v>3</v>
      </c>
    </row>
    <row r="80" spans="1:55">
      <c r="A80" s="1" t="s">
        <v>183</v>
      </c>
      <c r="B80" s="1" t="s">
        <v>66</v>
      </c>
      <c r="C80" s="1" t="s">
        <v>184</v>
      </c>
      <c r="D80" s="1">
        <v>4</v>
      </c>
      <c r="E80" s="1">
        <v>4</v>
      </c>
      <c r="F80" s="1">
        <v>2</v>
      </c>
      <c r="G80" s="1">
        <v>3</v>
      </c>
      <c r="H80" s="1">
        <v>2</v>
      </c>
      <c r="I80" s="1">
        <v>3</v>
      </c>
      <c r="J80" s="1">
        <v>1</v>
      </c>
      <c r="K80" s="1">
        <v>5</v>
      </c>
      <c r="L80" s="1">
        <v>4</v>
      </c>
      <c r="M80" s="1">
        <v>3</v>
      </c>
      <c r="N80" s="1">
        <v>3</v>
      </c>
      <c r="O80" s="1">
        <v>4</v>
      </c>
      <c r="P80" s="1">
        <v>4</v>
      </c>
      <c r="Q80" s="1">
        <v>5</v>
      </c>
      <c r="R80" s="1">
        <v>4</v>
      </c>
      <c r="S80" s="1">
        <v>4</v>
      </c>
      <c r="T80" s="1">
        <v>4</v>
      </c>
      <c r="U80" s="1">
        <v>3</v>
      </c>
      <c r="V80" s="1">
        <v>3</v>
      </c>
      <c r="W80" s="1">
        <v>3</v>
      </c>
      <c r="X80" s="1">
        <v>3</v>
      </c>
      <c r="Y80" s="1">
        <v>3</v>
      </c>
      <c r="Z80" s="1">
        <v>4</v>
      </c>
      <c r="AA80" s="1">
        <v>4</v>
      </c>
      <c r="AB80" s="1">
        <v>5</v>
      </c>
      <c r="AC80" s="1">
        <v>3</v>
      </c>
      <c r="AD80" s="1">
        <v>4</v>
      </c>
      <c r="AE80" s="1">
        <v>3</v>
      </c>
      <c r="AF80" s="1">
        <v>2</v>
      </c>
      <c r="AG80" s="1">
        <v>2</v>
      </c>
      <c r="AH80" s="1">
        <v>1</v>
      </c>
      <c r="AI80" s="1">
        <v>3</v>
      </c>
      <c r="AJ80" s="1">
        <v>4</v>
      </c>
      <c r="AK80" s="1">
        <v>4</v>
      </c>
      <c r="AL80" s="1">
        <v>3</v>
      </c>
      <c r="AM80" s="1">
        <v>5</v>
      </c>
      <c r="AN80" s="1">
        <v>3</v>
      </c>
      <c r="AO80" s="1">
        <v>5</v>
      </c>
      <c r="AP80" s="1">
        <v>4</v>
      </c>
      <c r="AQ80" s="1">
        <v>5</v>
      </c>
      <c r="AR80" s="1">
        <v>4</v>
      </c>
      <c r="AS80" s="1">
        <v>4</v>
      </c>
      <c r="AT80" s="1">
        <v>4</v>
      </c>
      <c r="AU80" s="1">
        <v>4</v>
      </c>
      <c r="AV80" s="1">
        <v>3</v>
      </c>
      <c r="AW80" s="1">
        <v>3</v>
      </c>
      <c r="AX80" s="1">
        <v>4</v>
      </c>
      <c r="AY80" s="1">
        <v>3</v>
      </c>
      <c r="AZ80" s="1">
        <v>4</v>
      </c>
      <c r="BA80" s="1">
        <v>4</v>
      </c>
      <c r="BB80" s="1">
        <v>4</v>
      </c>
      <c r="BC80" s="1">
        <v>3</v>
      </c>
    </row>
    <row r="81" spans="1:55">
      <c r="A81" s="1" t="s">
        <v>185</v>
      </c>
      <c r="B81" s="1" t="s">
        <v>66</v>
      </c>
      <c r="C81" s="1" t="s">
        <v>184</v>
      </c>
      <c r="D81" s="1">
        <v>3</v>
      </c>
      <c r="E81" s="1">
        <v>4</v>
      </c>
      <c r="F81" s="1">
        <v>3</v>
      </c>
      <c r="G81" s="1">
        <v>2</v>
      </c>
      <c r="H81" s="1">
        <v>4</v>
      </c>
      <c r="I81" s="1">
        <v>4</v>
      </c>
      <c r="J81" s="1">
        <v>5</v>
      </c>
      <c r="K81" s="1">
        <v>4</v>
      </c>
      <c r="L81" s="1">
        <v>4</v>
      </c>
      <c r="M81" s="1">
        <v>4</v>
      </c>
      <c r="N81" s="1">
        <v>5</v>
      </c>
      <c r="O81" s="1">
        <v>3</v>
      </c>
      <c r="P81" s="1">
        <v>3</v>
      </c>
      <c r="Q81" s="1">
        <v>3</v>
      </c>
      <c r="R81" s="1">
        <v>4</v>
      </c>
      <c r="S81" s="1">
        <v>5</v>
      </c>
      <c r="T81" s="1">
        <v>4</v>
      </c>
      <c r="U81" s="1">
        <v>4</v>
      </c>
      <c r="V81" s="1">
        <v>4</v>
      </c>
      <c r="W81" s="1">
        <v>3</v>
      </c>
      <c r="X81" s="1">
        <v>4</v>
      </c>
      <c r="Y81" s="1">
        <v>4</v>
      </c>
      <c r="Z81" s="1">
        <v>2</v>
      </c>
      <c r="AA81" s="1">
        <v>3</v>
      </c>
      <c r="AB81" s="1">
        <v>3</v>
      </c>
      <c r="AC81" s="1">
        <v>3</v>
      </c>
      <c r="AD81" s="1">
        <v>4</v>
      </c>
      <c r="AE81" s="1">
        <v>4</v>
      </c>
      <c r="AF81" s="1">
        <v>2</v>
      </c>
      <c r="AG81" s="1">
        <v>1</v>
      </c>
      <c r="AH81" s="1">
        <v>5</v>
      </c>
      <c r="AI81" s="1">
        <v>5</v>
      </c>
      <c r="AJ81" s="1">
        <v>4</v>
      </c>
      <c r="AK81" s="1">
        <v>3</v>
      </c>
      <c r="AL81" s="1">
        <v>3</v>
      </c>
      <c r="AM81" s="1">
        <v>4</v>
      </c>
      <c r="AN81" s="1">
        <v>4</v>
      </c>
      <c r="AO81" s="1">
        <v>5</v>
      </c>
      <c r="AP81" s="1">
        <v>4</v>
      </c>
      <c r="AQ81" s="1">
        <v>4</v>
      </c>
      <c r="AR81" s="1">
        <v>4</v>
      </c>
      <c r="AS81" s="1">
        <v>5</v>
      </c>
      <c r="AT81" s="1">
        <v>4</v>
      </c>
      <c r="AU81" s="1">
        <v>5</v>
      </c>
      <c r="AV81" s="1">
        <v>5</v>
      </c>
      <c r="AW81" s="1">
        <v>4</v>
      </c>
      <c r="AX81" s="1">
        <v>5</v>
      </c>
      <c r="AY81" s="1">
        <v>4</v>
      </c>
      <c r="AZ81" s="1">
        <v>4</v>
      </c>
      <c r="BA81" s="1">
        <v>4</v>
      </c>
      <c r="BB81" s="1">
        <v>4</v>
      </c>
      <c r="BC81" s="1">
        <v>1</v>
      </c>
    </row>
    <row r="82" spans="1:55">
      <c r="A82" s="1" t="s">
        <v>186</v>
      </c>
      <c r="B82" s="1" t="s">
        <v>66</v>
      </c>
      <c r="C82" s="1" t="s">
        <v>187</v>
      </c>
      <c r="D82" s="1">
        <v>3</v>
      </c>
      <c r="E82" s="1">
        <v>3</v>
      </c>
      <c r="F82" s="1">
        <v>3</v>
      </c>
      <c r="G82" s="1">
        <v>4</v>
      </c>
      <c r="H82" s="1">
        <v>3</v>
      </c>
      <c r="I82" s="1">
        <v>3</v>
      </c>
      <c r="J82" s="1">
        <v>2</v>
      </c>
      <c r="K82" s="1">
        <v>3</v>
      </c>
      <c r="L82" s="1">
        <v>3</v>
      </c>
      <c r="M82" s="1">
        <v>2</v>
      </c>
      <c r="N82" s="1">
        <v>3</v>
      </c>
      <c r="O82" s="1">
        <v>4</v>
      </c>
      <c r="P82" s="1">
        <v>3</v>
      </c>
      <c r="Q82" s="1">
        <v>4</v>
      </c>
      <c r="R82" s="1">
        <v>3</v>
      </c>
      <c r="S82" s="1">
        <v>3</v>
      </c>
      <c r="T82" s="1">
        <v>4</v>
      </c>
      <c r="U82" s="1">
        <v>4</v>
      </c>
      <c r="V82" s="1">
        <v>3</v>
      </c>
      <c r="W82" s="1">
        <v>2</v>
      </c>
      <c r="X82" s="1">
        <v>2</v>
      </c>
      <c r="Y82" s="1">
        <v>2</v>
      </c>
      <c r="Z82" s="1">
        <v>3</v>
      </c>
      <c r="AA82" s="1">
        <v>4</v>
      </c>
      <c r="AB82" s="1">
        <v>4</v>
      </c>
      <c r="AC82" s="1">
        <v>4</v>
      </c>
      <c r="AD82" s="1">
        <v>3</v>
      </c>
      <c r="AE82" s="1">
        <v>3</v>
      </c>
      <c r="AF82" s="1">
        <v>2</v>
      </c>
      <c r="AG82" s="1">
        <v>3</v>
      </c>
      <c r="AH82" s="1">
        <v>4</v>
      </c>
      <c r="AI82" s="1">
        <v>3</v>
      </c>
      <c r="AJ82" s="1">
        <v>4</v>
      </c>
      <c r="AK82" s="1">
        <v>3</v>
      </c>
      <c r="AL82" s="1">
        <v>4</v>
      </c>
      <c r="AM82" s="1">
        <v>3</v>
      </c>
      <c r="AN82" s="1">
        <v>3</v>
      </c>
      <c r="AO82" s="1">
        <v>2</v>
      </c>
      <c r="AP82" s="1">
        <v>4</v>
      </c>
      <c r="AQ82" s="1">
        <v>4</v>
      </c>
      <c r="AR82" s="1">
        <v>3</v>
      </c>
      <c r="AS82" s="1">
        <v>4</v>
      </c>
      <c r="AT82" s="1">
        <v>3</v>
      </c>
      <c r="AU82" s="1">
        <v>3</v>
      </c>
      <c r="AV82" s="1">
        <v>3</v>
      </c>
      <c r="AW82" s="1">
        <v>3</v>
      </c>
      <c r="AX82" s="1">
        <v>3</v>
      </c>
      <c r="AY82" s="1">
        <v>3</v>
      </c>
      <c r="AZ82" s="1">
        <v>4</v>
      </c>
      <c r="BA82" s="1">
        <v>3</v>
      </c>
      <c r="BB82" s="1">
        <v>3</v>
      </c>
      <c r="BC82" s="1">
        <v>3</v>
      </c>
    </row>
    <row r="83" spans="1:55">
      <c r="A83" s="1" t="s">
        <v>188</v>
      </c>
      <c r="B83" s="1" t="s">
        <v>66</v>
      </c>
      <c r="C83" s="1" t="s">
        <v>187</v>
      </c>
      <c r="D83" s="1">
        <v>4</v>
      </c>
      <c r="E83" s="1">
        <v>2</v>
      </c>
      <c r="F83" s="1">
        <v>3</v>
      </c>
      <c r="G83" s="1">
        <v>2</v>
      </c>
      <c r="H83" s="1">
        <v>3</v>
      </c>
      <c r="I83" s="1">
        <v>3</v>
      </c>
      <c r="J83" s="1">
        <v>3</v>
      </c>
      <c r="K83" s="1">
        <v>4</v>
      </c>
      <c r="L83" s="1">
        <v>4</v>
      </c>
      <c r="M83" s="1">
        <v>3</v>
      </c>
      <c r="N83" s="1">
        <v>2</v>
      </c>
      <c r="O83" s="1">
        <v>5</v>
      </c>
      <c r="P83" s="1">
        <v>3</v>
      </c>
      <c r="Q83" s="1">
        <v>3</v>
      </c>
      <c r="R83" s="1">
        <v>2</v>
      </c>
      <c r="S83" s="1">
        <v>2</v>
      </c>
      <c r="T83" s="1">
        <v>3</v>
      </c>
      <c r="U83" s="1">
        <v>3</v>
      </c>
      <c r="V83" s="1">
        <v>3</v>
      </c>
      <c r="W83" s="1">
        <v>3</v>
      </c>
      <c r="X83" s="1">
        <v>3</v>
      </c>
      <c r="Y83" s="1">
        <v>3</v>
      </c>
      <c r="Z83" s="1">
        <v>4</v>
      </c>
      <c r="AA83" s="1">
        <v>5</v>
      </c>
      <c r="AB83" s="1">
        <v>4</v>
      </c>
      <c r="AC83" s="1">
        <v>3</v>
      </c>
      <c r="AD83" s="1">
        <v>4</v>
      </c>
      <c r="AE83" s="1">
        <v>4</v>
      </c>
      <c r="AF83" s="1">
        <v>1</v>
      </c>
      <c r="AG83" s="1">
        <v>2</v>
      </c>
      <c r="AH83" s="1">
        <v>4</v>
      </c>
      <c r="AI83" s="1">
        <v>3</v>
      </c>
      <c r="AJ83" s="1">
        <v>4</v>
      </c>
      <c r="AK83" s="1">
        <v>4</v>
      </c>
      <c r="AL83" s="1">
        <v>4</v>
      </c>
      <c r="AM83" s="1">
        <v>4</v>
      </c>
      <c r="AN83" s="1">
        <v>4</v>
      </c>
      <c r="AO83" s="1">
        <v>4</v>
      </c>
      <c r="AP83" s="1">
        <v>4</v>
      </c>
      <c r="AQ83" s="1">
        <v>5</v>
      </c>
      <c r="AR83" s="1">
        <v>5</v>
      </c>
      <c r="AS83" s="1">
        <v>4</v>
      </c>
      <c r="AT83" s="1">
        <v>3</v>
      </c>
      <c r="AU83" s="1">
        <v>4</v>
      </c>
      <c r="AV83" s="1">
        <v>4</v>
      </c>
      <c r="AW83" s="1">
        <v>4</v>
      </c>
      <c r="AX83" s="1">
        <v>4</v>
      </c>
      <c r="AY83" s="1">
        <v>3</v>
      </c>
      <c r="AZ83" s="1">
        <v>4</v>
      </c>
      <c r="BA83" s="1">
        <v>5</v>
      </c>
      <c r="BB83" s="1">
        <v>5</v>
      </c>
      <c r="BC83" s="1">
        <v>2</v>
      </c>
    </row>
    <row r="84" spans="1:55">
      <c r="A84" s="1" t="s">
        <v>189</v>
      </c>
      <c r="B84" s="1" t="s">
        <v>66</v>
      </c>
      <c r="C84" s="1" t="s">
        <v>190</v>
      </c>
      <c r="D84" s="1">
        <v>2</v>
      </c>
      <c r="E84" s="1">
        <v>3</v>
      </c>
      <c r="F84" s="1">
        <v>2</v>
      </c>
      <c r="G84" s="1">
        <v>2</v>
      </c>
      <c r="H84" s="1">
        <v>3</v>
      </c>
      <c r="I84" s="1">
        <v>3</v>
      </c>
      <c r="J84" s="1">
        <v>3</v>
      </c>
      <c r="K84" s="1">
        <v>3</v>
      </c>
      <c r="L84" s="1">
        <v>2</v>
      </c>
      <c r="M84" s="1">
        <v>3</v>
      </c>
      <c r="N84" s="1">
        <v>2</v>
      </c>
      <c r="O84" s="1">
        <v>3</v>
      </c>
      <c r="P84" s="1">
        <v>3</v>
      </c>
      <c r="Q84" s="1">
        <v>3</v>
      </c>
      <c r="R84" s="1">
        <v>3</v>
      </c>
      <c r="S84" s="1">
        <v>4</v>
      </c>
      <c r="T84" s="1">
        <v>4</v>
      </c>
      <c r="U84" s="1">
        <v>4</v>
      </c>
      <c r="V84" s="1">
        <v>2</v>
      </c>
      <c r="W84" s="1">
        <v>2</v>
      </c>
      <c r="X84" s="1">
        <v>3</v>
      </c>
      <c r="Y84" s="1">
        <v>2</v>
      </c>
      <c r="Z84" s="1">
        <v>3</v>
      </c>
      <c r="AA84" s="1">
        <v>3</v>
      </c>
      <c r="AB84" s="1">
        <v>2</v>
      </c>
      <c r="AC84" s="1">
        <v>3</v>
      </c>
      <c r="AD84" s="1">
        <v>3</v>
      </c>
      <c r="AE84" s="1">
        <v>3</v>
      </c>
      <c r="AF84" s="1">
        <v>3</v>
      </c>
      <c r="AG84" s="1">
        <v>3</v>
      </c>
      <c r="AH84" s="1">
        <v>4</v>
      </c>
      <c r="AI84" s="1">
        <v>4</v>
      </c>
      <c r="AJ84" s="1">
        <v>4</v>
      </c>
      <c r="AK84" s="1">
        <v>3</v>
      </c>
      <c r="AL84" s="1">
        <v>3</v>
      </c>
      <c r="AM84" s="1">
        <v>4</v>
      </c>
      <c r="AN84" s="1">
        <v>4</v>
      </c>
      <c r="AO84" s="1">
        <v>2</v>
      </c>
      <c r="AP84" s="1">
        <v>3</v>
      </c>
      <c r="AQ84" s="1">
        <v>3</v>
      </c>
      <c r="AR84" s="1">
        <v>4</v>
      </c>
      <c r="AS84" s="1">
        <v>3</v>
      </c>
      <c r="AT84" s="1">
        <v>4</v>
      </c>
      <c r="AU84" s="1">
        <v>3</v>
      </c>
      <c r="AV84" s="1">
        <v>4</v>
      </c>
      <c r="AW84" s="1">
        <v>4</v>
      </c>
      <c r="AX84" s="1">
        <v>3</v>
      </c>
      <c r="AY84" s="1">
        <v>3</v>
      </c>
      <c r="AZ84" s="1">
        <v>4</v>
      </c>
      <c r="BA84" s="1">
        <v>3</v>
      </c>
      <c r="BB84" s="1">
        <v>3</v>
      </c>
      <c r="BC84" s="1">
        <v>3</v>
      </c>
    </row>
    <row r="85" spans="1:55">
      <c r="A85" s="1" t="s">
        <v>191</v>
      </c>
      <c r="B85" s="1" t="s">
        <v>66</v>
      </c>
      <c r="C85" s="1" t="s">
        <v>190</v>
      </c>
      <c r="D85" s="1">
        <v>2</v>
      </c>
      <c r="E85" s="1">
        <v>2</v>
      </c>
      <c r="F85" s="1">
        <v>2</v>
      </c>
      <c r="G85" s="1">
        <v>2</v>
      </c>
      <c r="H85" s="1">
        <v>3</v>
      </c>
      <c r="I85" s="1">
        <v>2</v>
      </c>
      <c r="J85" s="1">
        <v>2</v>
      </c>
      <c r="K85" s="1">
        <v>4</v>
      </c>
      <c r="L85" s="1">
        <v>4</v>
      </c>
      <c r="M85" s="1">
        <v>3</v>
      </c>
      <c r="N85" s="1">
        <v>3</v>
      </c>
      <c r="O85" s="1">
        <v>3</v>
      </c>
      <c r="P85" s="1">
        <v>4</v>
      </c>
      <c r="Q85" s="1">
        <v>4</v>
      </c>
      <c r="R85" s="1">
        <v>3</v>
      </c>
      <c r="S85" s="1">
        <v>2</v>
      </c>
      <c r="T85" s="1">
        <v>3</v>
      </c>
      <c r="U85" s="1">
        <v>3</v>
      </c>
      <c r="V85" s="1">
        <v>2</v>
      </c>
      <c r="W85" s="1">
        <v>2</v>
      </c>
      <c r="X85" s="1">
        <v>3</v>
      </c>
      <c r="Y85" s="1">
        <v>3</v>
      </c>
      <c r="Z85" s="1">
        <v>3</v>
      </c>
      <c r="AA85" s="1">
        <v>3</v>
      </c>
      <c r="AB85" s="1">
        <v>2</v>
      </c>
      <c r="AC85" s="1">
        <v>4</v>
      </c>
      <c r="AD85" s="1">
        <v>4</v>
      </c>
      <c r="AE85" s="1">
        <v>3</v>
      </c>
      <c r="AF85" s="1">
        <v>3</v>
      </c>
      <c r="AG85" s="1">
        <v>4</v>
      </c>
      <c r="AH85" s="1">
        <v>4</v>
      </c>
      <c r="AI85" s="1">
        <v>2</v>
      </c>
      <c r="AJ85" s="1">
        <v>4</v>
      </c>
      <c r="AK85" s="1">
        <v>3</v>
      </c>
      <c r="AL85" s="1">
        <v>2</v>
      </c>
      <c r="AM85" s="1">
        <v>3</v>
      </c>
      <c r="AN85" s="1">
        <v>4</v>
      </c>
      <c r="AO85" s="1">
        <v>3</v>
      </c>
      <c r="AP85" s="1">
        <v>4</v>
      </c>
      <c r="AQ85" s="1">
        <v>3</v>
      </c>
      <c r="AR85" s="1">
        <v>3</v>
      </c>
      <c r="AS85" s="1">
        <v>3</v>
      </c>
      <c r="AT85" s="1">
        <v>3</v>
      </c>
      <c r="AU85" s="1">
        <v>2</v>
      </c>
      <c r="AV85" s="1">
        <v>3</v>
      </c>
      <c r="AW85" s="1">
        <v>4</v>
      </c>
      <c r="AX85" s="1">
        <v>3</v>
      </c>
      <c r="AY85" s="1">
        <v>4</v>
      </c>
      <c r="AZ85" s="1">
        <v>3</v>
      </c>
      <c r="BA85" s="1">
        <v>3</v>
      </c>
      <c r="BB85" s="1">
        <v>3</v>
      </c>
      <c r="BC85" s="1">
        <v>3</v>
      </c>
    </row>
    <row r="86" spans="1:55">
      <c r="A86" s="1" t="s">
        <v>192</v>
      </c>
      <c r="B86" s="1" t="s">
        <v>66</v>
      </c>
      <c r="C86" s="1" t="s">
        <v>193</v>
      </c>
      <c r="D86" s="1">
        <v>2</v>
      </c>
      <c r="E86" s="1">
        <v>3</v>
      </c>
      <c r="F86" s="1">
        <v>3</v>
      </c>
      <c r="G86" s="1">
        <v>3</v>
      </c>
      <c r="H86" s="1">
        <v>4</v>
      </c>
      <c r="I86" s="1">
        <v>4</v>
      </c>
      <c r="J86" s="1">
        <v>3</v>
      </c>
      <c r="K86" s="1">
        <v>3</v>
      </c>
      <c r="L86" s="1">
        <v>2</v>
      </c>
      <c r="M86" s="1">
        <v>3</v>
      </c>
      <c r="N86" s="1">
        <v>3</v>
      </c>
      <c r="O86" s="1">
        <v>2</v>
      </c>
      <c r="P86" s="1">
        <v>3</v>
      </c>
      <c r="Q86" s="1">
        <v>2</v>
      </c>
      <c r="R86" s="1">
        <v>2</v>
      </c>
      <c r="S86" s="1">
        <v>4</v>
      </c>
      <c r="T86" s="1">
        <v>3</v>
      </c>
      <c r="U86" s="1">
        <v>3</v>
      </c>
      <c r="V86" s="1">
        <v>3</v>
      </c>
      <c r="W86" s="1">
        <v>3</v>
      </c>
      <c r="X86" s="1">
        <v>2</v>
      </c>
      <c r="Y86" s="1">
        <v>2</v>
      </c>
      <c r="Z86" s="1">
        <v>3</v>
      </c>
      <c r="AA86" s="1">
        <v>3</v>
      </c>
      <c r="AB86" s="1">
        <v>2</v>
      </c>
      <c r="AC86" s="1">
        <v>4</v>
      </c>
      <c r="AD86" s="1">
        <v>3</v>
      </c>
      <c r="AE86" s="1">
        <v>4</v>
      </c>
      <c r="AF86" s="1">
        <v>2</v>
      </c>
      <c r="AG86" s="1">
        <v>3</v>
      </c>
      <c r="AH86" s="1">
        <v>4</v>
      </c>
      <c r="AI86" s="1">
        <v>4</v>
      </c>
      <c r="AJ86" s="1">
        <v>4</v>
      </c>
      <c r="AK86" s="1">
        <v>3</v>
      </c>
      <c r="AL86" s="1">
        <v>2</v>
      </c>
      <c r="AM86" s="1">
        <v>4</v>
      </c>
      <c r="AN86" s="1">
        <v>4</v>
      </c>
      <c r="AO86" s="1">
        <v>2</v>
      </c>
      <c r="AP86" s="1">
        <v>3</v>
      </c>
      <c r="AQ86" s="1">
        <v>2</v>
      </c>
      <c r="AR86" s="1">
        <v>4</v>
      </c>
      <c r="AS86" s="1">
        <v>4</v>
      </c>
      <c r="AT86" s="1">
        <v>3</v>
      </c>
      <c r="AU86" s="1">
        <v>4</v>
      </c>
      <c r="AV86" s="1">
        <v>3</v>
      </c>
      <c r="AW86" s="1">
        <v>3</v>
      </c>
      <c r="AX86" s="1">
        <v>4</v>
      </c>
      <c r="AY86" s="1">
        <v>3</v>
      </c>
      <c r="AZ86" s="1">
        <v>3</v>
      </c>
      <c r="BA86" s="1">
        <v>3</v>
      </c>
      <c r="BB86" s="1">
        <v>3</v>
      </c>
      <c r="BC86" s="1">
        <v>2</v>
      </c>
    </row>
    <row r="87" spans="1:55">
      <c r="A87" s="1" t="s">
        <v>194</v>
      </c>
      <c r="B87" s="1" t="s">
        <v>66</v>
      </c>
      <c r="C87" s="1" t="s">
        <v>193</v>
      </c>
      <c r="D87" s="1">
        <v>3</v>
      </c>
      <c r="E87" s="1">
        <v>4</v>
      </c>
      <c r="F87" s="1">
        <v>3</v>
      </c>
      <c r="G87" s="1">
        <v>4</v>
      </c>
      <c r="H87" s="1">
        <v>2</v>
      </c>
      <c r="I87" s="1">
        <v>3</v>
      </c>
      <c r="J87" s="1">
        <v>3</v>
      </c>
      <c r="K87" s="1">
        <v>4</v>
      </c>
      <c r="L87" s="1">
        <v>3</v>
      </c>
      <c r="M87" s="1">
        <v>3</v>
      </c>
      <c r="N87" s="1">
        <v>3</v>
      </c>
      <c r="O87" s="1">
        <v>3</v>
      </c>
      <c r="P87" s="1">
        <v>4</v>
      </c>
      <c r="Q87" s="1">
        <v>3</v>
      </c>
      <c r="R87" s="1">
        <v>4</v>
      </c>
      <c r="S87" s="1">
        <v>3</v>
      </c>
      <c r="T87" s="1">
        <v>4</v>
      </c>
      <c r="U87" s="1">
        <v>4</v>
      </c>
      <c r="V87" s="1">
        <v>4</v>
      </c>
      <c r="W87" s="1">
        <v>3</v>
      </c>
      <c r="X87" s="1">
        <v>4</v>
      </c>
      <c r="Y87" s="1">
        <v>3</v>
      </c>
      <c r="Z87" s="1">
        <v>2</v>
      </c>
      <c r="AA87" s="1">
        <v>4</v>
      </c>
      <c r="AB87" s="1">
        <v>3</v>
      </c>
      <c r="AC87" s="1">
        <v>3</v>
      </c>
      <c r="AD87" s="1">
        <v>3</v>
      </c>
      <c r="AE87" s="1">
        <v>4</v>
      </c>
      <c r="AF87" s="1">
        <v>2</v>
      </c>
      <c r="AG87" s="1">
        <v>2</v>
      </c>
      <c r="AH87" s="1">
        <v>5</v>
      </c>
      <c r="AI87" s="1">
        <v>4</v>
      </c>
      <c r="AJ87" s="1">
        <v>4</v>
      </c>
      <c r="AK87" s="1">
        <v>4</v>
      </c>
      <c r="AL87" s="1">
        <v>4</v>
      </c>
      <c r="AM87" s="1">
        <v>3</v>
      </c>
      <c r="AN87" s="1">
        <v>4</v>
      </c>
      <c r="AO87" s="1">
        <v>4</v>
      </c>
      <c r="AP87" s="1">
        <v>4</v>
      </c>
      <c r="AQ87" s="1">
        <v>4</v>
      </c>
      <c r="AR87" s="1">
        <v>4</v>
      </c>
      <c r="AS87" s="1">
        <v>3</v>
      </c>
      <c r="AT87" s="1">
        <v>4</v>
      </c>
      <c r="AU87" s="1">
        <v>3</v>
      </c>
      <c r="AV87" s="1">
        <v>4</v>
      </c>
      <c r="AW87" s="1">
        <v>3</v>
      </c>
      <c r="AX87" s="1">
        <v>4</v>
      </c>
      <c r="AY87" s="1">
        <v>3</v>
      </c>
      <c r="AZ87" s="1">
        <v>4</v>
      </c>
      <c r="BA87" s="1">
        <v>4</v>
      </c>
      <c r="BB87" s="1">
        <v>4</v>
      </c>
      <c r="BC87" s="1">
        <v>2</v>
      </c>
    </row>
    <row r="88" spans="1:55">
      <c r="A88" s="1" t="s">
        <v>195</v>
      </c>
      <c r="B88" s="1" t="s">
        <v>66</v>
      </c>
      <c r="C88" s="1" t="s">
        <v>196</v>
      </c>
      <c r="D88" s="1">
        <v>3</v>
      </c>
      <c r="E88" s="1">
        <v>2</v>
      </c>
      <c r="F88" s="1">
        <v>4</v>
      </c>
      <c r="G88" s="1">
        <v>4</v>
      </c>
      <c r="H88" s="1">
        <v>3</v>
      </c>
      <c r="I88" s="1">
        <v>3</v>
      </c>
      <c r="J88" s="1">
        <v>3</v>
      </c>
      <c r="K88" s="1">
        <v>2</v>
      </c>
      <c r="L88" s="1">
        <v>3</v>
      </c>
      <c r="M88" s="1">
        <v>2</v>
      </c>
      <c r="N88" s="1">
        <v>3</v>
      </c>
      <c r="O88" s="1">
        <v>3</v>
      </c>
      <c r="P88" s="1">
        <v>2</v>
      </c>
      <c r="Q88" s="1">
        <v>3</v>
      </c>
      <c r="R88" s="1">
        <v>4</v>
      </c>
      <c r="S88" s="1">
        <v>3</v>
      </c>
      <c r="T88" s="1">
        <v>3</v>
      </c>
      <c r="U88" s="1">
        <v>3</v>
      </c>
      <c r="V88" s="1">
        <v>3</v>
      </c>
      <c r="W88" s="1">
        <v>2</v>
      </c>
      <c r="X88" s="1">
        <v>3</v>
      </c>
      <c r="Y88" s="1">
        <v>3</v>
      </c>
      <c r="Z88" s="1">
        <v>2</v>
      </c>
      <c r="AA88" s="1">
        <v>2</v>
      </c>
      <c r="AB88" s="1">
        <v>3</v>
      </c>
      <c r="AC88" s="1">
        <v>3</v>
      </c>
      <c r="AD88" s="1">
        <v>3</v>
      </c>
      <c r="AE88" s="1">
        <v>3</v>
      </c>
      <c r="AF88" s="1">
        <v>2</v>
      </c>
      <c r="AG88" s="1">
        <v>3</v>
      </c>
      <c r="AH88" s="1">
        <v>3</v>
      </c>
      <c r="AI88" s="1">
        <v>4</v>
      </c>
      <c r="AJ88" s="1">
        <v>4</v>
      </c>
      <c r="AK88" s="1">
        <v>3</v>
      </c>
      <c r="AL88" s="1">
        <v>3</v>
      </c>
      <c r="AM88" s="1">
        <v>2</v>
      </c>
      <c r="AN88" s="1">
        <v>4</v>
      </c>
      <c r="AO88" s="1">
        <v>3</v>
      </c>
      <c r="AP88" s="1">
        <v>3</v>
      </c>
      <c r="AQ88" s="1">
        <v>4</v>
      </c>
      <c r="AR88" s="1">
        <v>4</v>
      </c>
      <c r="AS88" s="1">
        <v>3</v>
      </c>
      <c r="AT88" s="1">
        <v>2</v>
      </c>
      <c r="AU88" s="1">
        <v>3</v>
      </c>
      <c r="AV88" s="1">
        <v>4</v>
      </c>
      <c r="AW88" s="1">
        <v>4</v>
      </c>
      <c r="AX88" s="1">
        <v>4</v>
      </c>
      <c r="AY88" s="1">
        <v>4</v>
      </c>
      <c r="AZ88" s="1">
        <v>3</v>
      </c>
      <c r="BA88" s="1">
        <v>3</v>
      </c>
      <c r="BB88" s="1">
        <v>3</v>
      </c>
      <c r="BC88" s="1">
        <v>2</v>
      </c>
    </row>
    <row r="89" spans="1:55">
      <c r="A89" s="1" t="s">
        <v>197</v>
      </c>
      <c r="B89" s="1" t="s">
        <v>66</v>
      </c>
      <c r="C89" s="1" t="s">
        <v>196</v>
      </c>
      <c r="D89" s="1">
        <v>3</v>
      </c>
      <c r="E89" s="1">
        <v>4</v>
      </c>
      <c r="F89" s="1">
        <v>2</v>
      </c>
      <c r="G89" s="1">
        <v>3</v>
      </c>
      <c r="H89" s="1">
        <v>3</v>
      </c>
      <c r="I89" s="1">
        <v>2</v>
      </c>
      <c r="J89" s="1">
        <v>3</v>
      </c>
      <c r="K89" s="1">
        <v>4</v>
      </c>
      <c r="L89" s="1">
        <v>2</v>
      </c>
      <c r="M89" s="1">
        <v>4</v>
      </c>
      <c r="N89" s="1">
        <v>2</v>
      </c>
      <c r="O89" s="1">
        <v>3</v>
      </c>
      <c r="P89" s="1">
        <v>4</v>
      </c>
      <c r="Q89" s="1">
        <v>5</v>
      </c>
      <c r="R89" s="1">
        <v>3</v>
      </c>
      <c r="S89" s="1">
        <v>4</v>
      </c>
      <c r="T89" s="1">
        <v>3</v>
      </c>
      <c r="U89" s="1">
        <v>3</v>
      </c>
      <c r="V89" s="1">
        <v>2</v>
      </c>
      <c r="W89" s="1">
        <v>3</v>
      </c>
      <c r="X89" s="1">
        <v>3</v>
      </c>
      <c r="Y89" s="1">
        <v>3</v>
      </c>
      <c r="Z89" s="1">
        <v>4</v>
      </c>
      <c r="AA89" s="1">
        <v>3</v>
      </c>
      <c r="AB89" s="1">
        <v>3</v>
      </c>
      <c r="AC89" s="1">
        <v>4</v>
      </c>
      <c r="AD89" s="1">
        <v>4</v>
      </c>
      <c r="AE89" s="1">
        <v>3</v>
      </c>
      <c r="AF89" s="1">
        <v>2</v>
      </c>
      <c r="AG89" s="1">
        <v>2</v>
      </c>
      <c r="AH89" s="1">
        <v>4</v>
      </c>
      <c r="AI89" s="1">
        <v>3</v>
      </c>
      <c r="AJ89" s="1">
        <v>3</v>
      </c>
      <c r="AK89" s="1">
        <v>4</v>
      </c>
      <c r="AL89" s="1">
        <v>4</v>
      </c>
      <c r="AM89" s="1">
        <v>4</v>
      </c>
      <c r="AN89" s="1">
        <v>4</v>
      </c>
      <c r="AO89" s="1">
        <v>4</v>
      </c>
      <c r="AP89" s="1">
        <v>4</v>
      </c>
      <c r="AQ89" s="1">
        <v>4</v>
      </c>
      <c r="AR89" s="1">
        <v>4</v>
      </c>
      <c r="AS89" s="1">
        <v>4</v>
      </c>
      <c r="AT89" s="1">
        <v>4</v>
      </c>
      <c r="AU89" s="1">
        <v>4</v>
      </c>
      <c r="AV89" s="1">
        <v>2</v>
      </c>
      <c r="AW89" s="1">
        <v>3</v>
      </c>
      <c r="AX89" s="1">
        <v>3</v>
      </c>
      <c r="AY89" s="1">
        <v>3</v>
      </c>
      <c r="AZ89" s="1">
        <v>4</v>
      </c>
      <c r="BA89" s="1">
        <v>4</v>
      </c>
      <c r="BB89" s="1">
        <v>3</v>
      </c>
      <c r="BC89" s="1">
        <v>3</v>
      </c>
    </row>
    <row r="90" spans="1:55">
      <c r="A90" s="1" t="s">
        <v>198</v>
      </c>
      <c r="B90" s="1" t="s">
        <v>66</v>
      </c>
      <c r="C90" s="1" t="s">
        <v>199</v>
      </c>
      <c r="D90" s="1">
        <v>3</v>
      </c>
      <c r="E90" s="1">
        <v>3</v>
      </c>
      <c r="F90" s="1">
        <v>3</v>
      </c>
      <c r="G90" s="1">
        <v>4</v>
      </c>
      <c r="H90" s="1">
        <v>2</v>
      </c>
      <c r="I90" s="1">
        <v>1</v>
      </c>
      <c r="J90" s="1">
        <v>3</v>
      </c>
      <c r="K90" s="1">
        <v>4</v>
      </c>
      <c r="L90" s="1">
        <v>3</v>
      </c>
      <c r="M90" s="1">
        <v>4</v>
      </c>
      <c r="N90" s="1">
        <v>3</v>
      </c>
      <c r="O90" s="1">
        <v>3</v>
      </c>
      <c r="P90" s="1">
        <v>3</v>
      </c>
      <c r="Q90" s="1">
        <v>3</v>
      </c>
      <c r="R90" s="1">
        <v>3</v>
      </c>
      <c r="S90" s="1">
        <v>3</v>
      </c>
      <c r="T90" s="1">
        <v>3</v>
      </c>
      <c r="U90" s="1">
        <v>3</v>
      </c>
      <c r="V90" s="1">
        <v>3</v>
      </c>
      <c r="W90" s="1">
        <v>3</v>
      </c>
      <c r="X90" s="1">
        <v>3</v>
      </c>
      <c r="Y90" s="1">
        <v>2</v>
      </c>
      <c r="Z90" s="1">
        <v>3</v>
      </c>
      <c r="AA90" s="1">
        <v>3</v>
      </c>
      <c r="AB90" s="1">
        <v>2</v>
      </c>
      <c r="AC90" s="1">
        <v>3</v>
      </c>
      <c r="AD90" s="1">
        <v>3</v>
      </c>
      <c r="AE90" s="1">
        <v>3</v>
      </c>
      <c r="AF90" s="1">
        <v>3</v>
      </c>
      <c r="AG90" s="1">
        <v>3</v>
      </c>
      <c r="AH90" s="1">
        <v>3</v>
      </c>
      <c r="AI90" s="1">
        <v>3</v>
      </c>
      <c r="AJ90" s="1">
        <v>3</v>
      </c>
      <c r="AK90" s="1">
        <v>4</v>
      </c>
      <c r="AL90" s="1">
        <v>4</v>
      </c>
      <c r="AM90" s="1">
        <v>3</v>
      </c>
      <c r="AN90" s="1">
        <v>3</v>
      </c>
      <c r="AO90" s="1">
        <v>3</v>
      </c>
      <c r="AP90" s="1">
        <v>4</v>
      </c>
      <c r="AQ90" s="1">
        <v>4</v>
      </c>
      <c r="AR90" s="1">
        <v>3</v>
      </c>
      <c r="AS90" s="1">
        <v>3</v>
      </c>
      <c r="AT90" s="1">
        <v>3</v>
      </c>
      <c r="AU90" s="1">
        <v>3</v>
      </c>
      <c r="AV90" s="1">
        <v>3</v>
      </c>
      <c r="AW90" s="1">
        <v>3</v>
      </c>
      <c r="AX90" s="1">
        <v>5</v>
      </c>
      <c r="AY90" s="1">
        <v>3</v>
      </c>
      <c r="AZ90" s="1">
        <v>3</v>
      </c>
      <c r="BA90" s="1">
        <v>2</v>
      </c>
      <c r="BB90" s="1">
        <v>4</v>
      </c>
      <c r="BC90" s="1">
        <v>4</v>
      </c>
    </row>
    <row r="91" spans="1:55">
      <c r="A91" s="1" t="s">
        <v>200</v>
      </c>
      <c r="B91" s="1" t="s">
        <v>66</v>
      </c>
      <c r="C91" s="1" t="s">
        <v>199</v>
      </c>
      <c r="D91" s="1">
        <v>3</v>
      </c>
      <c r="E91" s="1">
        <v>4</v>
      </c>
      <c r="F91" s="1">
        <v>2</v>
      </c>
      <c r="G91" s="1">
        <v>3</v>
      </c>
      <c r="H91" s="1">
        <v>2</v>
      </c>
      <c r="I91" s="1">
        <v>2</v>
      </c>
      <c r="J91" s="1">
        <v>2</v>
      </c>
      <c r="K91" s="1">
        <v>3</v>
      </c>
      <c r="L91" s="1">
        <v>3</v>
      </c>
      <c r="M91" s="1">
        <v>3</v>
      </c>
      <c r="N91" s="1">
        <v>2</v>
      </c>
      <c r="O91" s="1">
        <v>3</v>
      </c>
      <c r="P91" s="1">
        <v>3</v>
      </c>
      <c r="Q91" s="1">
        <v>4</v>
      </c>
      <c r="R91" s="1">
        <v>2</v>
      </c>
      <c r="S91" s="1">
        <v>4</v>
      </c>
      <c r="T91" s="1">
        <v>4</v>
      </c>
      <c r="U91" s="1">
        <v>3</v>
      </c>
      <c r="V91" s="1">
        <v>2</v>
      </c>
      <c r="W91" s="1">
        <v>4</v>
      </c>
      <c r="X91" s="1">
        <v>3</v>
      </c>
      <c r="Y91" s="1">
        <v>3</v>
      </c>
      <c r="Z91" s="1">
        <v>4</v>
      </c>
      <c r="AA91" s="1">
        <v>2</v>
      </c>
      <c r="AB91" s="1">
        <v>4</v>
      </c>
      <c r="AC91" s="1">
        <v>4</v>
      </c>
      <c r="AD91" s="1">
        <v>4</v>
      </c>
      <c r="AE91" s="1">
        <v>4</v>
      </c>
      <c r="AF91" s="1">
        <v>3</v>
      </c>
      <c r="AG91" s="1">
        <v>2</v>
      </c>
      <c r="AH91" s="1">
        <v>3</v>
      </c>
      <c r="AI91" s="1">
        <v>3</v>
      </c>
      <c r="AJ91" s="1">
        <v>3</v>
      </c>
      <c r="AK91" s="1">
        <v>5</v>
      </c>
      <c r="AL91" s="1">
        <v>4</v>
      </c>
      <c r="AM91" s="1">
        <v>4</v>
      </c>
      <c r="AN91" s="1">
        <v>4</v>
      </c>
      <c r="AO91" s="1">
        <v>4</v>
      </c>
      <c r="AP91" s="1">
        <v>4</v>
      </c>
      <c r="AQ91" s="1">
        <v>4</v>
      </c>
      <c r="AR91" s="1">
        <v>4</v>
      </c>
      <c r="AS91" s="1">
        <v>4</v>
      </c>
      <c r="AT91" s="1">
        <v>4</v>
      </c>
      <c r="AU91" s="1">
        <v>5</v>
      </c>
      <c r="AV91" s="1">
        <v>3</v>
      </c>
      <c r="AW91" s="1">
        <v>4</v>
      </c>
      <c r="AX91" s="1">
        <v>4</v>
      </c>
      <c r="AY91" s="1">
        <v>4</v>
      </c>
      <c r="AZ91" s="1">
        <v>3</v>
      </c>
      <c r="BA91" s="1">
        <v>4</v>
      </c>
      <c r="BB91" s="1">
        <v>4</v>
      </c>
      <c r="BC91" s="1">
        <v>4</v>
      </c>
    </row>
    <row r="92" spans="1:55">
      <c r="A92" s="1" t="s">
        <v>201</v>
      </c>
      <c r="B92" s="1" t="s">
        <v>66</v>
      </c>
      <c r="C92" s="1" t="s">
        <v>202</v>
      </c>
      <c r="D92" s="1">
        <v>3</v>
      </c>
      <c r="E92" s="1">
        <v>3</v>
      </c>
      <c r="F92" s="1">
        <v>3</v>
      </c>
      <c r="G92" s="1">
        <v>3</v>
      </c>
      <c r="H92" s="1">
        <v>3</v>
      </c>
      <c r="I92" s="1">
        <v>3</v>
      </c>
      <c r="J92" s="1">
        <v>3</v>
      </c>
      <c r="K92" s="1">
        <v>3</v>
      </c>
      <c r="L92" s="1">
        <v>3</v>
      </c>
      <c r="M92" s="1">
        <v>3</v>
      </c>
      <c r="N92" s="1">
        <v>3</v>
      </c>
      <c r="O92" s="1">
        <v>3</v>
      </c>
      <c r="P92" s="1">
        <v>3</v>
      </c>
      <c r="Q92" s="1">
        <v>4</v>
      </c>
      <c r="R92" s="1">
        <v>3</v>
      </c>
      <c r="S92" s="1">
        <v>3</v>
      </c>
      <c r="T92" s="1">
        <v>3</v>
      </c>
      <c r="U92" s="1">
        <v>3</v>
      </c>
      <c r="V92" s="1">
        <v>3</v>
      </c>
      <c r="W92" s="1">
        <v>2</v>
      </c>
      <c r="X92" s="1">
        <v>3</v>
      </c>
      <c r="Y92" s="1">
        <v>2</v>
      </c>
      <c r="Z92" s="1">
        <v>3</v>
      </c>
      <c r="AA92" s="1">
        <v>2</v>
      </c>
      <c r="AB92" s="1">
        <v>3</v>
      </c>
      <c r="AC92" s="1">
        <v>3</v>
      </c>
      <c r="AD92" s="1">
        <v>3</v>
      </c>
      <c r="AE92" s="1">
        <v>3</v>
      </c>
      <c r="AF92" s="1">
        <v>3</v>
      </c>
      <c r="AG92" s="1">
        <v>3</v>
      </c>
      <c r="AH92" s="1">
        <v>3</v>
      </c>
      <c r="AI92" s="1">
        <v>2</v>
      </c>
      <c r="AJ92" s="1">
        <v>3</v>
      </c>
      <c r="AK92" s="1">
        <v>4</v>
      </c>
      <c r="AL92" s="1">
        <v>3</v>
      </c>
      <c r="AM92" s="1">
        <v>3</v>
      </c>
      <c r="AN92" s="1">
        <v>3</v>
      </c>
      <c r="AO92" s="1">
        <v>3</v>
      </c>
      <c r="AP92" s="1">
        <v>2</v>
      </c>
      <c r="AQ92" s="1">
        <v>3</v>
      </c>
      <c r="AR92" s="1">
        <v>3</v>
      </c>
      <c r="AS92" s="1">
        <v>3</v>
      </c>
      <c r="AT92" s="1">
        <v>4</v>
      </c>
      <c r="AU92" s="1">
        <v>2</v>
      </c>
      <c r="AV92" s="1">
        <v>2</v>
      </c>
      <c r="AW92" s="1">
        <v>3</v>
      </c>
      <c r="AX92" s="1">
        <v>3</v>
      </c>
      <c r="AY92" s="1">
        <v>3</v>
      </c>
      <c r="AZ92" s="1">
        <v>3</v>
      </c>
      <c r="BA92" s="1">
        <v>3</v>
      </c>
      <c r="BB92" s="1">
        <v>3</v>
      </c>
      <c r="BC92" s="1">
        <v>4</v>
      </c>
    </row>
    <row r="93" spans="1:55">
      <c r="A93" s="1" t="s">
        <v>203</v>
      </c>
      <c r="B93" s="1" t="s">
        <v>66</v>
      </c>
      <c r="C93" s="1" t="s">
        <v>202</v>
      </c>
      <c r="D93" s="1">
        <v>3</v>
      </c>
      <c r="E93" s="1">
        <v>2</v>
      </c>
      <c r="F93" s="1">
        <v>3</v>
      </c>
      <c r="G93" s="1">
        <v>5</v>
      </c>
      <c r="H93" s="1">
        <v>4</v>
      </c>
      <c r="I93" s="1">
        <v>4</v>
      </c>
      <c r="J93" s="1">
        <v>3</v>
      </c>
      <c r="K93" s="1">
        <v>4</v>
      </c>
      <c r="L93" s="1">
        <v>3</v>
      </c>
      <c r="M93" s="1">
        <v>2</v>
      </c>
      <c r="N93" s="1">
        <v>5</v>
      </c>
      <c r="O93" s="1">
        <v>3</v>
      </c>
      <c r="P93" s="1">
        <v>3</v>
      </c>
      <c r="Q93" s="1">
        <v>4</v>
      </c>
      <c r="R93" s="1">
        <v>2</v>
      </c>
      <c r="S93" s="1">
        <v>3</v>
      </c>
      <c r="T93" s="1">
        <v>2</v>
      </c>
      <c r="U93" s="1">
        <v>4</v>
      </c>
      <c r="V93" s="1">
        <v>4</v>
      </c>
      <c r="W93" s="1">
        <v>3</v>
      </c>
      <c r="X93" s="1">
        <v>3</v>
      </c>
      <c r="Y93" s="1">
        <v>3</v>
      </c>
      <c r="Z93" s="1">
        <v>4</v>
      </c>
      <c r="AA93" s="1">
        <v>3</v>
      </c>
      <c r="AB93" s="1">
        <v>3</v>
      </c>
      <c r="AC93" s="1">
        <v>2</v>
      </c>
      <c r="AD93" s="1">
        <v>4</v>
      </c>
      <c r="AE93" s="1">
        <v>3</v>
      </c>
      <c r="AF93" s="1">
        <v>3</v>
      </c>
      <c r="AG93" s="1">
        <v>3</v>
      </c>
      <c r="AH93" s="1">
        <v>4</v>
      </c>
      <c r="AI93" s="1">
        <v>4</v>
      </c>
      <c r="AJ93" s="1">
        <v>4</v>
      </c>
      <c r="AK93" s="1">
        <v>4</v>
      </c>
      <c r="AL93" s="1">
        <v>4</v>
      </c>
      <c r="AM93" s="1">
        <v>3</v>
      </c>
      <c r="AN93" s="1">
        <v>4</v>
      </c>
      <c r="AO93" s="1">
        <v>3</v>
      </c>
      <c r="AP93" s="1">
        <v>4</v>
      </c>
      <c r="AQ93" s="1">
        <v>3</v>
      </c>
      <c r="AR93" s="1">
        <v>3</v>
      </c>
      <c r="AS93" s="1">
        <v>4</v>
      </c>
      <c r="AT93" s="1">
        <v>3</v>
      </c>
      <c r="AU93" s="1">
        <v>2</v>
      </c>
      <c r="AV93" s="1">
        <v>4</v>
      </c>
      <c r="AW93" s="1">
        <v>4</v>
      </c>
      <c r="AX93" s="1">
        <v>4</v>
      </c>
      <c r="AY93" s="1">
        <v>4</v>
      </c>
      <c r="AZ93" s="1">
        <v>4</v>
      </c>
      <c r="BA93" s="1">
        <v>4</v>
      </c>
      <c r="BB93" s="1">
        <v>3</v>
      </c>
      <c r="BC93" s="1">
        <v>1</v>
      </c>
    </row>
    <row r="94" spans="1:55">
      <c r="A94" s="1" t="s">
        <v>204</v>
      </c>
      <c r="B94" s="1" t="s">
        <v>66</v>
      </c>
      <c r="C94" s="1" t="s">
        <v>205</v>
      </c>
      <c r="D94" s="1">
        <v>3</v>
      </c>
      <c r="E94" s="1">
        <v>3</v>
      </c>
      <c r="F94" s="1">
        <v>4</v>
      </c>
      <c r="G94" s="1">
        <v>3</v>
      </c>
      <c r="H94" s="1">
        <v>4</v>
      </c>
      <c r="I94" s="1">
        <v>3</v>
      </c>
      <c r="J94" s="1">
        <v>2</v>
      </c>
      <c r="K94" s="1">
        <v>3</v>
      </c>
      <c r="L94" s="1">
        <v>3</v>
      </c>
      <c r="M94" s="1">
        <v>2</v>
      </c>
      <c r="N94" s="1">
        <v>4</v>
      </c>
      <c r="O94" s="1">
        <v>3</v>
      </c>
      <c r="P94" s="1">
        <v>4</v>
      </c>
      <c r="Q94" s="1">
        <v>3</v>
      </c>
      <c r="R94" s="1">
        <v>2</v>
      </c>
      <c r="S94" s="1">
        <v>2</v>
      </c>
      <c r="T94" s="1">
        <v>2</v>
      </c>
      <c r="U94" s="1">
        <v>2</v>
      </c>
      <c r="V94" s="1">
        <v>3</v>
      </c>
      <c r="W94" s="1">
        <v>3</v>
      </c>
      <c r="X94" s="1">
        <v>3</v>
      </c>
      <c r="Y94" s="1">
        <v>2</v>
      </c>
      <c r="Z94" s="1">
        <v>3</v>
      </c>
      <c r="AA94" s="1">
        <v>2</v>
      </c>
      <c r="AB94" s="1">
        <v>2</v>
      </c>
      <c r="AC94" s="1">
        <v>2</v>
      </c>
      <c r="AD94" s="1">
        <v>4</v>
      </c>
      <c r="AE94" s="1">
        <v>2</v>
      </c>
      <c r="AF94" s="1">
        <v>4</v>
      </c>
      <c r="AG94" s="1">
        <v>3</v>
      </c>
      <c r="AH94" s="1">
        <v>3</v>
      </c>
      <c r="AI94" s="1">
        <v>4</v>
      </c>
      <c r="AJ94" s="1">
        <v>4</v>
      </c>
      <c r="AK94" s="1">
        <v>2</v>
      </c>
      <c r="AL94" s="1">
        <v>3</v>
      </c>
      <c r="AM94" s="1">
        <v>2</v>
      </c>
      <c r="AN94" s="1">
        <v>4</v>
      </c>
      <c r="AO94" s="1">
        <v>4</v>
      </c>
      <c r="AP94" s="1">
        <v>4</v>
      </c>
      <c r="AQ94" s="1">
        <v>3</v>
      </c>
      <c r="AR94" s="1">
        <v>2</v>
      </c>
      <c r="AS94" s="1">
        <v>2</v>
      </c>
      <c r="AT94" s="1">
        <v>3</v>
      </c>
      <c r="AU94" s="1">
        <v>2</v>
      </c>
      <c r="AV94" s="1">
        <v>5</v>
      </c>
      <c r="AW94" s="1">
        <v>4</v>
      </c>
      <c r="AX94" s="1">
        <v>3</v>
      </c>
      <c r="AY94" s="1">
        <v>3</v>
      </c>
      <c r="AZ94" s="1">
        <v>3</v>
      </c>
      <c r="BA94" s="1">
        <v>2</v>
      </c>
      <c r="BB94" s="1">
        <v>2</v>
      </c>
      <c r="BC94" s="1">
        <v>1</v>
      </c>
    </row>
    <row r="95" spans="1:55">
      <c r="A95" s="1" t="s">
        <v>206</v>
      </c>
      <c r="B95" s="1" t="s">
        <v>66</v>
      </c>
      <c r="C95" s="1" t="s">
        <v>205</v>
      </c>
      <c r="D95" s="1">
        <v>4</v>
      </c>
      <c r="E95" s="1">
        <v>3</v>
      </c>
      <c r="F95" s="1">
        <v>3</v>
      </c>
      <c r="G95" s="1">
        <v>4</v>
      </c>
      <c r="H95" s="1">
        <v>4</v>
      </c>
      <c r="I95" s="1">
        <v>3</v>
      </c>
      <c r="J95" s="1">
        <v>4</v>
      </c>
      <c r="K95" s="1">
        <v>4</v>
      </c>
      <c r="L95" s="1">
        <v>4</v>
      </c>
      <c r="M95" s="1">
        <v>2</v>
      </c>
      <c r="N95" s="1">
        <v>4</v>
      </c>
      <c r="O95" s="1">
        <v>4</v>
      </c>
      <c r="P95" s="1">
        <v>4</v>
      </c>
      <c r="Q95" s="1">
        <v>5</v>
      </c>
      <c r="R95" s="1">
        <v>3</v>
      </c>
      <c r="S95" s="1">
        <v>3</v>
      </c>
      <c r="T95" s="1">
        <v>3</v>
      </c>
      <c r="U95" s="1">
        <v>2</v>
      </c>
      <c r="V95" s="1">
        <v>4</v>
      </c>
      <c r="W95" s="1">
        <v>3</v>
      </c>
      <c r="X95" s="1">
        <v>4</v>
      </c>
      <c r="Y95" s="1">
        <v>3</v>
      </c>
      <c r="Z95" s="1">
        <v>5</v>
      </c>
      <c r="AA95" s="1">
        <v>4</v>
      </c>
      <c r="AB95" s="1">
        <v>4</v>
      </c>
      <c r="AC95" s="1">
        <v>2</v>
      </c>
      <c r="AD95" s="1">
        <v>3</v>
      </c>
      <c r="AE95" s="1">
        <v>3</v>
      </c>
      <c r="AF95" s="1">
        <v>3</v>
      </c>
      <c r="AG95" s="1">
        <v>3</v>
      </c>
      <c r="AH95" s="1">
        <v>4</v>
      </c>
      <c r="AI95" s="1">
        <v>4</v>
      </c>
      <c r="AJ95" s="1">
        <v>4</v>
      </c>
      <c r="AK95" s="1">
        <v>4</v>
      </c>
      <c r="AL95" s="1">
        <v>4</v>
      </c>
      <c r="AM95" s="1">
        <v>3</v>
      </c>
      <c r="AN95" s="1">
        <v>4</v>
      </c>
      <c r="AO95" s="1">
        <v>4</v>
      </c>
      <c r="AP95" s="1">
        <v>4</v>
      </c>
      <c r="AQ95" s="1">
        <v>4</v>
      </c>
      <c r="AR95" s="1">
        <v>2</v>
      </c>
      <c r="AS95" s="1">
        <v>3</v>
      </c>
      <c r="AT95" s="1">
        <v>4</v>
      </c>
      <c r="AU95" s="1">
        <v>4</v>
      </c>
      <c r="AV95" s="1">
        <v>5</v>
      </c>
      <c r="AW95" s="1">
        <v>3</v>
      </c>
      <c r="AX95" s="1">
        <v>3</v>
      </c>
      <c r="AY95" s="1">
        <v>4</v>
      </c>
      <c r="AZ95" s="1">
        <v>4</v>
      </c>
      <c r="BA95" s="1">
        <v>4</v>
      </c>
      <c r="BB95" s="1">
        <v>4</v>
      </c>
      <c r="BC95" s="1">
        <v>2</v>
      </c>
    </row>
    <row r="96" spans="1:55">
      <c r="A96" s="1" t="s">
        <v>207</v>
      </c>
      <c r="B96" s="1" t="s">
        <v>66</v>
      </c>
      <c r="C96" s="1" t="s">
        <v>208</v>
      </c>
      <c r="D96" s="1">
        <v>2</v>
      </c>
      <c r="E96" s="1">
        <v>3</v>
      </c>
      <c r="F96" s="1">
        <v>3</v>
      </c>
      <c r="G96" s="1">
        <v>4</v>
      </c>
      <c r="H96" s="1">
        <v>3</v>
      </c>
      <c r="I96" s="1">
        <v>4</v>
      </c>
      <c r="J96" s="1">
        <v>3</v>
      </c>
      <c r="K96" s="1">
        <v>3</v>
      </c>
      <c r="L96" s="1">
        <v>3</v>
      </c>
      <c r="M96" s="1">
        <v>3</v>
      </c>
      <c r="N96" s="1">
        <v>1</v>
      </c>
      <c r="O96" s="1">
        <v>2</v>
      </c>
      <c r="P96" s="1">
        <v>2</v>
      </c>
      <c r="Q96" s="1">
        <v>4</v>
      </c>
      <c r="R96" s="1">
        <v>4</v>
      </c>
      <c r="S96" s="1">
        <v>4</v>
      </c>
      <c r="T96" s="1">
        <v>4</v>
      </c>
      <c r="U96" s="1">
        <v>2</v>
      </c>
      <c r="V96" s="1">
        <v>3</v>
      </c>
      <c r="W96" s="1">
        <v>3</v>
      </c>
      <c r="X96" s="1">
        <v>4</v>
      </c>
      <c r="Y96" s="1">
        <v>3</v>
      </c>
      <c r="Z96" s="1">
        <v>3</v>
      </c>
      <c r="AA96" s="1">
        <v>4</v>
      </c>
      <c r="AB96" s="1">
        <v>4</v>
      </c>
      <c r="AC96" s="1">
        <v>3</v>
      </c>
      <c r="AD96" s="1">
        <v>3</v>
      </c>
      <c r="AE96" s="1">
        <v>4</v>
      </c>
      <c r="AF96" s="1">
        <v>3</v>
      </c>
      <c r="AG96" s="1">
        <v>3</v>
      </c>
      <c r="AH96" s="1">
        <v>3</v>
      </c>
      <c r="AI96" s="1">
        <v>3</v>
      </c>
      <c r="AJ96" s="1">
        <v>4</v>
      </c>
      <c r="AK96" s="1">
        <v>3</v>
      </c>
      <c r="AL96" s="1">
        <v>4</v>
      </c>
      <c r="AM96" s="1">
        <v>3</v>
      </c>
      <c r="AN96" s="1">
        <v>4</v>
      </c>
      <c r="AO96" s="1">
        <v>4</v>
      </c>
      <c r="AP96" s="1">
        <v>4</v>
      </c>
      <c r="AQ96" s="1">
        <v>3</v>
      </c>
      <c r="AR96" s="1">
        <v>4</v>
      </c>
      <c r="AS96" s="1">
        <v>4</v>
      </c>
      <c r="AT96" s="1">
        <v>3</v>
      </c>
      <c r="AU96" s="1">
        <v>4</v>
      </c>
      <c r="AV96" s="1">
        <v>4</v>
      </c>
      <c r="AW96" s="1">
        <v>4</v>
      </c>
      <c r="AX96" s="1">
        <v>4</v>
      </c>
      <c r="AY96" s="1">
        <v>4</v>
      </c>
      <c r="AZ96" s="1">
        <v>3</v>
      </c>
      <c r="BA96" s="1">
        <v>4</v>
      </c>
      <c r="BB96" s="1">
        <v>5</v>
      </c>
      <c r="BC96" s="1">
        <v>3</v>
      </c>
    </row>
    <row r="97" spans="1:55">
      <c r="A97" s="1" t="s">
        <v>209</v>
      </c>
      <c r="B97" s="1" t="s">
        <v>66</v>
      </c>
      <c r="C97" s="1" t="s">
        <v>208</v>
      </c>
      <c r="D97" s="1">
        <v>3</v>
      </c>
      <c r="E97" s="1">
        <v>3</v>
      </c>
      <c r="F97" s="1">
        <v>3</v>
      </c>
      <c r="G97" s="1">
        <v>3</v>
      </c>
      <c r="H97" s="1">
        <v>3</v>
      </c>
      <c r="I97" s="1">
        <v>3</v>
      </c>
      <c r="J97" s="1">
        <v>4</v>
      </c>
      <c r="K97" s="1">
        <v>3</v>
      </c>
      <c r="L97" s="1">
        <v>3</v>
      </c>
      <c r="M97" s="1">
        <v>3</v>
      </c>
      <c r="N97" s="1">
        <v>4</v>
      </c>
      <c r="O97" s="1">
        <v>4</v>
      </c>
      <c r="P97" s="1">
        <v>3</v>
      </c>
      <c r="Q97" s="1">
        <v>3</v>
      </c>
      <c r="R97" s="1">
        <v>3</v>
      </c>
      <c r="S97" s="1">
        <v>4</v>
      </c>
      <c r="T97" s="1">
        <v>3</v>
      </c>
      <c r="U97" s="1">
        <v>3</v>
      </c>
      <c r="V97" s="1">
        <v>3</v>
      </c>
      <c r="W97" s="1">
        <v>2</v>
      </c>
      <c r="X97" s="1">
        <v>3</v>
      </c>
      <c r="Y97" s="1">
        <v>3</v>
      </c>
      <c r="Z97" s="1">
        <v>3</v>
      </c>
      <c r="AA97" s="1">
        <v>3</v>
      </c>
      <c r="AB97" s="1">
        <v>4</v>
      </c>
      <c r="AC97" s="1">
        <v>2</v>
      </c>
      <c r="AD97" s="1">
        <v>4</v>
      </c>
      <c r="AE97" s="1">
        <v>4</v>
      </c>
      <c r="AF97" s="1">
        <v>1</v>
      </c>
      <c r="AG97" s="1">
        <v>2</v>
      </c>
      <c r="AH97" s="1">
        <v>3</v>
      </c>
      <c r="AI97" s="1">
        <v>5</v>
      </c>
      <c r="AJ97" s="1">
        <v>5</v>
      </c>
      <c r="AK97" s="1">
        <v>4</v>
      </c>
      <c r="AL97" s="1">
        <v>4</v>
      </c>
      <c r="AM97" s="1">
        <v>4</v>
      </c>
      <c r="AN97" s="1">
        <v>4</v>
      </c>
      <c r="AO97" s="1">
        <v>3</v>
      </c>
      <c r="AP97" s="1">
        <v>4</v>
      </c>
      <c r="AQ97" s="1">
        <v>5</v>
      </c>
      <c r="AR97" s="1">
        <v>4</v>
      </c>
      <c r="AS97" s="1">
        <v>3</v>
      </c>
      <c r="AT97" s="1">
        <v>4</v>
      </c>
      <c r="AU97" s="1">
        <v>4</v>
      </c>
      <c r="AV97" s="1">
        <v>4</v>
      </c>
      <c r="AW97" s="1">
        <v>4</v>
      </c>
      <c r="AX97" s="1">
        <v>5</v>
      </c>
      <c r="AY97" s="1">
        <v>4</v>
      </c>
      <c r="AZ97" s="1">
        <v>4</v>
      </c>
      <c r="BA97" s="1">
        <v>4</v>
      </c>
      <c r="BB97" s="1">
        <v>4</v>
      </c>
      <c r="BC97" s="1">
        <v>3</v>
      </c>
    </row>
    <row r="98" spans="1:55">
      <c r="A98" s="1" t="s">
        <v>210</v>
      </c>
      <c r="B98" s="1" t="s">
        <v>66</v>
      </c>
      <c r="C98" s="1" t="s">
        <v>211</v>
      </c>
      <c r="D98" s="1">
        <v>2</v>
      </c>
      <c r="E98" s="1">
        <v>5</v>
      </c>
      <c r="F98" s="1">
        <v>3</v>
      </c>
      <c r="G98" s="1">
        <v>3</v>
      </c>
      <c r="H98" s="1">
        <v>2</v>
      </c>
      <c r="I98" s="1">
        <v>4</v>
      </c>
      <c r="J98" s="1">
        <v>2</v>
      </c>
      <c r="K98" s="1">
        <v>3</v>
      </c>
      <c r="L98" s="1">
        <v>2</v>
      </c>
      <c r="M98" s="1">
        <v>4</v>
      </c>
      <c r="N98" s="1">
        <v>3</v>
      </c>
      <c r="O98" s="1">
        <v>3</v>
      </c>
      <c r="P98" s="1">
        <v>3</v>
      </c>
      <c r="Q98" s="1">
        <v>3</v>
      </c>
      <c r="R98" s="1">
        <v>4</v>
      </c>
      <c r="S98" s="1">
        <v>2</v>
      </c>
      <c r="T98" s="1">
        <v>4</v>
      </c>
      <c r="U98" s="1">
        <v>3</v>
      </c>
      <c r="V98" s="1">
        <v>3</v>
      </c>
      <c r="W98" s="1">
        <v>3</v>
      </c>
      <c r="X98" s="1">
        <v>3</v>
      </c>
      <c r="Y98" s="1">
        <v>3</v>
      </c>
      <c r="Z98" s="1">
        <v>3</v>
      </c>
      <c r="AA98" s="1">
        <v>3</v>
      </c>
      <c r="AB98" s="1">
        <v>2</v>
      </c>
      <c r="AC98" s="1">
        <v>4</v>
      </c>
      <c r="AD98" s="1">
        <v>3</v>
      </c>
      <c r="AE98" s="1">
        <v>4</v>
      </c>
      <c r="AF98" s="1">
        <v>3</v>
      </c>
      <c r="AG98" s="1">
        <v>2</v>
      </c>
      <c r="AH98" s="1">
        <v>3</v>
      </c>
      <c r="AI98" s="1">
        <v>3</v>
      </c>
      <c r="AJ98" s="1">
        <v>3</v>
      </c>
      <c r="AK98" s="1">
        <v>3</v>
      </c>
      <c r="AL98" s="1">
        <v>3</v>
      </c>
      <c r="AM98" s="1">
        <v>4</v>
      </c>
      <c r="AN98" s="1">
        <v>3</v>
      </c>
      <c r="AO98" s="1">
        <v>2</v>
      </c>
      <c r="AP98" s="1">
        <v>3</v>
      </c>
      <c r="AQ98" s="1">
        <v>3</v>
      </c>
      <c r="AR98" s="1">
        <v>3</v>
      </c>
      <c r="AS98" s="1">
        <v>4</v>
      </c>
      <c r="AT98" s="1">
        <v>3</v>
      </c>
      <c r="AU98" s="1">
        <v>4</v>
      </c>
      <c r="AV98" s="1">
        <v>3</v>
      </c>
      <c r="AW98" s="1">
        <v>4</v>
      </c>
      <c r="AX98" s="1">
        <v>4</v>
      </c>
      <c r="AY98" s="1">
        <v>4</v>
      </c>
      <c r="AZ98" s="1">
        <v>2</v>
      </c>
      <c r="BA98" s="1">
        <v>3</v>
      </c>
      <c r="BB98" s="1">
        <v>4</v>
      </c>
      <c r="BC98" s="1">
        <v>4</v>
      </c>
    </row>
    <row r="99" spans="1:55">
      <c r="A99" s="1" t="s">
        <v>212</v>
      </c>
      <c r="B99" s="1" t="s">
        <v>66</v>
      </c>
      <c r="C99" s="1" t="s">
        <v>211</v>
      </c>
      <c r="D99" s="1">
        <v>3</v>
      </c>
      <c r="E99" s="1">
        <v>4</v>
      </c>
      <c r="F99" s="1">
        <v>4</v>
      </c>
      <c r="G99" s="1">
        <v>3</v>
      </c>
      <c r="H99" s="1">
        <v>5</v>
      </c>
      <c r="I99" s="1">
        <v>4</v>
      </c>
      <c r="J99" s="1">
        <v>5</v>
      </c>
      <c r="K99" s="1">
        <v>3</v>
      </c>
      <c r="L99" s="1">
        <v>3</v>
      </c>
      <c r="M99" s="1">
        <v>3</v>
      </c>
      <c r="N99" s="1">
        <v>4</v>
      </c>
      <c r="O99" s="1">
        <v>4</v>
      </c>
      <c r="P99" s="1">
        <v>3</v>
      </c>
      <c r="Q99" s="1">
        <v>4</v>
      </c>
      <c r="R99" s="1">
        <v>3</v>
      </c>
      <c r="S99" s="1">
        <v>2</v>
      </c>
      <c r="T99" s="1">
        <v>3</v>
      </c>
      <c r="U99" s="1">
        <v>3</v>
      </c>
      <c r="V99" s="1">
        <v>5</v>
      </c>
      <c r="W99" s="1">
        <v>3</v>
      </c>
      <c r="X99" s="1">
        <v>2</v>
      </c>
      <c r="Y99" s="1">
        <v>4</v>
      </c>
      <c r="Z99" s="1">
        <v>3</v>
      </c>
      <c r="AA99" s="1">
        <v>2</v>
      </c>
      <c r="AB99" s="1">
        <v>3</v>
      </c>
      <c r="AC99" s="1">
        <v>2</v>
      </c>
      <c r="AD99" s="1">
        <v>4</v>
      </c>
      <c r="AE99" s="1">
        <v>3</v>
      </c>
      <c r="AF99" s="1">
        <v>3</v>
      </c>
      <c r="AG99" s="1">
        <v>4</v>
      </c>
      <c r="AH99" s="1">
        <v>5</v>
      </c>
      <c r="AI99" s="1">
        <v>5</v>
      </c>
      <c r="AJ99" s="1">
        <v>4</v>
      </c>
      <c r="AK99" s="1">
        <v>3</v>
      </c>
      <c r="AL99" s="1">
        <v>3</v>
      </c>
      <c r="AM99" s="1">
        <v>3</v>
      </c>
      <c r="AN99" s="1">
        <v>5</v>
      </c>
      <c r="AO99" s="1">
        <v>4</v>
      </c>
      <c r="AP99" s="1">
        <v>4</v>
      </c>
      <c r="AQ99" s="1">
        <v>3</v>
      </c>
      <c r="AR99" s="1">
        <v>3</v>
      </c>
      <c r="AS99" s="1">
        <v>3</v>
      </c>
      <c r="AT99" s="1">
        <v>3</v>
      </c>
      <c r="AU99" s="1">
        <v>3</v>
      </c>
      <c r="AV99" s="1">
        <v>4</v>
      </c>
      <c r="AW99" s="1">
        <v>3</v>
      </c>
      <c r="AX99" s="1">
        <v>3</v>
      </c>
      <c r="AY99" s="1">
        <v>4</v>
      </c>
      <c r="AZ99" s="1">
        <v>3</v>
      </c>
      <c r="BA99" s="1">
        <v>3</v>
      </c>
      <c r="BB99" s="1">
        <v>4</v>
      </c>
      <c r="BC99" s="1">
        <v>2</v>
      </c>
    </row>
    <row r="100" spans="1:55">
      <c r="A100" s="1" t="s">
        <v>213</v>
      </c>
      <c r="B100" s="1" t="s">
        <v>66</v>
      </c>
      <c r="C100" s="1" t="s">
        <v>214</v>
      </c>
      <c r="D100" s="1">
        <v>3</v>
      </c>
      <c r="E100" s="1">
        <v>3</v>
      </c>
      <c r="F100" s="1">
        <v>3</v>
      </c>
      <c r="G100" s="1">
        <v>3</v>
      </c>
      <c r="H100" s="1">
        <v>4</v>
      </c>
      <c r="I100" s="1">
        <v>3</v>
      </c>
      <c r="J100" s="1">
        <v>2</v>
      </c>
      <c r="K100" s="1">
        <v>3</v>
      </c>
      <c r="L100" s="1">
        <v>2</v>
      </c>
      <c r="M100" s="1">
        <v>3</v>
      </c>
      <c r="N100" s="1">
        <v>3</v>
      </c>
      <c r="O100" s="1">
        <v>4</v>
      </c>
      <c r="P100" s="1">
        <v>3</v>
      </c>
      <c r="Q100" s="1">
        <v>3</v>
      </c>
      <c r="R100" s="1">
        <v>3</v>
      </c>
      <c r="S100" s="1">
        <v>3</v>
      </c>
      <c r="T100" s="1">
        <v>3</v>
      </c>
      <c r="U100" s="1">
        <v>3</v>
      </c>
      <c r="V100" s="1">
        <v>4</v>
      </c>
      <c r="W100" s="1">
        <v>3</v>
      </c>
      <c r="X100" s="1">
        <v>2</v>
      </c>
      <c r="Y100" s="1">
        <v>3</v>
      </c>
      <c r="Z100" s="1">
        <v>3</v>
      </c>
      <c r="AA100" s="1">
        <v>3</v>
      </c>
      <c r="AB100" s="1">
        <v>3</v>
      </c>
      <c r="AC100" s="1">
        <v>3</v>
      </c>
      <c r="AD100" s="1">
        <v>4</v>
      </c>
      <c r="AE100" s="1">
        <v>3</v>
      </c>
      <c r="AF100" s="1">
        <v>3</v>
      </c>
      <c r="AG100" s="1">
        <v>2</v>
      </c>
      <c r="AH100" s="1">
        <v>4</v>
      </c>
      <c r="AI100" s="1">
        <v>3</v>
      </c>
      <c r="AJ100" s="1">
        <v>3</v>
      </c>
      <c r="AK100" s="1">
        <v>3</v>
      </c>
      <c r="AL100" s="1">
        <v>4</v>
      </c>
      <c r="AM100" s="1">
        <v>3</v>
      </c>
      <c r="AN100" s="1">
        <v>4</v>
      </c>
      <c r="AO100" s="1">
        <v>3</v>
      </c>
      <c r="AP100" s="1">
        <v>3</v>
      </c>
      <c r="AQ100" s="1">
        <v>2</v>
      </c>
      <c r="AR100" s="1">
        <v>4</v>
      </c>
      <c r="AS100" s="1">
        <v>4</v>
      </c>
      <c r="AT100" s="1">
        <v>3</v>
      </c>
      <c r="AU100" s="1">
        <v>4</v>
      </c>
      <c r="AV100" s="1">
        <v>4</v>
      </c>
      <c r="AW100" s="1">
        <v>3</v>
      </c>
      <c r="AX100" s="1">
        <v>4</v>
      </c>
      <c r="AY100" s="1">
        <v>3</v>
      </c>
      <c r="AZ100" s="1">
        <v>2</v>
      </c>
      <c r="BA100" s="1">
        <v>3</v>
      </c>
      <c r="BB100" s="1">
        <v>4</v>
      </c>
      <c r="BC100" s="1">
        <v>2</v>
      </c>
    </row>
    <row r="101" spans="1:55">
      <c r="A101" s="1" t="s">
        <v>215</v>
      </c>
      <c r="B101" s="1" t="s">
        <v>66</v>
      </c>
      <c r="C101" s="1" t="s">
        <v>214</v>
      </c>
      <c r="D101" s="1">
        <v>3</v>
      </c>
      <c r="E101" s="1">
        <v>3</v>
      </c>
      <c r="F101" s="1">
        <v>2</v>
      </c>
      <c r="G101" s="1">
        <v>2</v>
      </c>
      <c r="H101" s="1">
        <v>4</v>
      </c>
      <c r="I101" s="1">
        <v>5</v>
      </c>
      <c r="J101" s="1">
        <v>4</v>
      </c>
      <c r="K101" s="1">
        <v>3</v>
      </c>
      <c r="L101" s="1">
        <v>3</v>
      </c>
      <c r="M101" s="1">
        <v>2</v>
      </c>
      <c r="N101" s="1">
        <v>4</v>
      </c>
      <c r="O101" s="1">
        <v>3</v>
      </c>
      <c r="P101" s="1">
        <v>3</v>
      </c>
      <c r="Q101" s="1">
        <v>3</v>
      </c>
      <c r="R101" s="1">
        <v>3</v>
      </c>
      <c r="S101" s="1">
        <v>3</v>
      </c>
      <c r="T101" s="1">
        <v>3</v>
      </c>
      <c r="U101" s="1">
        <v>3</v>
      </c>
      <c r="V101" s="1">
        <v>4</v>
      </c>
      <c r="W101" s="1">
        <v>2</v>
      </c>
      <c r="X101" s="1">
        <v>3</v>
      </c>
      <c r="Y101" s="1">
        <v>3</v>
      </c>
      <c r="Z101" s="1">
        <v>2</v>
      </c>
      <c r="AA101" s="1">
        <v>3</v>
      </c>
      <c r="AB101" s="1">
        <v>3</v>
      </c>
      <c r="AC101" s="1">
        <v>2</v>
      </c>
      <c r="AD101" s="1">
        <v>3</v>
      </c>
      <c r="AE101" s="1">
        <v>3</v>
      </c>
      <c r="AF101" s="1">
        <v>2</v>
      </c>
      <c r="AG101" s="1">
        <v>2</v>
      </c>
      <c r="AH101" s="1">
        <v>5</v>
      </c>
      <c r="AI101" s="1">
        <v>4</v>
      </c>
      <c r="AJ101" s="1">
        <v>5</v>
      </c>
      <c r="AK101" s="1">
        <v>3</v>
      </c>
      <c r="AL101" s="1">
        <v>3</v>
      </c>
      <c r="AM101" s="1">
        <v>3</v>
      </c>
      <c r="AN101" s="1">
        <v>4</v>
      </c>
      <c r="AO101" s="1">
        <v>4</v>
      </c>
      <c r="AP101" s="1">
        <v>3</v>
      </c>
      <c r="AQ101" s="1">
        <v>3</v>
      </c>
      <c r="AR101" s="1">
        <v>4</v>
      </c>
      <c r="AS101" s="1">
        <v>4</v>
      </c>
      <c r="AT101" s="1">
        <v>4</v>
      </c>
      <c r="AU101" s="1">
        <v>3</v>
      </c>
      <c r="AV101" s="1">
        <v>4</v>
      </c>
      <c r="AW101" s="1">
        <v>4</v>
      </c>
      <c r="AX101" s="1">
        <v>4</v>
      </c>
      <c r="AY101" s="1">
        <v>5</v>
      </c>
      <c r="AZ101" s="1">
        <v>4</v>
      </c>
      <c r="BA101" s="1">
        <v>3</v>
      </c>
      <c r="BB101" s="1">
        <v>3</v>
      </c>
      <c r="BC101" s="1">
        <v>1</v>
      </c>
    </row>
    <row r="102" spans="1:55">
      <c r="A102" s="1" t="s">
        <v>216</v>
      </c>
      <c r="B102" s="1" t="s">
        <v>66</v>
      </c>
      <c r="C102" s="1" t="s">
        <v>217</v>
      </c>
      <c r="D102" s="1">
        <v>3</v>
      </c>
      <c r="E102" s="1">
        <v>3</v>
      </c>
      <c r="F102" s="1">
        <v>4</v>
      </c>
      <c r="G102" s="1">
        <v>4</v>
      </c>
      <c r="H102" s="1">
        <v>3</v>
      </c>
      <c r="I102" s="1">
        <v>3</v>
      </c>
      <c r="J102" s="1">
        <v>2</v>
      </c>
      <c r="K102" s="1">
        <v>2</v>
      </c>
      <c r="L102" s="1">
        <v>3</v>
      </c>
      <c r="M102" s="1">
        <v>2</v>
      </c>
      <c r="N102" s="1">
        <v>3</v>
      </c>
      <c r="O102" s="1">
        <v>2</v>
      </c>
      <c r="P102" s="1">
        <v>3</v>
      </c>
      <c r="Q102" s="1">
        <v>2</v>
      </c>
      <c r="R102" s="1">
        <v>2</v>
      </c>
      <c r="S102" s="1">
        <v>2</v>
      </c>
      <c r="T102" s="1">
        <v>2</v>
      </c>
      <c r="U102" s="1">
        <v>2</v>
      </c>
      <c r="V102" s="1">
        <v>2</v>
      </c>
      <c r="W102" s="1">
        <v>3</v>
      </c>
      <c r="X102" s="1">
        <v>3</v>
      </c>
      <c r="Y102" s="1">
        <v>3</v>
      </c>
      <c r="Z102" s="1">
        <v>2</v>
      </c>
      <c r="AA102" s="1">
        <v>3</v>
      </c>
      <c r="AB102" s="1">
        <v>2</v>
      </c>
      <c r="AC102" s="1">
        <v>3</v>
      </c>
      <c r="AD102" s="1">
        <v>3</v>
      </c>
      <c r="AE102" s="1">
        <v>2</v>
      </c>
      <c r="AF102" s="1">
        <v>3</v>
      </c>
      <c r="AG102" s="1">
        <v>3</v>
      </c>
      <c r="AH102" s="1">
        <v>3</v>
      </c>
      <c r="AI102" s="1">
        <v>3</v>
      </c>
      <c r="AJ102" s="1">
        <v>2</v>
      </c>
      <c r="AK102" s="1">
        <v>3</v>
      </c>
      <c r="AL102" s="1">
        <v>2</v>
      </c>
      <c r="AM102" s="1">
        <v>1</v>
      </c>
      <c r="AN102" s="1">
        <v>3</v>
      </c>
      <c r="AO102" s="1">
        <v>2</v>
      </c>
      <c r="AP102" s="1">
        <v>3</v>
      </c>
      <c r="AQ102" s="1">
        <v>3</v>
      </c>
      <c r="AR102" s="1">
        <v>2</v>
      </c>
      <c r="AS102" s="1">
        <v>3</v>
      </c>
      <c r="AT102" s="1">
        <v>3</v>
      </c>
      <c r="AU102" s="1">
        <v>3</v>
      </c>
      <c r="AV102" s="1">
        <v>3</v>
      </c>
      <c r="AW102" s="1">
        <v>5</v>
      </c>
      <c r="AX102" s="1">
        <v>4</v>
      </c>
      <c r="AY102" s="1">
        <v>4</v>
      </c>
      <c r="AZ102" s="1">
        <v>3</v>
      </c>
      <c r="BA102" s="1">
        <v>2</v>
      </c>
      <c r="BB102" s="1">
        <v>3</v>
      </c>
      <c r="BC102" s="1">
        <v>3</v>
      </c>
    </row>
    <row r="103" spans="1:55">
      <c r="A103" s="1" t="s">
        <v>218</v>
      </c>
      <c r="B103" s="1" t="s">
        <v>66</v>
      </c>
      <c r="C103" s="1" t="s">
        <v>217</v>
      </c>
      <c r="D103" s="1">
        <v>3</v>
      </c>
      <c r="E103" s="1">
        <v>3</v>
      </c>
      <c r="F103" s="1">
        <v>3</v>
      </c>
      <c r="G103" s="1">
        <v>2</v>
      </c>
      <c r="H103" s="1">
        <v>2</v>
      </c>
      <c r="I103" s="1">
        <v>2</v>
      </c>
      <c r="J103" s="1">
        <v>3</v>
      </c>
      <c r="K103" s="1">
        <v>3</v>
      </c>
      <c r="L103" s="1">
        <v>3</v>
      </c>
      <c r="M103" s="1">
        <v>3</v>
      </c>
      <c r="N103" s="1">
        <v>2</v>
      </c>
      <c r="O103" s="1">
        <v>3</v>
      </c>
      <c r="P103" s="1">
        <v>3</v>
      </c>
      <c r="Q103" s="1">
        <v>2</v>
      </c>
      <c r="R103" s="1">
        <v>3</v>
      </c>
      <c r="S103" s="1">
        <v>2</v>
      </c>
      <c r="T103" s="1">
        <v>2</v>
      </c>
      <c r="U103" s="1">
        <v>3</v>
      </c>
      <c r="V103" s="1">
        <v>2</v>
      </c>
      <c r="W103" s="1">
        <v>3</v>
      </c>
      <c r="X103" s="1">
        <v>2</v>
      </c>
      <c r="Y103" s="1">
        <v>3</v>
      </c>
      <c r="Z103" s="1">
        <v>3</v>
      </c>
      <c r="AA103" s="1">
        <v>2</v>
      </c>
      <c r="AB103" s="1">
        <v>2</v>
      </c>
      <c r="AC103" s="1">
        <v>4</v>
      </c>
      <c r="AD103" s="1">
        <v>4</v>
      </c>
      <c r="AE103" s="1">
        <v>4</v>
      </c>
      <c r="AF103" s="1">
        <v>3</v>
      </c>
      <c r="AG103" s="1">
        <v>3</v>
      </c>
      <c r="AH103" s="1">
        <v>3</v>
      </c>
      <c r="AI103" s="1">
        <v>3</v>
      </c>
      <c r="AJ103" s="1">
        <v>2</v>
      </c>
      <c r="AK103" s="1">
        <v>4</v>
      </c>
      <c r="AL103" s="1">
        <v>3</v>
      </c>
      <c r="AM103" s="1">
        <v>3</v>
      </c>
      <c r="AN103" s="1">
        <v>2</v>
      </c>
      <c r="AO103" s="1">
        <v>3</v>
      </c>
      <c r="AP103" s="1">
        <v>3</v>
      </c>
      <c r="AQ103" s="1">
        <v>3</v>
      </c>
      <c r="AR103" s="1">
        <v>4</v>
      </c>
      <c r="AS103" s="1">
        <v>3</v>
      </c>
      <c r="AT103" s="1">
        <v>3</v>
      </c>
      <c r="AU103" s="1">
        <v>2</v>
      </c>
      <c r="AV103" s="1">
        <v>3</v>
      </c>
      <c r="AW103" s="1">
        <v>3</v>
      </c>
      <c r="AX103" s="1">
        <v>2</v>
      </c>
      <c r="AY103" s="1">
        <v>3</v>
      </c>
      <c r="AZ103" s="1">
        <v>3</v>
      </c>
      <c r="BA103" s="1">
        <v>2</v>
      </c>
      <c r="BB103" s="1">
        <v>4</v>
      </c>
      <c r="BC103" s="1">
        <v>2</v>
      </c>
    </row>
    <row r="104" spans="1:55">
      <c r="A104" s="1" t="s">
        <v>219</v>
      </c>
      <c r="B104" s="1" t="s">
        <v>66</v>
      </c>
      <c r="C104" s="1" t="s">
        <v>220</v>
      </c>
      <c r="D104" s="1">
        <v>2</v>
      </c>
      <c r="E104" s="1">
        <v>3</v>
      </c>
      <c r="F104" s="1">
        <v>4</v>
      </c>
      <c r="G104" s="1">
        <v>3</v>
      </c>
      <c r="H104" s="1">
        <v>3</v>
      </c>
      <c r="I104" s="1">
        <v>4</v>
      </c>
      <c r="J104" s="1">
        <v>2</v>
      </c>
      <c r="K104" s="1">
        <v>2</v>
      </c>
      <c r="L104" s="1">
        <v>3</v>
      </c>
      <c r="M104" s="1">
        <v>4</v>
      </c>
      <c r="N104" s="1">
        <v>3</v>
      </c>
      <c r="O104" s="1">
        <v>4</v>
      </c>
      <c r="P104" s="1">
        <v>3</v>
      </c>
      <c r="Q104" s="1">
        <v>2</v>
      </c>
      <c r="R104" s="1">
        <v>2</v>
      </c>
      <c r="S104" s="1">
        <v>2</v>
      </c>
      <c r="T104" s="1">
        <v>2</v>
      </c>
      <c r="U104" s="1">
        <v>2</v>
      </c>
      <c r="V104" s="1">
        <v>2</v>
      </c>
      <c r="W104" s="1">
        <v>2</v>
      </c>
      <c r="X104" s="1">
        <v>3</v>
      </c>
      <c r="Y104" s="1">
        <v>2</v>
      </c>
      <c r="Z104" s="1">
        <v>3</v>
      </c>
      <c r="AA104" s="1">
        <v>2</v>
      </c>
      <c r="AB104" s="1">
        <v>3</v>
      </c>
      <c r="AC104" s="1">
        <v>3</v>
      </c>
      <c r="AD104" s="1">
        <v>3</v>
      </c>
      <c r="AE104" s="1">
        <v>2</v>
      </c>
      <c r="AF104" s="1">
        <v>4</v>
      </c>
      <c r="AG104" s="1">
        <v>2</v>
      </c>
      <c r="AH104" s="1">
        <v>3</v>
      </c>
      <c r="AI104" s="1">
        <v>3</v>
      </c>
      <c r="AJ104" s="1">
        <v>4</v>
      </c>
      <c r="AK104" s="1">
        <v>3</v>
      </c>
      <c r="AL104" s="1">
        <v>4</v>
      </c>
      <c r="AM104" s="1">
        <v>3</v>
      </c>
      <c r="AN104" s="1">
        <v>4</v>
      </c>
      <c r="AO104" s="1">
        <v>3</v>
      </c>
      <c r="AP104" s="1">
        <v>3</v>
      </c>
      <c r="AQ104" s="1">
        <v>3</v>
      </c>
      <c r="AR104" s="1">
        <v>2</v>
      </c>
      <c r="AS104" s="1">
        <v>2</v>
      </c>
      <c r="AT104" s="1">
        <v>2</v>
      </c>
      <c r="AU104" s="1">
        <v>2</v>
      </c>
      <c r="AV104" s="1">
        <v>4</v>
      </c>
      <c r="AW104" s="1">
        <v>4</v>
      </c>
      <c r="AX104" s="1">
        <v>4</v>
      </c>
      <c r="AY104" s="1">
        <v>4</v>
      </c>
      <c r="AZ104" s="1">
        <v>4</v>
      </c>
      <c r="BA104" s="1">
        <v>2</v>
      </c>
      <c r="BB104" s="1">
        <v>3</v>
      </c>
      <c r="BC104" s="1">
        <v>3</v>
      </c>
    </row>
    <row r="105" spans="1:55">
      <c r="A105" s="1" t="s">
        <v>221</v>
      </c>
      <c r="B105" s="1" t="s">
        <v>66</v>
      </c>
      <c r="C105" s="1" t="s">
        <v>220</v>
      </c>
      <c r="D105" s="1">
        <v>4</v>
      </c>
      <c r="E105" s="1">
        <v>4</v>
      </c>
      <c r="F105" s="1">
        <v>2</v>
      </c>
      <c r="G105" s="1">
        <v>3</v>
      </c>
      <c r="H105" s="1">
        <v>3</v>
      </c>
      <c r="I105" s="1">
        <v>4</v>
      </c>
      <c r="J105" s="1">
        <v>4</v>
      </c>
      <c r="K105" s="1">
        <v>4</v>
      </c>
      <c r="L105" s="1">
        <v>4</v>
      </c>
      <c r="M105" s="1">
        <v>4</v>
      </c>
      <c r="N105" s="1">
        <v>4</v>
      </c>
      <c r="O105" s="1">
        <v>4</v>
      </c>
      <c r="P105" s="1">
        <v>4</v>
      </c>
      <c r="Q105" s="1">
        <v>3</v>
      </c>
      <c r="R105" s="1">
        <v>3</v>
      </c>
      <c r="S105" s="1">
        <v>3</v>
      </c>
      <c r="T105" s="1">
        <v>4</v>
      </c>
      <c r="U105" s="1">
        <v>4</v>
      </c>
      <c r="V105" s="1">
        <v>4</v>
      </c>
      <c r="W105" s="1">
        <v>3</v>
      </c>
      <c r="X105" s="1">
        <v>4</v>
      </c>
      <c r="Y105" s="1">
        <v>4</v>
      </c>
      <c r="Z105" s="1">
        <v>4</v>
      </c>
      <c r="AA105" s="1">
        <v>4</v>
      </c>
      <c r="AB105" s="1">
        <v>5</v>
      </c>
      <c r="AC105" s="1">
        <v>3</v>
      </c>
      <c r="AD105" s="1">
        <v>4</v>
      </c>
      <c r="AE105" s="1">
        <v>4</v>
      </c>
      <c r="AF105" s="1">
        <v>1</v>
      </c>
      <c r="AG105" s="1">
        <v>2</v>
      </c>
      <c r="AH105" s="1">
        <v>4</v>
      </c>
      <c r="AI105" s="1">
        <v>5</v>
      </c>
      <c r="AJ105" s="1">
        <v>4</v>
      </c>
      <c r="AK105" s="1">
        <v>5</v>
      </c>
      <c r="AL105" s="1">
        <v>4</v>
      </c>
      <c r="AM105" s="1">
        <v>4</v>
      </c>
      <c r="AN105" s="1">
        <v>3</v>
      </c>
      <c r="AO105" s="1">
        <v>5</v>
      </c>
      <c r="AP105" s="1">
        <v>5</v>
      </c>
      <c r="AQ105" s="1">
        <v>4</v>
      </c>
      <c r="AR105" s="1">
        <v>3</v>
      </c>
      <c r="AS105" s="1">
        <v>5</v>
      </c>
      <c r="AT105" s="1">
        <v>5</v>
      </c>
      <c r="AU105" s="1">
        <v>4</v>
      </c>
      <c r="AV105" s="1">
        <v>4</v>
      </c>
      <c r="AW105" s="1">
        <v>5</v>
      </c>
      <c r="AX105" s="1">
        <v>3</v>
      </c>
      <c r="AY105" s="1">
        <v>5</v>
      </c>
      <c r="AZ105" s="1">
        <v>5</v>
      </c>
      <c r="BA105" s="1">
        <v>5</v>
      </c>
      <c r="BB105" s="1">
        <v>4</v>
      </c>
      <c r="BC105" s="1">
        <v>2</v>
      </c>
    </row>
    <row r="106" spans="1:55">
      <c r="A106" s="1" t="s">
        <v>222</v>
      </c>
      <c r="B106" s="1" t="s">
        <v>66</v>
      </c>
      <c r="C106" s="1" t="s">
        <v>223</v>
      </c>
      <c r="D106" s="1">
        <v>3</v>
      </c>
      <c r="E106" s="1">
        <v>3</v>
      </c>
      <c r="F106" s="1">
        <v>3</v>
      </c>
      <c r="G106" s="1">
        <v>3</v>
      </c>
      <c r="H106" s="1">
        <v>4</v>
      </c>
      <c r="I106" s="1">
        <v>4</v>
      </c>
      <c r="J106" s="1">
        <v>4</v>
      </c>
      <c r="K106" s="1">
        <v>3</v>
      </c>
      <c r="L106" s="1">
        <v>3</v>
      </c>
      <c r="M106" s="1">
        <v>3</v>
      </c>
      <c r="N106" s="1">
        <v>3</v>
      </c>
      <c r="O106" s="1">
        <v>3</v>
      </c>
      <c r="P106" s="1">
        <v>3</v>
      </c>
      <c r="Q106" s="1">
        <v>4</v>
      </c>
      <c r="R106" s="1">
        <v>3</v>
      </c>
      <c r="S106" s="1">
        <v>3</v>
      </c>
      <c r="T106" s="1">
        <v>3</v>
      </c>
      <c r="U106" s="1">
        <v>3</v>
      </c>
      <c r="V106" s="1">
        <v>4</v>
      </c>
      <c r="W106" s="1">
        <v>3</v>
      </c>
      <c r="X106" s="1">
        <v>4</v>
      </c>
      <c r="Y106" s="1">
        <v>4</v>
      </c>
      <c r="Z106" s="1">
        <v>4</v>
      </c>
      <c r="AA106" s="1">
        <v>4</v>
      </c>
      <c r="AB106" s="1">
        <v>4</v>
      </c>
      <c r="AC106" s="1">
        <v>2</v>
      </c>
      <c r="AD106" s="1">
        <v>4</v>
      </c>
      <c r="AE106" s="1">
        <v>3</v>
      </c>
      <c r="AF106" s="1">
        <v>2</v>
      </c>
      <c r="AG106" s="1">
        <v>3</v>
      </c>
      <c r="AH106" s="1">
        <v>4</v>
      </c>
      <c r="AI106" s="1">
        <v>3</v>
      </c>
      <c r="AJ106" s="1">
        <v>4</v>
      </c>
      <c r="AK106" s="1">
        <v>2</v>
      </c>
      <c r="AL106" s="1">
        <v>3</v>
      </c>
      <c r="AM106" s="1">
        <v>3</v>
      </c>
      <c r="AN106" s="1">
        <v>4</v>
      </c>
      <c r="AO106" s="1">
        <v>3</v>
      </c>
      <c r="AP106" s="1">
        <v>4</v>
      </c>
      <c r="AQ106" s="1">
        <v>3</v>
      </c>
      <c r="AR106" s="1">
        <v>2</v>
      </c>
      <c r="AS106" s="1">
        <v>3</v>
      </c>
      <c r="AT106" s="1">
        <v>4</v>
      </c>
      <c r="AU106" s="1">
        <v>3</v>
      </c>
      <c r="AV106" s="1">
        <v>4</v>
      </c>
      <c r="AW106" s="1">
        <v>5</v>
      </c>
      <c r="AX106" s="1">
        <v>4</v>
      </c>
      <c r="AY106" s="1">
        <v>4</v>
      </c>
      <c r="AZ106" s="1">
        <v>4</v>
      </c>
      <c r="BA106" s="1">
        <v>3</v>
      </c>
      <c r="BB106" s="1">
        <v>3</v>
      </c>
      <c r="BC106" s="1">
        <v>2</v>
      </c>
    </row>
    <row r="107" spans="1:55">
      <c r="A107" s="1" t="s">
        <v>224</v>
      </c>
      <c r="B107" s="1" t="s">
        <v>66</v>
      </c>
      <c r="C107" s="1" t="s">
        <v>223</v>
      </c>
      <c r="D107" s="1">
        <v>3</v>
      </c>
      <c r="E107" s="1">
        <v>3</v>
      </c>
      <c r="F107" s="1">
        <v>3</v>
      </c>
      <c r="G107" s="1">
        <v>3</v>
      </c>
      <c r="H107" s="1">
        <v>3</v>
      </c>
      <c r="I107" s="1">
        <v>1</v>
      </c>
      <c r="J107" s="1">
        <v>3</v>
      </c>
      <c r="K107" s="1">
        <v>3</v>
      </c>
      <c r="L107" s="1">
        <v>2</v>
      </c>
      <c r="M107" s="1">
        <v>3</v>
      </c>
      <c r="N107" s="1">
        <v>1</v>
      </c>
      <c r="O107" s="1">
        <v>3</v>
      </c>
      <c r="P107" s="1">
        <v>2</v>
      </c>
      <c r="Q107" s="1">
        <v>2</v>
      </c>
      <c r="R107" s="1">
        <v>3</v>
      </c>
      <c r="S107" s="1">
        <v>2</v>
      </c>
      <c r="T107" s="1">
        <v>3</v>
      </c>
      <c r="U107" s="1">
        <v>3</v>
      </c>
      <c r="V107" s="1">
        <v>2</v>
      </c>
      <c r="W107" s="1">
        <v>3</v>
      </c>
      <c r="X107" s="1">
        <v>2</v>
      </c>
      <c r="Y107" s="1">
        <v>4</v>
      </c>
      <c r="Z107" s="1">
        <v>2</v>
      </c>
      <c r="AA107" s="1">
        <v>3</v>
      </c>
      <c r="AB107" s="1">
        <v>2</v>
      </c>
      <c r="AC107" s="1">
        <v>4</v>
      </c>
      <c r="AD107" s="1">
        <v>2</v>
      </c>
      <c r="AE107" s="1">
        <v>3</v>
      </c>
      <c r="AF107" s="1">
        <v>3</v>
      </c>
      <c r="AG107" s="1">
        <v>4</v>
      </c>
      <c r="AH107" s="1">
        <v>4</v>
      </c>
      <c r="AI107" s="1">
        <v>2</v>
      </c>
      <c r="AJ107" s="1">
        <v>2</v>
      </c>
      <c r="AK107" s="1">
        <v>2</v>
      </c>
      <c r="AL107" s="1">
        <v>3</v>
      </c>
      <c r="AM107" s="1">
        <v>3</v>
      </c>
      <c r="AN107" s="1">
        <v>1</v>
      </c>
      <c r="AO107" s="1">
        <v>3</v>
      </c>
      <c r="AP107" s="1">
        <v>3</v>
      </c>
      <c r="AQ107" s="1">
        <v>3</v>
      </c>
      <c r="AR107" s="1">
        <v>4</v>
      </c>
      <c r="AS107" s="1">
        <v>4</v>
      </c>
      <c r="AT107" s="1">
        <v>4</v>
      </c>
      <c r="AU107" s="1">
        <v>3</v>
      </c>
      <c r="AV107" s="1">
        <v>2</v>
      </c>
      <c r="AW107" s="1">
        <v>4</v>
      </c>
      <c r="AX107" s="1">
        <v>3</v>
      </c>
      <c r="AY107" s="1">
        <v>4</v>
      </c>
      <c r="AZ107" s="1">
        <v>3</v>
      </c>
      <c r="BA107" s="1">
        <v>2</v>
      </c>
      <c r="BB107" s="1">
        <v>3</v>
      </c>
      <c r="BC107" s="1">
        <v>3</v>
      </c>
    </row>
    <row r="108" spans="1:55">
      <c r="A108" s="1" t="s">
        <v>225</v>
      </c>
      <c r="B108" s="1" t="s">
        <v>66</v>
      </c>
      <c r="C108" s="1" t="s">
        <v>226</v>
      </c>
      <c r="D108" s="1">
        <v>3</v>
      </c>
      <c r="E108" s="1">
        <v>3</v>
      </c>
      <c r="F108" s="1">
        <v>3</v>
      </c>
      <c r="G108" s="1">
        <v>2</v>
      </c>
      <c r="H108" s="1">
        <v>3</v>
      </c>
      <c r="I108" s="1">
        <v>2</v>
      </c>
      <c r="J108" s="1">
        <v>3</v>
      </c>
      <c r="K108" s="1">
        <v>3</v>
      </c>
      <c r="L108" s="1">
        <v>3</v>
      </c>
      <c r="M108" s="1">
        <v>4</v>
      </c>
      <c r="N108" s="1">
        <v>2</v>
      </c>
      <c r="O108" s="1">
        <v>3</v>
      </c>
      <c r="P108" s="1">
        <v>4</v>
      </c>
      <c r="Q108" s="1">
        <v>3</v>
      </c>
      <c r="R108" s="1">
        <v>3</v>
      </c>
      <c r="S108" s="1">
        <v>4</v>
      </c>
      <c r="T108" s="1">
        <v>3</v>
      </c>
      <c r="U108" s="1">
        <v>3</v>
      </c>
      <c r="V108" s="1">
        <v>3</v>
      </c>
      <c r="W108" s="1">
        <v>2</v>
      </c>
      <c r="X108" s="1">
        <v>2</v>
      </c>
      <c r="Y108" s="1">
        <v>2</v>
      </c>
      <c r="Z108" s="1">
        <v>2</v>
      </c>
      <c r="AA108" s="1">
        <v>3</v>
      </c>
      <c r="AB108" s="1">
        <v>3</v>
      </c>
      <c r="AC108" s="1">
        <v>5</v>
      </c>
      <c r="AD108" s="1">
        <v>2</v>
      </c>
      <c r="AE108" s="1">
        <v>4</v>
      </c>
      <c r="AF108" s="1">
        <v>2</v>
      </c>
      <c r="AG108" s="1">
        <v>1</v>
      </c>
      <c r="AH108" s="1">
        <v>3</v>
      </c>
      <c r="AI108" s="1">
        <v>3</v>
      </c>
      <c r="AJ108" s="1">
        <v>3</v>
      </c>
      <c r="AK108" s="1">
        <v>3</v>
      </c>
      <c r="AL108" s="1">
        <v>3</v>
      </c>
      <c r="AM108" s="1">
        <v>3</v>
      </c>
      <c r="AN108" s="1">
        <v>3</v>
      </c>
      <c r="AO108" s="1">
        <v>4</v>
      </c>
      <c r="AP108" s="1">
        <v>3</v>
      </c>
      <c r="AQ108" s="1">
        <v>3</v>
      </c>
      <c r="AR108" s="1">
        <v>4</v>
      </c>
      <c r="AS108" s="1">
        <v>4</v>
      </c>
      <c r="AT108" s="1">
        <v>5</v>
      </c>
      <c r="AU108" s="1">
        <v>4</v>
      </c>
      <c r="AV108" s="1">
        <v>3</v>
      </c>
      <c r="AW108" s="1">
        <v>2</v>
      </c>
      <c r="AX108" s="1">
        <v>3</v>
      </c>
      <c r="AY108" s="1">
        <v>3</v>
      </c>
      <c r="AZ108" s="1">
        <v>3</v>
      </c>
      <c r="BA108" s="1">
        <v>4</v>
      </c>
      <c r="BB108" s="1">
        <v>3</v>
      </c>
      <c r="BC108" s="1">
        <v>3</v>
      </c>
    </row>
    <row r="109" spans="1:55">
      <c r="A109" s="1" t="s">
        <v>227</v>
      </c>
      <c r="B109" s="1" t="s">
        <v>66</v>
      </c>
      <c r="C109" s="1" t="s">
        <v>226</v>
      </c>
      <c r="D109" s="1">
        <v>4</v>
      </c>
      <c r="E109" s="1">
        <v>3</v>
      </c>
      <c r="F109" s="1">
        <v>3</v>
      </c>
      <c r="G109" s="1">
        <v>3</v>
      </c>
      <c r="H109" s="1">
        <v>2</v>
      </c>
      <c r="I109" s="1">
        <v>4</v>
      </c>
      <c r="J109" s="1">
        <v>2</v>
      </c>
      <c r="K109" s="1">
        <v>3</v>
      </c>
      <c r="L109" s="1">
        <v>4</v>
      </c>
      <c r="M109" s="1">
        <v>3</v>
      </c>
      <c r="N109" s="1">
        <v>4</v>
      </c>
      <c r="O109" s="1">
        <v>3</v>
      </c>
      <c r="P109" s="1">
        <v>3</v>
      </c>
      <c r="Q109" s="1">
        <v>4</v>
      </c>
      <c r="R109" s="1">
        <v>3</v>
      </c>
      <c r="S109" s="1">
        <v>4</v>
      </c>
      <c r="T109" s="1">
        <v>3</v>
      </c>
      <c r="U109" s="1">
        <v>3</v>
      </c>
      <c r="V109" s="1">
        <v>4</v>
      </c>
      <c r="W109" s="1">
        <v>3</v>
      </c>
      <c r="X109" s="1">
        <v>3</v>
      </c>
      <c r="Y109" s="1">
        <v>3</v>
      </c>
      <c r="Z109" s="1">
        <v>4</v>
      </c>
      <c r="AA109" s="1">
        <v>4</v>
      </c>
      <c r="AB109" s="1">
        <v>3</v>
      </c>
      <c r="AC109" s="1">
        <v>4</v>
      </c>
      <c r="AD109" s="1">
        <v>4</v>
      </c>
      <c r="AE109" s="1">
        <v>3</v>
      </c>
      <c r="AF109" s="1">
        <v>2</v>
      </c>
      <c r="AG109" s="1">
        <v>2</v>
      </c>
      <c r="AH109" s="1">
        <v>4</v>
      </c>
      <c r="AI109" s="1">
        <v>4</v>
      </c>
      <c r="AJ109" s="1">
        <v>5</v>
      </c>
      <c r="AK109" s="1">
        <v>4</v>
      </c>
      <c r="AL109" s="1">
        <v>4</v>
      </c>
      <c r="AM109" s="1">
        <v>3</v>
      </c>
      <c r="AN109" s="1">
        <v>5</v>
      </c>
      <c r="AO109" s="1">
        <v>4</v>
      </c>
      <c r="AP109" s="1">
        <v>5</v>
      </c>
      <c r="AQ109" s="1">
        <v>4</v>
      </c>
      <c r="AR109" s="1">
        <v>4</v>
      </c>
      <c r="AS109" s="1">
        <v>3</v>
      </c>
      <c r="AT109" s="1">
        <v>4</v>
      </c>
      <c r="AU109" s="1">
        <v>4</v>
      </c>
      <c r="AV109" s="1">
        <v>4</v>
      </c>
      <c r="AW109" s="1">
        <v>3</v>
      </c>
      <c r="AX109" s="1">
        <v>4</v>
      </c>
      <c r="AY109" s="1">
        <v>3</v>
      </c>
      <c r="AZ109" s="1">
        <v>5</v>
      </c>
      <c r="BA109" s="1">
        <v>4</v>
      </c>
      <c r="BB109" s="1">
        <v>5</v>
      </c>
      <c r="BC109" s="1">
        <v>2</v>
      </c>
    </row>
    <row r="110" spans="1:55">
      <c r="A110" s="1" t="s">
        <v>228</v>
      </c>
      <c r="B110" s="1" t="s">
        <v>66</v>
      </c>
      <c r="C110" s="1" t="s">
        <v>229</v>
      </c>
      <c r="D110" s="1">
        <v>3</v>
      </c>
      <c r="E110" s="1">
        <v>2</v>
      </c>
      <c r="F110" s="1">
        <v>3</v>
      </c>
      <c r="G110" s="1">
        <v>5</v>
      </c>
      <c r="H110" s="1">
        <v>3</v>
      </c>
      <c r="I110" s="1">
        <v>2</v>
      </c>
      <c r="J110" s="1">
        <v>1</v>
      </c>
      <c r="K110" s="1">
        <v>4</v>
      </c>
      <c r="L110" s="1">
        <v>4</v>
      </c>
      <c r="M110" s="1">
        <v>3</v>
      </c>
      <c r="N110" s="1">
        <v>3</v>
      </c>
      <c r="O110" s="1">
        <v>3</v>
      </c>
      <c r="P110" s="1">
        <v>2</v>
      </c>
      <c r="Q110" s="1">
        <v>3</v>
      </c>
      <c r="R110" s="1">
        <v>3</v>
      </c>
      <c r="S110" s="1">
        <v>2</v>
      </c>
      <c r="T110" s="1">
        <v>3</v>
      </c>
      <c r="U110" s="1">
        <v>2</v>
      </c>
      <c r="V110" s="1">
        <v>2</v>
      </c>
      <c r="W110" s="1">
        <v>2</v>
      </c>
      <c r="X110" s="1">
        <v>3</v>
      </c>
      <c r="Y110" s="1">
        <v>3</v>
      </c>
      <c r="Z110" s="1">
        <v>3</v>
      </c>
      <c r="AA110" s="1">
        <v>3</v>
      </c>
      <c r="AB110" s="1">
        <v>4</v>
      </c>
      <c r="AC110" s="1">
        <v>2</v>
      </c>
      <c r="AD110" s="1">
        <v>4</v>
      </c>
      <c r="AE110" s="1">
        <v>3</v>
      </c>
      <c r="AF110" s="1">
        <v>4</v>
      </c>
      <c r="AG110" s="1">
        <v>3</v>
      </c>
      <c r="AH110" s="1">
        <v>4</v>
      </c>
      <c r="AI110" s="1">
        <v>3</v>
      </c>
      <c r="AJ110" s="1">
        <v>3</v>
      </c>
      <c r="AK110" s="1">
        <v>4</v>
      </c>
      <c r="AL110" s="1">
        <v>3</v>
      </c>
      <c r="AM110" s="1">
        <v>4</v>
      </c>
      <c r="AN110" s="1">
        <v>3</v>
      </c>
      <c r="AO110" s="1">
        <v>3</v>
      </c>
      <c r="AP110" s="1">
        <v>4</v>
      </c>
      <c r="AQ110" s="1">
        <v>4</v>
      </c>
      <c r="AR110" s="1">
        <v>3</v>
      </c>
      <c r="AS110" s="1">
        <v>3</v>
      </c>
      <c r="AT110" s="1">
        <v>3</v>
      </c>
      <c r="AU110" s="1">
        <v>3</v>
      </c>
      <c r="AV110" s="1">
        <v>3</v>
      </c>
      <c r="AW110" s="1">
        <v>4</v>
      </c>
      <c r="AX110" s="1">
        <v>3</v>
      </c>
      <c r="AY110" s="1">
        <v>4</v>
      </c>
      <c r="AZ110" s="1">
        <v>3</v>
      </c>
      <c r="BA110" s="1">
        <v>5</v>
      </c>
      <c r="BB110" s="1">
        <v>4</v>
      </c>
      <c r="BC110" s="1">
        <v>4</v>
      </c>
    </row>
    <row r="111" spans="1:55">
      <c r="A111" s="1" t="s">
        <v>230</v>
      </c>
      <c r="B111" s="1" t="s">
        <v>66</v>
      </c>
      <c r="C111" s="1" t="s">
        <v>229</v>
      </c>
      <c r="D111" s="1">
        <v>3</v>
      </c>
      <c r="E111" s="1">
        <v>3</v>
      </c>
      <c r="F111" s="1">
        <v>3</v>
      </c>
      <c r="G111" s="1">
        <v>2</v>
      </c>
      <c r="H111" s="1">
        <v>2</v>
      </c>
      <c r="I111" s="1">
        <v>3</v>
      </c>
      <c r="J111" s="1">
        <v>3</v>
      </c>
      <c r="K111" s="1">
        <v>4</v>
      </c>
      <c r="L111" s="1">
        <v>3</v>
      </c>
      <c r="M111" s="1">
        <v>2</v>
      </c>
      <c r="N111" s="1">
        <v>3</v>
      </c>
      <c r="O111" s="1">
        <v>2</v>
      </c>
      <c r="P111" s="1">
        <v>4</v>
      </c>
      <c r="Q111" s="1">
        <v>4</v>
      </c>
      <c r="R111" s="1">
        <v>3</v>
      </c>
      <c r="S111" s="1">
        <v>4</v>
      </c>
      <c r="T111" s="1">
        <v>3</v>
      </c>
      <c r="U111" s="1">
        <v>4</v>
      </c>
      <c r="V111" s="1">
        <v>2</v>
      </c>
      <c r="W111" s="1">
        <v>4</v>
      </c>
      <c r="X111" s="1">
        <v>4</v>
      </c>
      <c r="Y111" s="1">
        <v>3</v>
      </c>
      <c r="Z111" s="1">
        <v>3</v>
      </c>
      <c r="AA111" s="1">
        <v>4</v>
      </c>
      <c r="AB111" s="1">
        <v>4</v>
      </c>
      <c r="AC111" s="1">
        <v>3</v>
      </c>
      <c r="AD111" s="1">
        <v>3</v>
      </c>
      <c r="AE111" s="1">
        <v>3</v>
      </c>
      <c r="AF111" s="1">
        <v>2</v>
      </c>
      <c r="AG111" s="1">
        <v>2</v>
      </c>
      <c r="AH111" s="1">
        <v>4</v>
      </c>
      <c r="AI111" s="1">
        <v>3</v>
      </c>
      <c r="AJ111" s="1">
        <v>4</v>
      </c>
      <c r="AK111" s="1">
        <v>4</v>
      </c>
      <c r="AL111" s="1">
        <v>5</v>
      </c>
      <c r="AM111" s="1">
        <v>2</v>
      </c>
      <c r="AN111" s="1">
        <v>4</v>
      </c>
      <c r="AO111" s="1">
        <v>5</v>
      </c>
      <c r="AP111" s="1">
        <v>4</v>
      </c>
      <c r="AQ111" s="1">
        <v>5</v>
      </c>
      <c r="AR111" s="1">
        <v>3</v>
      </c>
      <c r="AS111" s="1">
        <v>3</v>
      </c>
      <c r="AT111" s="1">
        <v>3</v>
      </c>
      <c r="AU111" s="1">
        <v>3</v>
      </c>
      <c r="AV111" s="1">
        <v>4</v>
      </c>
      <c r="AW111" s="1">
        <v>3</v>
      </c>
      <c r="AX111" s="1">
        <v>4</v>
      </c>
      <c r="AY111" s="1">
        <v>4</v>
      </c>
      <c r="AZ111" s="1">
        <v>4</v>
      </c>
      <c r="BA111" s="1">
        <v>4</v>
      </c>
      <c r="BB111" s="1">
        <v>4</v>
      </c>
      <c r="BC111" s="1">
        <v>3</v>
      </c>
    </row>
    <row r="112" spans="1:55">
      <c r="A112" s="1" t="s">
        <v>231</v>
      </c>
      <c r="B112" s="1" t="s">
        <v>66</v>
      </c>
      <c r="C112" s="1" t="s">
        <v>232</v>
      </c>
      <c r="D112" s="1">
        <v>3</v>
      </c>
      <c r="E112" s="1">
        <v>4</v>
      </c>
      <c r="F112" s="1">
        <v>2</v>
      </c>
      <c r="G112" s="1">
        <v>2</v>
      </c>
      <c r="H112" s="1">
        <v>3</v>
      </c>
      <c r="I112" s="1">
        <v>4</v>
      </c>
      <c r="J112" s="1">
        <v>3</v>
      </c>
      <c r="K112" s="1">
        <v>3</v>
      </c>
      <c r="L112" s="1">
        <v>3</v>
      </c>
      <c r="M112" s="1">
        <v>4</v>
      </c>
      <c r="N112" s="1">
        <v>3</v>
      </c>
      <c r="O112" s="1">
        <v>4</v>
      </c>
      <c r="P112" s="1">
        <v>4</v>
      </c>
      <c r="Q112" s="1">
        <v>2</v>
      </c>
      <c r="R112" s="1">
        <v>5</v>
      </c>
      <c r="S112" s="1">
        <v>4</v>
      </c>
      <c r="T112" s="1">
        <v>4</v>
      </c>
      <c r="U112" s="1">
        <v>4</v>
      </c>
      <c r="V112" s="1">
        <v>4</v>
      </c>
      <c r="W112" s="1">
        <v>3</v>
      </c>
      <c r="X112" s="1">
        <v>2</v>
      </c>
      <c r="Y112" s="1">
        <v>2</v>
      </c>
      <c r="Z112" s="1">
        <v>3</v>
      </c>
      <c r="AA112" s="1">
        <v>3</v>
      </c>
      <c r="AB112" s="1">
        <v>3</v>
      </c>
      <c r="AC112" s="1">
        <v>3</v>
      </c>
      <c r="AD112" s="1">
        <v>4</v>
      </c>
      <c r="AE112" s="1">
        <v>4</v>
      </c>
      <c r="AF112" s="1">
        <v>2</v>
      </c>
      <c r="AG112" s="1">
        <v>2</v>
      </c>
      <c r="AH112" s="1">
        <v>4</v>
      </c>
      <c r="AI112" s="1">
        <v>3</v>
      </c>
      <c r="AJ112" s="1">
        <v>3</v>
      </c>
      <c r="AK112" s="1">
        <v>3</v>
      </c>
      <c r="AL112" s="1">
        <v>4</v>
      </c>
      <c r="AM112" s="1">
        <v>5</v>
      </c>
      <c r="AN112" s="1">
        <v>3</v>
      </c>
      <c r="AO112" s="1">
        <v>3</v>
      </c>
      <c r="AP112" s="1">
        <v>4</v>
      </c>
      <c r="AQ112" s="1">
        <v>4</v>
      </c>
      <c r="AR112" s="1">
        <v>4</v>
      </c>
      <c r="AS112" s="1">
        <v>4</v>
      </c>
      <c r="AT112" s="1">
        <v>5</v>
      </c>
      <c r="AU112" s="1">
        <v>4</v>
      </c>
      <c r="AV112" s="1">
        <v>5</v>
      </c>
      <c r="AW112" s="1">
        <v>4</v>
      </c>
      <c r="AX112" s="1">
        <v>3</v>
      </c>
      <c r="AY112" s="1">
        <v>4</v>
      </c>
      <c r="AZ112" s="1">
        <v>3</v>
      </c>
      <c r="BA112" s="1">
        <v>3</v>
      </c>
      <c r="BB112" s="1">
        <v>3</v>
      </c>
      <c r="BC112" s="1">
        <v>2</v>
      </c>
    </row>
    <row r="113" spans="1:55">
      <c r="A113" s="1" t="s">
        <v>233</v>
      </c>
      <c r="B113" s="1" t="s">
        <v>66</v>
      </c>
      <c r="C113" s="1" t="s">
        <v>232</v>
      </c>
      <c r="D113" s="1">
        <v>3</v>
      </c>
      <c r="E113" s="1">
        <v>4</v>
      </c>
      <c r="F113" s="1">
        <v>3</v>
      </c>
      <c r="G113" s="1">
        <v>2</v>
      </c>
      <c r="H113" s="1">
        <v>3</v>
      </c>
      <c r="I113" s="1">
        <v>2</v>
      </c>
      <c r="J113" s="1">
        <v>2</v>
      </c>
      <c r="K113" s="1">
        <v>3</v>
      </c>
      <c r="L113" s="1">
        <v>3</v>
      </c>
      <c r="M113" s="1">
        <v>3</v>
      </c>
      <c r="N113" s="1">
        <v>3</v>
      </c>
      <c r="O113" s="1">
        <v>3</v>
      </c>
      <c r="P113" s="1">
        <v>3</v>
      </c>
      <c r="Q113" s="1">
        <v>3</v>
      </c>
      <c r="R113" s="1">
        <v>3</v>
      </c>
      <c r="S113" s="1">
        <v>3</v>
      </c>
      <c r="T113" s="1">
        <v>4</v>
      </c>
      <c r="U113" s="1">
        <v>3</v>
      </c>
      <c r="V113" s="1">
        <v>4</v>
      </c>
      <c r="W113" s="1">
        <v>3</v>
      </c>
      <c r="X113" s="1">
        <v>4</v>
      </c>
      <c r="Y113" s="1">
        <v>4</v>
      </c>
      <c r="Z113" s="1">
        <v>3</v>
      </c>
      <c r="AA113" s="1">
        <v>3</v>
      </c>
      <c r="AB113" s="1">
        <v>3</v>
      </c>
      <c r="AC113" s="1">
        <v>4</v>
      </c>
      <c r="AD113" s="1">
        <v>4</v>
      </c>
      <c r="AE113" s="1">
        <v>3</v>
      </c>
      <c r="AF113" s="1">
        <v>3</v>
      </c>
      <c r="AG113" s="1">
        <v>1</v>
      </c>
      <c r="AH113" s="1">
        <v>3</v>
      </c>
      <c r="AI113" s="1">
        <v>4</v>
      </c>
      <c r="AJ113" s="1">
        <v>3</v>
      </c>
      <c r="AK113" s="1">
        <v>5</v>
      </c>
      <c r="AL113" s="1">
        <v>5</v>
      </c>
      <c r="AM113" s="1">
        <v>3</v>
      </c>
      <c r="AN113" s="1">
        <v>3</v>
      </c>
      <c r="AO113" s="1">
        <v>3</v>
      </c>
      <c r="AP113" s="1">
        <v>3</v>
      </c>
      <c r="AQ113" s="1">
        <v>4</v>
      </c>
      <c r="AR113" s="1">
        <v>3</v>
      </c>
      <c r="AS113" s="1">
        <v>4</v>
      </c>
      <c r="AT113" s="1">
        <v>3</v>
      </c>
      <c r="AU113" s="1">
        <v>4</v>
      </c>
      <c r="AV113" s="1">
        <v>3</v>
      </c>
      <c r="AW113" s="1">
        <v>5</v>
      </c>
      <c r="AX113" s="1">
        <v>4</v>
      </c>
      <c r="AY113" s="1">
        <v>4</v>
      </c>
      <c r="AZ113" s="1">
        <v>5</v>
      </c>
      <c r="BA113" s="1">
        <v>4</v>
      </c>
      <c r="BB113" s="1">
        <v>4</v>
      </c>
      <c r="BC113" s="1">
        <v>3</v>
      </c>
    </row>
    <row r="114" spans="1:55">
      <c r="A114" s="1" t="s">
        <v>234</v>
      </c>
      <c r="B114" s="1" t="s">
        <v>66</v>
      </c>
      <c r="C114" s="1" t="s">
        <v>235</v>
      </c>
      <c r="D114" s="1">
        <v>3</v>
      </c>
      <c r="E114" s="1">
        <v>3</v>
      </c>
      <c r="F114" s="1">
        <v>3</v>
      </c>
      <c r="G114" s="1">
        <v>3</v>
      </c>
      <c r="H114" s="1">
        <v>3</v>
      </c>
      <c r="I114" s="1">
        <v>3</v>
      </c>
      <c r="J114" s="1">
        <v>3</v>
      </c>
      <c r="K114" s="1">
        <v>3</v>
      </c>
      <c r="L114" s="1">
        <v>3</v>
      </c>
      <c r="M114" s="1">
        <v>3</v>
      </c>
      <c r="N114" s="1">
        <v>3</v>
      </c>
      <c r="O114" s="1">
        <v>3</v>
      </c>
      <c r="P114" s="1">
        <v>3</v>
      </c>
      <c r="Q114" s="1">
        <v>2</v>
      </c>
      <c r="R114" s="1">
        <v>2</v>
      </c>
      <c r="S114" s="1">
        <v>2</v>
      </c>
      <c r="T114" s="1">
        <v>4</v>
      </c>
      <c r="U114" s="1">
        <v>3</v>
      </c>
      <c r="V114" s="1">
        <v>3</v>
      </c>
      <c r="W114" s="1">
        <v>3</v>
      </c>
      <c r="X114" s="1">
        <v>3</v>
      </c>
      <c r="Y114" s="1">
        <v>2</v>
      </c>
      <c r="Z114" s="1">
        <v>3</v>
      </c>
      <c r="AA114" s="1">
        <v>2</v>
      </c>
      <c r="AB114" s="1">
        <v>2</v>
      </c>
      <c r="AC114" s="1">
        <v>2</v>
      </c>
      <c r="AD114" s="1">
        <v>4</v>
      </c>
      <c r="AE114" s="1">
        <v>3</v>
      </c>
      <c r="AF114" s="1">
        <v>3</v>
      </c>
      <c r="AG114" s="1">
        <v>3</v>
      </c>
      <c r="AH114" s="1">
        <v>4</v>
      </c>
      <c r="AI114" s="1">
        <v>3</v>
      </c>
      <c r="AJ114" s="1">
        <v>4</v>
      </c>
      <c r="AK114" s="1">
        <v>3</v>
      </c>
      <c r="AL114" s="1">
        <v>3</v>
      </c>
      <c r="AM114" s="1">
        <v>3</v>
      </c>
      <c r="AN114" s="1">
        <v>4</v>
      </c>
      <c r="AO114" s="1">
        <v>3</v>
      </c>
      <c r="AP114" s="1">
        <v>3</v>
      </c>
      <c r="AQ114" s="1">
        <v>3</v>
      </c>
      <c r="AR114" s="1">
        <v>3</v>
      </c>
      <c r="AS114" s="1">
        <v>3</v>
      </c>
      <c r="AT114" s="1">
        <v>2</v>
      </c>
      <c r="AU114" s="1">
        <v>2</v>
      </c>
      <c r="AV114" s="1">
        <v>4</v>
      </c>
      <c r="AW114" s="1">
        <v>3</v>
      </c>
      <c r="AX114" s="1">
        <v>3</v>
      </c>
      <c r="AY114" s="1">
        <v>3</v>
      </c>
      <c r="AZ114" s="1">
        <v>3</v>
      </c>
      <c r="BA114" s="1">
        <v>3</v>
      </c>
      <c r="BB114" s="1">
        <v>3</v>
      </c>
      <c r="BC114" s="1">
        <v>2</v>
      </c>
    </row>
    <row r="115" spans="1:55">
      <c r="A115" s="1" t="s">
        <v>236</v>
      </c>
      <c r="B115" s="1" t="s">
        <v>66</v>
      </c>
      <c r="C115" s="1" t="s">
        <v>235</v>
      </c>
      <c r="D115" s="1">
        <v>3</v>
      </c>
      <c r="E115" s="1">
        <v>4</v>
      </c>
      <c r="F115" s="1">
        <v>3</v>
      </c>
      <c r="G115" s="1">
        <v>2</v>
      </c>
      <c r="H115" s="1">
        <v>4</v>
      </c>
      <c r="I115" s="1">
        <v>3</v>
      </c>
      <c r="J115" s="1">
        <v>3</v>
      </c>
      <c r="K115" s="1">
        <v>3</v>
      </c>
      <c r="L115" s="1">
        <v>4</v>
      </c>
      <c r="M115" s="1">
        <v>4</v>
      </c>
      <c r="N115" s="1">
        <v>2</v>
      </c>
      <c r="O115" s="1">
        <v>4</v>
      </c>
      <c r="P115" s="1">
        <v>4</v>
      </c>
      <c r="Q115" s="1">
        <v>4</v>
      </c>
      <c r="R115" s="1">
        <v>3</v>
      </c>
      <c r="S115" s="1">
        <v>4</v>
      </c>
      <c r="T115" s="1">
        <v>4</v>
      </c>
      <c r="U115" s="1">
        <v>4</v>
      </c>
      <c r="V115" s="1">
        <v>2</v>
      </c>
      <c r="W115" s="1">
        <v>3</v>
      </c>
      <c r="X115" s="1">
        <v>3</v>
      </c>
      <c r="Y115" s="1">
        <v>2</v>
      </c>
      <c r="Z115" s="1">
        <v>4</v>
      </c>
      <c r="AA115" s="1">
        <v>3</v>
      </c>
      <c r="AB115" s="1">
        <v>4</v>
      </c>
      <c r="AC115" s="1">
        <v>5</v>
      </c>
      <c r="AD115" s="1">
        <v>4</v>
      </c>
      <c r="AE115" s="1">
        <v>5</v>
      </c>
      <c r="AF115" s="1">
        <v>2</v>
      </c>
      <c r="AG115" s="1">
        <v>2</v>
      </c>
      <c r="AH115" s="1">
        <v>3</v>
      </c>
      <c r="AI115" s="1">
        <v>3</v>
      </c>
      <c r="AJ115" s="1">
        <v>3</v>
      </c>
      <c r="AK115" s="1">
        <v>4</v>
      </c>
      <c r="AL115" s="1">
        <v>4</v>
      </c>
      <c r="AM115" s="1">
        <v>4</v>
      </c>
      <c r="AN115" s="1">
        <v>3</v>
      </c>
      <c r="AO115" s="1">
        <v>4</v>
      </c>
      <c r="AP115" s="1">
        <v>4</v>
      </c>
      <c r="AQ115" s="1">
        <v>4</v>
      </c>
      <c r="AR115" s="1">
        <v>4</v>
      </c>
      <c r="AS115" s="1">
        <v>4</v>
      </c>
      <c r="AT115" s="1">
        <v>5</v>
      </c>
      <c r="AU115" s="1">
        <v>5</v>
      </c>
      <c r="AV115" s="1">
        <v>3</v>
      </c>
      <c r="AW115" s="1">
        <v>2</v>
      </c>
      <c r="AX115" s="1">
        <v>3</v>
      </c>
      <c r="AY115" s="1">
        <v>2</v>
      </c>
      <c r="AZ115" s="1">
        <v>4</v>
      </c>
      <c r="BA115" s="1">
        <v>5</v>
      </c>
      <c r="BB115" s="1">
        <v>3</v>
      </c>
      <c r="BC115" s="1">
        <v>3</v>
      </c>
    </row>
    <row r="116" spans="1:55">
      <c r="A116" s="1" t="s">
        <v>237</v>
      </c>
      <c r="B116" s="1" t="s">
        <v>66</v>
      </c>
      <c r="C116" s="1" t="s">
        <v>238</v>
      </c>
      <c r="D116" s="1">
        <v>4</v>
      </c>
      <c r="E116" s="1">
        <v>4</v>
      </c>
      <c r="F116" s="1">
        <v>3</v>
      </c>
      <c r="G116" s="1">
        <v>3</v>
      </c>
      <c r="H116" s="1">
        <v>4</v>
      </c>
      <c r="I116" s="1">
        <v>3</v>
      </c>
      <c r="J116" s="1">
        <v>4</v>
      </c>
      <c r="K116" s="1">
        <v>3</v>
      </c>
      <c r="L116" s="1">
        <v>3</v>
      </c>
      <c r="M116" s="1">
        <v>4</v>
      </c>
      <c r="N116" s="1">
        <v>3</v>
      </c>
      <c r="O116" s="1">
        <v>3</v>
      </c>
      <c r="P116" s="1">
        <v>3</v>
      </c>
      <c r="Q116" s="1">
        <v>3</v>
      </c>
      <c r="R116" s="1">
        <v>3</v>
      </c>
      <c r="S116" s="1">
        <v>3</v>
      </c>
      <c r="T116" s="1">
        <v>3</v>
      </c>
      <c r="U116" s="1">
        <v>3</v>
      </c>
      <c r="V116" s="1">
        <v>2</v>
      </c>
      <c r="W116" s="1">
        <v>3</v>
      </c>
      <c r="X116" s="1">
        <v>4</v>
      </c>
      <c r="Y116" s="1">
        <v>3</v>
      </c>
      <c r="Z116" s="1">
        <v>2</v>
      </c>
      <c r="AA116" s="1">
        <v>2</v>
      </c>
      <c r="AB116" s="1">
        <v>3</v>
      </c>
      <c r="AC116" s="1">
        <v>3</v>
      </c>
      <c r="AD116" s="1">
        <v>3</v>
      </c>
      <c r="AE116" s="1">
        <v>4</v>
      </c>
      <c r="AF116" s="1">
        <v>3</v>
      </c>
      <c r="AG116" s="1">
        <v>3</v>
      </c>
      <c r="AH116" s="1">
        <v>4</v>
      </c>
      <c r="AI116" s="1">
        <v>3</v>
      </c>
      <c r="AJ116" s="1">
        <v>4</v>
      </c>
      <c r="AK116" s="1">
        <v>4</v>
      </c>
      <c r="AL116" s="1">
        <v>4</v>
      </c>
      <c r="AM116" s="1">
        <v>3</v>
      </c>
      <c r="AN116" s="1">
        <v>4</v>
      </c>
      <c r="AO116" s="1">
        <v>4</v>
      </c>
      <c r="AP116" s="1">
        <v>4</v>
      </c>
      <c r="AQ116" s="1">
        <v>3</v>
      </c>
      <c r="AR116" s="1">
        <v>3</v>
      </c>
      <c r="AS116" s="1">
        <v>4</v>
      </c>
      <c r="AT116" s="1">
        <v>2</v>
      </c>
      <c r="AU116" s="1">
        <v>4</v>
      </c>
      <c r="AV116" s="1">
        <v>3</v>
      </c>
      <c r="AW116" s="1">
        <v>4</v>
      </c>
      <c r="AX116" s="1">
        <v>4</v>
      </c>
      <c r="AY116" s="1">
        <v>4</v>
      </c>
      <c r="AZ116" s="1">
        <v>3</v>
      </c>
      <c r="BA116" s="1">
        <v>3</v>
      </c>
      <c r="BB116" s="1">
        <v>3</v>
      </c>
      <c r="BC116" s="1">
        <v>2</v>
      </c>
    </row>
    <row r="117" spans="1:55">
      <c r="A117" s="1" t="s">
        <v>239</v>
      </c>
      <c r="B117" s="1" t="s">
        <v>66</v>
      </c>
      <c r="C117" s="1" t="s">
        <v>238</v>
      </c>
      <c r="D117" s="1">
        <v>3</v>
      </c>
      <c r="E117" s="1">
        <v>3</v>
      </c>
      <c r="F117" s="1">
        <v>3</v>
      </c>
      <c r="G117" s="1">
        <v>4</v>
      </c>
      <c r="H117" s="1">
        <v>3</v>
      </c>
      <c r="I117" s="1">
        <v>4</v>
      </c>
      <c r="J117" s="1">
        <v>3</v>
      </c>
      <c r="K117" s="1">
        <v>3</v>
      </c>
      <c r="L117" s="1">
        <v>3</v>
      </c>
      <c r="M117" s="1">
        <v>4</v>
      </c>
      <c r="N117" s="1">
        <v>3</v>
      </c>
      <c r="O117" s="1">
        <v>3</v>
      </c>
      <c r="P117" s="1">
        <v>3</v>
      </c>
      <c r="Q117" s="1">
        <v>3</v>
      </c>
      <c r="R117" s="1">
        <v>3</v>
      </c>
      <c r="S117" s="1">
        <v>4</v>
      </c>
      <c r="T117" s="1">
        <v>4</v>
      </c>
      <c r="U117" s="1">
        <v>3</v>
      </c>
      <c r="V117" s="1">
        <v>4</v>
      </c>
      <c r="W117" s="1">
        <v>2</v>
      </c>
      <c r="X117" s="1">
        <v>3</v>
      </c>
      <c r="Y117" s="1">
        <v>2</v>
      </c>
      <c r="Z117" s="1">
        <v>3</v>
      </c>
      <c r="AA117" s="1">
        <v>3</v>
      </c>
      <c r="AB117" s="1">
        <v>3</v>
      </c>
      <c r="AC117" s="1">
        <v>2</v>
      </c>
      <c r="AD117" s="1">
        <v>3</v>
      </c>
      <c r="AE117" s="1">
        <v>3</v>
      </c>
      <c r="AF117" s="1">
        <v>3</v>
      </c>
      <c r="AG117" s="1">
        <v>3</v>
      </c>
      <c r="AH117" s="1">
        <v>3</v>
      </c>
      <c r="AI117" s="1">
        <v>5</v>
      </c>
      <c r="AJ117" s="1">
        <v>4</v>
      </c>
      <c r="AK117" s="1">
        <v>3</v>
      </c>
      <c r="AL117" s="1">
        <v>3</v>
      </c>
      <c r="AM117" s="1">
        <v>3</v>
      </c>
      <c r="AN117" s="1">
        <v>5</v>
      </c>
      <c r="AO117" s="1">
        <v>4</v>
      </c>
      <c r="AP117" s="1">
        <v>3</v>
      </c>
      <c r="AQ117" s="1">
        <v>4</v>
      </c>
      <c r="AR117" s="1">
        <v>3</v>
      </c>
      <c r="AS117" s="1">
        <v>3</v>
      </c>
      <c r="AT117" s="1">
        <v>3</v>
      </c>
      <c r="AU117" s="1">
        <v>3</v>
      </c>
      <c r="AV117" s="1">
        <v>4</v>
      </c>
      <c r="AW117" s="1">
        <v>3</v>
      </c>
      <c r="AX117" s="1">
        <v>2</v>
      </c>
      <c r="AY117" s="1">
        <v>3</v>
      </c>
      <c r="AZ117" s="1">
        <v>4</v>
      </c>
      <c r="BA117" s="1">
        <v>4</v>
      </c>
      <c r="BB117" s="1">
        <v>4</v>
      </c>
      <c r="BC117" s="1">
        <v>2</v>
      </c>
    </row>
    <row r="118" spans="1:55">
      <c r="A118" s="1" t="s">
        <v>240</v>
      </c>
      <c r="B118" s="1" t="s">
        <v>66</v>
      </c>
      <c r="C118" s="1" t="s">
        <v>241</v>
      </c>
      <c r="D118" s="1">
        <v>4</v>
      </c>
      <c r="E118" s="1">
        <v>3</v>
      </c>
      <c r="F118" s="1">
        <v>3</v>
      </c>
      <c r="G118" s="1">
        <v>1</v>
      </c>
      <c r="H118" s="1">
        <v>3</v>
      </c>
      <c r="I118" s="1">
        <v>2</v>
      </c>
      <c r="J118" s="1">
        <v>3</v>
      </c>
      <c r="K118" s="1">
        <v>3</v>
      </c>
      <c r="L118" s="1">
        <v>3</v>
      </c>
      <c r="M118" s="1">
        <v>4</v>
      </c>
      <c r="N118" s="1">
        <v>3</v>
      </c>
      <c r="O118" s="1">
        <v>3</v>
      </c>
      <c r="P118" s="1">
        <v>3</v>
      </c>
      <c r="Q118" s="1">
        <v>3</v>
      </c>
      <c r="R118" s="1">
        <v>3</v>
      </c>
      <c r="S118" s="1">
        <v>3</v>
      </c>
      <c r="T118" s="1">
        <v>4</v>
      </c>
      <c r="U118" s="1">
        <v>3</v>
      </c>
      <c r="V118" s="1">
        <v>3</v>
      </c>
      <c r="W118" s="1">
        <v>4</v>
      </c>
      <c r="X118" s="1">
        <v>3</v>
      </c>
      <c r="Y118" s="1">
        <v>4</v>
      </c>
      <c r="Z118" s="1">
        <v>3</v>
      </c>
      <c r="AA118" s="1">
        <v>3</v>
      </c>
      <c r="AB118" s="1">
        <v>2</v>
      </c>
      <c r="AC118" s="1">
        <v>3</v>
      </c>
      <c r="AD118" s="1">
        <v>4</v>
      </c>
      <c r="AE118" s="1">
        <v>4</v>
      </c>
      <c r="AF118" s="1">
        <v>1</v>
      </c>
      <c r="AG118" s="1">
        <v>3</v>
      </c>
      <c r="AH118" s="1">
        <v>3</v>
      </c>
      <c r="AI118" s="1">
        <v>3</v>
      </c>
      <c r="AJ118" s="1">
        <v>4</v>
      </c>
      <c r="AK118" s="1">
        <v>3</v>
      </c>
      <c r="AL118" s="1">
        <v>3</v>
      </c>
      <c r="AM118" s="1">
        <v>4</v>
      </c>
      <c r="AN118" s="1">
        <v>2</v>
      </c>
      <c r="AO118" s="1">
        <v>4</v>
      </c>
      <c r="AP118" s="1">
        <v>4</v>
      </c>
      <c r="AQ118" s="1">
        <v>3</v>
      </c>
      <c r="AR118" s="1">
        <v>4</v>
      </c>
      <c r="AS118" s="1">
        <v>3</v>
      </c>
      <c r="AT118" s="1">
        <v>4</v>
      </c>
      <c r="AU118" s="1">
        <v>4</v>
      </c>
      <c r="AV118" s="1">
        <v>4</v>
      </c>
      <c r="AW118" s="1">
        <v>4</v>
      </c>
      <c r="AX118" s="1">
        <v>4</v>
      </c>
      <c r="AY118" s="1">
        <v>4</v>
      </c>
      <c r="AZ118" s="1">
        <v>4</v>
      </c>
      <c r="BA118" s="1">
        <v>3</v>
      </c>
      <c r="BB118" s="1">
        <v>3</v>
      </c>
      <c r="BC118" s="1">
        <v>3</v>
      </c>
    </row>
    <row r="119" spans="1:55">
      <c r="A119" s="1" t="s">
        <v>242</v>
      </c>
      <c r="B119" s="1" t="s">
        <v>66</v>
      </c>
      <c r="C119" s="1" t="s">
        <v>241</v>
      </c>
      <c r="D119" s="1">
        <v>4</v>
      </c>
      <c r="E119" s="1">
        <v>3</v>
      </c>
      <c r="F119" s="1">
        <v>3</v>
      </c>
      <c r="G119" s="1">
        <v>4</v>
      </c>
      <c r="H119" s="1">
        <v>2</v>
      </c>
      <c r="I119" s="1">
        <v>2</v>
      </c>
      <c r="J119" s="1">
        <v>3</v>
      </c>
      <c r="K119" s="1">
        <v>1</v>
      </c>
      <c r="L119" s="1">
        <v>2</v>
      </c>
      <c r="M119" s="1">
        <v>3</v>
      </c>
      <c r="N119" s="1">
        <v>3</v>
      </c>
      <c r="O119" s="1">
        <v>2</v>
      </c>
      <c r="P119" s="1">
        <v>2</v>
      </c>
      <c r="Q119" s="1">
        <v>3</v>
      </c>
      <c r="R119" s="1">
        <v>2</v>
      </c>
      <c r="S119" s="1">
        <v>3</v>
      </c>
      <c r="T119" s="1">
        <v>3</v>
      </c>
      <c r="U119" s="1">
        <v>3</v>
      </c>
      <c r="V119" s="1">
        <v>3</v>
      </c>
      <c r="W119" s="1">
        <v>2</v>
      </c>
      <c r="X119" s="1">
        <v>4</v>
      </c>
      <c r="Y119" s="1">
        <v>2</v>
      </c>
      <c r="Z119" s="1">
        <v>2</v>
      </c>
      <c r="AA119" s="1">
        <v>3</v>
      </c>
      <c r="AB119" s="1">
        <v>3</v>
      </c>
      <c r="AC119" s="1">
        <v>3</v>
      </c>
      <c r="AD119" s="1">
        <v>3</v>
      </c>
      <c r="AE119" s="1">
        <v>3</v>
      </c>
      <c r="AF119" s="1">
        <v>3</v>
      </c>
      <c r="AG119" s="1">
        <v>3</v>
      </c>
      <c r="AH119" s="1">
        <v>3</v>
      </c>
      <c r="AI119" s="1">
        <v>3</v>
      </c>
      <c r="AJ119" s="1">
        <v>3</v>
      </c>
      <c r="AK119" s="1">
        <v>3</v>
      </c>
      <c r="AL119" s="1">
        <v>3</v>
      </c>
      <c r="AM119" s="1">
        <v>4</v>
      </c>
      <c r="AN119" s="1">
        <v>3</v>
      </c>
      <c r="AO119" s="1">
        <v>3</v>
      </c>
      <c r="AP119" s="1">
        <v>3</v>
      </c>
      <c r="AQ119" s="1">
        <v>2</v>
      </c>
      <c r="AR119" s="1">
        <v>4</v>
      </c>
      <c r="AS119" s="1">
        <v>4</v>
      </c>
      <c r="AT119" s="1">
        <v>3</v>
      </c>
      <c r="AU119" s="1">
        <v>3</v>
      </c>
      <c r="AV119" s="1">
        <v>3</v>
      </c>
      <c r="AW119" s="1">
        <v>4</v>
      </c>
      <c r="AX119" s="1">
        <v>3</v>
      </c>
      <c r="AY119" s="1">
        <v>4</v>
      </c>
      <c r="AZ119" s="1">
        <v>2</v>
      </c>
      <c r="BA119" s="1">
        <v>3</v>
      </c>
      <c r="BB119" s="1">
        <v>3</v>
      </c>
      <c r="BC119" s="1">
        <v>2</v>
      </c>
    </row>
    <row r="120" spans="1:55">
      <c r="A120" s="1" t="s">
        <v>243</v>
      </c>
      <c r="B120" s="1" t="s">
        <v>66</v>
      </c>
      <c r="C120" s="1" t="s">
        <v>244</v>
      </c>
      <c r="D120" s="1">
        <v>4</v>
      </c>
      <c r="E120" s="1">
        <v>4</v>
      </c>
      <c r="F120" s="1">
        <v>2</v>
      </c>
      <c r="G120" s="1">
        <v>3</v>
      </c>
      <c r="H120" s="1">
        <v>4</v>
      </c>
      <c r="I120" s="1">
        <v>4</v>
      </c>
      <c r="J120" s="1">
        <v>3</v>
      </c>
      <c r="K120" s="1">
        <v>3</v>
      </c>
      <c r="L120" s="1">
        <v>3</v>
      </c>
      <c r="M120" s="1">
        <v>3</v>
      </c>
      <c r="N120" s="1">
        <v>4</v>
      </c>
      <c r="O120" s="1">
        <v>4</v>
      </c>
      <c r="P120" s="1">
        <v>3</v>
      </c>
      <c r="Q120" s="1">
        <v>2</v>
      </c>
      <c r="R120" s="1">
        <v>3</v>
      </c>
      <c r="S120" s="1">
        <v>4</v>
      </c>
      <c r="T120" s="1">
        <v>4</v>
      </c>
      <c r="U120" s="1">
        <v>4</v>
      </c>
      <c r="V120" s="1">
        <v>2</v>
      </c>
      <c r="W120" s="1">
        <v>2</v>
      </c>
      <c r="X120" s="1">
        <v>2</v>
      </c>
      <c r="Y120" s="1">
        <v>2</v>
      </c>
      <c r="Z120" s="1">
        <v>3</v>
      </c>
      <c r="AA120" s="1">
        <v>3</v>
      </c>
      <c r="AB120" s="1">
        <v>3</v>
      </c>
      <c r="AC120" s="1">
        <v>2</v>
      </c>
      <c r="AD120" s="1">
        <v>4</v>
      </c>
      <c r="AE120" s="1">
        <v>3</v>
      </c>
      <c r="AF120" s="1">
        <v>2</v>
      </c>
      <c r="AG120" s="1">
        <v>1</v>
      </c>
      <c r="AH120" s="1">
        <v>4</v>
      </c>
      <c r="AI120" s="1">
        <v>4</v>
      </c>
      <c r="AJ120" s="1">
        <v>2</v>
      </c>
      <c r="AK120" s="1">
        <v>3</v>
      </c>
      <c r="AL120" s="1">
        <v>3</v>
      </c>
      <c r="AM120" s="1">
        <v>4</v>
      </c>
      <c r="AN120" s="1">
        <v>5</v>
      </c>
      <c r="AO120" s="1">
        <v>3</v>
      </c>
      <c r="AP120" s="1">
        <v>4</v>
      </c>
      <c r="AQ120" s="1">
        <v>3</v>
      </c>
      <c r="AR120" s="1">
        <v>4</v>
      </c>
      <c r="AS120" s="1">
        <v>3</v>
      </c>
      <c r="AT120" s="1">
        <v>4</v>
      </c>
      <c r="AU120" s="1">
        <v>3</v>
      </c>
      <c r="AV120" s="1">
        <v>5</v>
      </c>
      <c r="AW120" s="1">
        <v>2</v>
      </c>
      <c r="AX120" s="1">
        <v>4</v>
      </c>
      <c r="AY120" s="1">
        <v>2</v>
      </c>
      <c r="AZ120" s="1">
        <v>4</v>
      </c>
      <c r="BA120" s="1">
        <v>3</v>
      </c>
      <c r="BB120" s="1">
        <v>2</v>
      </c>
      <c r="BC120" s="1">
        <v>1</v>
      </c>
    </row>
    <row r="121" spans="1:55">
      <c r="A121" s="1" t="s">
        <v>245</v>
      </c>
      <c r="B121" s="1" t="s">
        <v>66</v>
      </c>
      <c r="C121" s="1" t="s">
        <v>244</v>
      </c>
      <c r="D121" s="1">
        <v>3</v>
      </c>
      <c r="E121" s="1">
        <v>2</v>
      </c>
      <c r="F121" s="1">
        <v>5</v>
      </c>
      <c r="G121" s="1">
        <v>3</v>
      </c>
      <c r="H121" s="1">
        <v>3</v>
      </c>
      <c r="I121" s="1">
        <v>3</v>
      </c>
      <c r="J121" s="1">
        <v>3</v>
      </c>
      <c r="K121" s="1">
        <v>3</v>
      </c>
      <c r="L121" s="1">
        <v>4</v>
      </c>
      <c r="M121" s="1">
        <v>3</v>
      </c>
      <c r="N121" s="1">
        <v>3</v>
      </c>
      <c r="O121" s="1">
        <v>4</v>
      </c>
      <c r="P121" s="1">
        <v>3</v>
      </c>
      <c r="Q121" s="1">
        <v>4</v>
      </c>
      <c r="R121" s="1">
        <v>1</v>
      </c>
      <c r="S121" s="1">
        <v>2</v>
      </c>
      <c r="T121" s="1">
        <v>1</v>
      </c>
      <c r="U121" s="1">
        <v>1</v>
      </c>
      <c r="V121" s="1">
        <v>2</v>
      </c>
      <c r="W121" s="1">
        <v>2</v>
      </c>
      <c r="X121" s="1">
        <v>3</v>
      </c>
      <c r="Y121" s="1">
        <v>3</v>
      </c>
      <c r="Z121" s="1">
        <v>3</v>
      </c>
      <c r="AA121" s="1">
        <v>4</v>
      </c>
      <c r="AB121" s="1">
        <v>3</v>
      </c>
      <c r="AC121" s="1">
        <v>3</v>
      </c>
      <c r="AD121" s="1">
        <v>4</v>
      </c>
      <c r="AE121" s="1">
        <v>3</v>
      </c>
      <c r="AF121" s="1">
        <v>4</v>
      </c>
      <c r="AG121" s="1">
        <v>5</v>
      </c>
      <c r="AH121" s="1">
        <v>4</v>
      </c>
      <c r="AI121" s="1">
        <v>4</v>
      </c>
      <c r="AJ121" s="1">
        <v>4</v>
      </c>
      <c r="AK121" s="1">
        <v>5</v>
      </c>
      <c r="AL121" s="1">
        <v>2</v>
      </c>
      <c r="AM121" s="1">
        <v>2</v>
      </c>
      <c r="AN121" s="1">
        <v>3</v>
      </c>
      <c r="AO121" s="1">
        <v>4</v>
      </c>
      <c r="AP121" s="1">
        <v>4</v>
      </c>
      <c r="AQ121" s="1">
        <v>4</v>
      </c>
      <c r="AR121" s="1">
        <v>2</v>
      </c>
      <c r="AS121" s="1">
        <v>2</v>
      </c>
      <c r="AT121" s="1">
        <v>2</v>
      </c>
      <c r="AU121" s="1">
        <v>1</v>
      </c>
      <c r="AV121" s="1">
        <v>4</v>
      </c>
      <c r="AW121" s="1">
        <v>3</v>
      </c>
      <c r="AX121" s="1">
        <v>3</v>
      </c>
      <c r="AY121" s="1">
        <v>4</v>
      </c>
      <c r="AZ121" s="1">
        <v>4</v>
      </c>
      <c r="BA121" s="1">
        <v>4</v>
      </c>
      <c r="BB121" s="1">
        <v>3</v>
      </c>
      <c r="BC121" s="1">
        <v>3</v>
      </c>
    </row>
    <row r="122" spans="1:55">
      <c r="A122" s="1" t="s">
        <v>246</v>
      </c>
      <c r="B122" s="1" t="s">
        <v>66</v>
      </c>
      <c r="C122" s="1" t="s">
        <v>247</v>
      </c>
      <c r="D122" s="1">
        <v>3</v>
      </c>
      <c r="E122" s="1">
        <v>3</v>
      </c>
      <c r="F122" s="1">
        <v>3</v>
      </c>
      <c r="G122" s="1">
        <v>1</v>
      </c>
      <c r="H122" s="1">
        <v>2</v>
      </c>
      <c r="I122" s="1">
        <v>2</v>
      </c>
      <c r="J122" s="1">
        <v>2</v>
      </c>
      <c r="K122" s="1">
        <v>3</v>
      </c>
      <c r="L122" s="1">
        <v>3</v>
      </c>
      <c r="M122" s="1">
        <v>4</v>
      </c>
      <c r="N122" s="1">
        <v>4</v>
      </c>
      <c r="O122" s="1">
        <v>3</v>
      </c>
      <c r="P122" s="1">
        <v>3</v>
      </c>
      <c r="Q122" s="1">
        <v>3</v>
      </c>
      <c r="R122" s="1">
        <v>3</v>
      </c>
      <c r="S122" s="1">
        <v>5</v>
      </c>
      <c r="T122" s="1">
        <v>4</v>
      </c>
      <c r="U122" s="1">
        <v>4</v>
      </c>
      <c r="V122" s="1">
        <v>2</v>
      </c>
      <c r="W122" s="1">
        <v>2</v>
      </c>
      <c r="X122" s="1">
        <v>2</v>
      </c>
      <c r="Y122" s="1">
        <v>2</v>
      </c>
      <c r="Z122" s="1">
        <v>3</v>
      </c>
      <c r="AA122" s="1">
        <v>4</v>
      </c>
      <c r="AB122" s="1">
        <v>2</v>
      </c>
      <c r="AC122" s="1">
        <v>3</v>
      </c>
      <c r="AD122" s="1">
        <v>3</v>
      </c>
      <c r="AE122" s="1">
        <v>4</v>
      </c>
      <c r="AF122" s="1">
        <v>1</v>
      </c>
      <c r="AG122" s="1">
        <v>2</v>
      </c>
      <c r="AH122" s="1">
        <v>3</v>
      </c>
      <c r="AI122" s="1">
        <v>2</v>
      </c>
      <c r="AJ122" s="1">
        <v>3</v>
      </c>
      <c r="AK122" s="1">
        <v>5</v>
      </c>
      <c r="AL122" s="1">
        <v>4</v>
      </c>
      <c r="AM122" s="1">
        <v>4</v>
      </c>
      <c r="AN122" s="1">
        <v>2</v>
      </c>
      <c r="AO122" s="1">
        <v>4</v>
      </c>
      <c r="AP122" s="1">
        <v>3</v>
      </c>
      <c r="AQ122" s="1">
        <v>3</v>
      </c>
      <c r="AR122" s="1">
        <v>4</v>
      </c>
      <c r="AS122" s="1">
        <v>4</v>
      </c>
      <c r="AT122" s="1">
        <v>4</v>
      </c>
      <c r="AU122" s="1">
        <v>4</v>
      </c>
      <c r="AV122" s="1">
        <v>2</v>
      </c>
      <c r="AW122" s="1">
        <v>2</v>
      </c>
      <c r="AX122" s="1">
        <v>2</v>
      </c>
      <c r="AY122" s="1">
        <v>2</v>
      </c>
      <c r="AZ122" s="1">
        <v>3</v>
      </c>
      <c r="BA122" s="1">
        <v>4</v>
      </c>
      <c r="BB122" s="1">
        <v>4</v>
      </c>
      <c r="BC122" s="1">
        <v>3</v>
      </c>
    </row>
    <row r="123" spans="1:55">
      <c r="A123" s="1" t="s">
        <v>248</v>
      </c>
      <c r="B123" s="1" t="s">
        <v>66</v>
      </c>
      <c r="C123" s="1" t="s">
        <v>247</v>
      </c>
      <c r="D123" s="1">
        <v>3</v>
      </c>
      <c r="E123" s="1">
        <v>4</v>
      </c>
      <c r="F123" s="1">
        <v>3</v>
      </c>
      <c r="G123" s="1">
        <v>2</v>
      </c>
      <c r="H123" s="1">
        <v>3</v>
      </c>
      <c r="I123" s="1">
        <v>4</v>
      </c>
      <c r="J123" s="1">
        <v>3</v>
      </c>
      <c r="K123" s="1">
        <v>3</v>
      </c>
      <c r="L123" s="1">
        <v>3</v>
      </c>
      <c r="M123" s="1">
        <v>5</v>
      </c>
      <c r="N123" s="1">
        <v>3</v>
      </c>
      <c r="O123" s="1">
        <v>2</v>
      </c>
      <c r="P123" s="1">
        <v>3</v>
      </c>
      <c r="Q123" s="1">
        <v>4</v>
      </c>
      <c r="R123" s="1">
        <v>4</v>
      </c>
      <c r="S123" s="1">
        <v>4</v>
      </c>
      <c r="T123" s="1">
        <v>5</v>
      </c>
      <c r="U123" s="1">
        <v>4</v>
      </c>
      <c r="V123" s="1">
        <v>4</v>
      </c>
      <c r="W123" s="1">
        <v>2</v>
      </c>
      <c r="X123" s="1">
        <v>2</v>
      </c>
      <c r="Y123" s="1">
        <v>3</v>
      </c>
      <c r="Z123" s="1">
        <v>4</v>
      </c>
      <c r="AA123" s="1">
        <v>3</v>
      </c>
      <c r="AB123" s="1">
        <v>4</v>
      </c>
      <c r="AC123" s="1">
        <v>3</v>
      </c>
      <c r="AD123" s="1">
        <v>4</v>
      </c>
      <c r="AE123" s="1">
        <v>5</v>
      </c>
      <c r="AF123" s="1">
        <v>1</v>
      </c>
      <c r="AG123" s="1">
        <v>2</v>
      </c>
      <c r="AH123" s="1">
        <v>5</v>
      </c>
      <c r="AI123" s="1">
        <v>4</v>
      </c>
      <c r="AJ123" s="1">
        <v>5</v>
      </c>
      <c r="AK123" s="1">
        <v>3</v>
      </c>
      <c r="AL123" s="1">
        <v>3</v>
      </c>
      <c r="AM123" s="1">
        <v>4</v>
      </c>
      <c r="AN123" s="1">
        <v>4</v>
      </c>
      <c r="AO123" s="1">
        <v>4</v>
      </c>
      <c r="AP123" s="1">
        <v>4</v>
      </c>
      <c r="AQ123" s="1">
        <v>4</v>
      </c>
      <c r="AR123" s="1">
        <v>5</v>
      </c>
      <c r="AS123" s="1">
        <v>5</v>
      </c>
      <c r="AT123" s="1">
        <v>5</v>
      </c>
      <c r="AU123" s="1">
        <v>5</v>
      </c>
      <c r="AV123" s="1">
        <v>5</v>
      </c>
      <c r="AW123" s="1">
        <v>3</v>
      </c>
      <c r="AX123" s="1">
        <v>4</v>
      </c>
      <c r="AY123" s="1">
        <v>4</v>
      </c>
      <c r="AZ123" s="1">
        <v>4</v>
      </c>
      <c r="BA123" s="1">
        <v>4</v>
      </c>
      <c r="BB123" s="1">
        <v>4</v>
      </c>
      <c r="BC123" s="1">
        <v>1</v>
      </c>
    </row>
    <row r="124" spans="1:55">
      <c r="A124" s="1" t="s">
        <v>249</v>
      </c>
      <c r="B124" s="1" t="s">
        <v>66</v>
      </c>
      <c r="C124" s="1" t="s">
        <v>250</v>
      </c>
      <c r="D124" s="1">
        <v>2</v>
      </c>
      <c r="E124" s="1">
        <v>3</v>
      </c>
      <c r="F124" s="1">
        <v>2</v>
      </c>
      <c r="G124" s="1">
        <v>3</v>
      </c>
      <c r="H124" s="1">
        <v>4</v>
      </c>
      <c r="I124" s="1">
        <v>4</v>
      </c>
      <c r="J124" s="1">
        <v>3</v>
      </c>
      <c r="K124" s="1">
        <v>3</v>
      </c>
      <c r="L124" s="1">
        <v>3</v>
      </c>
      <c r="M124" s="1">
        <v>3</v>
      </c>
      <c r="N124" s="1">
        <v>4</v>
      </c>
      <c r="O124" s="1">
        <v>3</v>
      </c>
      <c r="P124" s="1">
        <v>2</v>
      </c>
      <c r="Q124" s="1">
        <v>2</v>
      </c>
      <c r="R124" s="1">
        <v>3</v>
      </c>
      <c r="S124" s="1">
        <v>4</v>
      </c>
      <c r="T124" s="1">
        <v>4</v>
      </c>
      <c r="U124" s="1">
        <v>4</v>
      </c>
      <c r="V124" s="1">
        <v>2</v>
      </c>
      <c r="W124" s="1">
        <v>3</v>
      </c>
      <c r="X124" s="1">
        <v>3</v>
      </c>
      <c r="Y124" s="1">
        <v>3</v>
      </c>
      <c r="Z124" s="1">
        <v>3</v>
      </c>
      <c r="AA124" s="1">
        <v>2</v>
      </c>
      <c r="AB124" s="1">
        <v>3</v>
      </c>
      <c r="AC124" s="1">
        <v>3</v>
      </c>
      <c r="AD124" s="1">
        <v>4</v>
      </c>
      <c r="AE124" s="1">
        <v>3</v>
      </c>
      <c r="AF124" s="1">
        <v>3</v>
      </c>
      <c r="AG124" s="1">
        <v>1</v>
      </c>
      <c r="AH124" s="1">
        <v>4</v>
      </c>
      <c r="AI124" s="1">
        <v>4</v>
      </c>
      <c r="AJ124" s="1">
        <v>3</v>
      </c>
      <c r="AK124" s="1">
        <v>2</v>
      </c>
      <c r="AL124" s="1">
        <v>3</v>
      </c>
      <c r="AM124" s="1">
        <v>4</v>
      </c>
      <c r="AN124" s="1">
        <v>4</v>
      </c>
      <c r="AO124" s="1">
        <v>2</v>
      </c>
      <c r="AP124" s="1">
        <v>3</v>
      </c>
      <c r="AQ124" s="1">
        <v>2</v>
      </c>
      <c r="AR124" s="1">
        <v>4</v>
      </c>
      <c r="AS124" s="1">
        <v>5</v>
      </c>
      <c r="AT124" s="1">
        <v>4</v>
      </c>
      <c r="AU124" s="1">
        <v>4</v>
      </c>
      <c r="AV124" s="1">
        <v>3</v>
      </c>
      <c r="AW124" s="1">
        <v>3</v>
      </c>
      <c r="AX124" s="1">
        <v>2</v>
      </c>
      <c r="AY124" s="1">
        <v>3</v>
      </c>
      <c r="AZ124" s="1">
        <v>3</v>
      </c>
      <c r="BA124" s="1">
        <v>3</v>
      </c>
      <c r="BB124" s="1">
        <v>2</v>
      </c>
      <c r="BC124" s="1">
        <v>3</v>
      </c>
    </row>
    <row r="125" spans="1:55">
      <c r="A125" s="1" t="s">
        <v>251</v>
      </c>
      <c r="B125" s="1" t="s">
        <v>66</v>
      </c>
      <c r="C125" s="1" t="s">
        <v>250</v>
      </c>
      <c r="D125" s="1">
        <v>3</v>
      </c>
      <c r="E125" s="1">
        <v>3</v>
      </c>
      <c r="F125" s="1">
        <v>4</v>
      </c>
      <c r="G125" s="1">
        <v>2</v>
      </c>
      <c r="H125" s="1">
        <v>3</v>
      </c>
      <c r="I125" s="1">
        <v>3</v>
      </c>
      <c r="J125" s="1">
        <v>3</v>
      </c>
      <c r="K125" s="1">
        <v>3</v>
      </c>
      <c r="L125" s="1">
        <v>1</v>
      </c>
      <c r="M125" s="1">
        <v>2</v>
      </c>
      <c r="N125" s="1">
        <v>4</v>
      </c>
      <c r="O125" s="1">
        <v>3</v>
      </c>
      <c r="P125" s="1">
        <v>2</v>
      </c>
      <c r="Q125" s="1">
        <v>3</v>
      </c>
      <c r="R125" s="1">
        <v>4</v>
      </c>
      <c r="S125" s="1">
        <v>3</v>
      </c>
      <c r="T125" s="1">
        <v>3</v>
      </c>
      <c r="U125" s="1">
        <v>3</v>
      </c>
      <c r="V125" s="1">
        <v>3</v>
      </c>
      <c r="W125" s="1">
        <v>3</v>
      </c>
      <c r="X125" s="1">
        <v>3</v>
      </c>
      <c r="Y125" s="1">
        <v>3</v>
      </c>
      <c r="Z125" s="1">
        <v>3</v>
      </c>
      <c r="AA125" s="1">
        <v>4</v>
      </c>
      <c r="AB125" s="1">
        <v>2</v>
      </c>
      <c r="AC125" s="1">
        <v>3</v>
      </c>
      <c r="AD125" s="1">
        <v>4</v>
      </c>
      <c r="AE125" s="1">
        <v>3</v>
      </c>
      <c r="AF125" s="1">
        <v>3</v>
      </c>
      <c r="AG125" s="1">
        <v>3</v>
      </c>
      <c r="AH125" s="1">
        <v>4</v>
      </c>
      <c r="AI125" s="1">
        <v>3</v>
      </c>
      <c r="AJ125" s="1">
        <v>5</v>
      </c>
      <c r="AK125" s="1">
        <v>3</v>
      </c>
      <c r="AL125" s="1">
        <v>2</v>
      </c>
      <c r="AM125" s="1">
        <v>2</v>
      </c>
      <c r="AN125" s="1">
        <v>4</v>
      </c>
      <c r="AO125" s="1">
        <v>4</v>
      </c>
      <c r="AP125" s="1">
        <v>3</v>
      </c>
      <c r="AQ125" s="1">
        <v>3</v>
      </c>
      <c r="AR125" s="1">
        <v>2</v>
      </c>
      <c r="AS125" s="1">
        <v>2</v>
      </c>
      <c r="AT125" s="1">
        <v>3</v>
      </c>
      <c r="AU125" s="1">
        <v>2</v>
      </c>
      <c r="AV125" s="1">
        <v>5</v>
      </c>
      <c r="AW125" s="1">
        <v>5</v>
      </c>
      <c r="AX125" s="1">
        <v>4</v>
      </c>
      <c r="AY125" s="1">
        <v>4</v>
      </c>
      <c r="AZ125" s="1">
        <v>2</v>
      </c>
      <c r="BA125" s="1">
        <v>3</v>
      </c>
      <c r="BB125" s="1">
        <v>3</v>
      </c>
      <c r="BC125" s="1">
        <v>2</v>
      </c>
    </row>
    <row r="126" spans="1:55">
      <c r="A126" s="1" t="s">
        <v>252</v>
      </c>
      <c r="B126" s="1" t="s">
        <v>66</v>
      </c>
      <c r="C126" s="1" t="s">
        <v>253</v>
      </c>
      <c r="D126" s="1">
        <v>4</v>
      </c>
      <c r="E126" s="1">
        <v>4</v>
      </c>
      <c r="F126" s="1">
        <v>3</v>
      </c>
      <c r="G126" s="1">
        <v>2</v>
      </c>
      <c r="H126" s="1">
        <v>1</v>
      </c>
      <c r="I126" s="1">
        <v>3</v>
      </c>
      <c r="J126" s="1">
        <v>3</v>
      </c>
      <c r="K126" s="1">
        <v>4</v>
      </c>
      <c r="L126" s="1">
        <v>3</v>
      </c>
      <c r="M126" s="1">
        <v>3</v>
      </c>
      <c r="N126" s="1">
        <v>3</v>
      </c>
      <c r="O126" s="1">
        <v>3</v>
      </c>
      <c r="P126" s="1">
        <v>4</v>
      </c>
      <c r="Q126" s="1">
        <v>3</v>
      </c>
      <c r="R126" s="1">
        <v>3</v>
      </c>
      <c r="S126" s="1">
        <v>3</v>
      </c>
      <c r="T126" s="1">
        <v>3</v>
      </c>
      <c r="U126" s="1">
        <v>4</v>
      </c>
      <c r="V126" s="1">
        <v>2</v>
      </c>
      <c r="W126" s="1">
        <v>3</v>
      </c>
      <c r="X126" s="1">
        <v>2</v>
      </c>
      <c r="Y126" s="1">
        <v>3</v>
      </c>
      <c r="Z126" s="1">
        <v>3</v>
      </c>
      <c r="AA126" s="1">
        <v>4</v>
      </c>
      <c r="AB126" s="1">
        <v>4</v>
      </c>
      <c r="AC126" s="1">
        <v>3</v>
      </c>
      <c r="AD126" s="1">
        <v>4</v>
      </c>
      <c r="AE126" s="1">
        <v>4</v>
      </c>
      <c r="AF126" s="1">
        <v>2</v>
      </c>
      <c r="AG126" s="1">
        <v>3</v>
      </c>
      <c r="AH126" s="1">
        <v>3</v>
      </c>
      <c r="AI126" s="1">
        <v>2</v>
      </c>
      <c r="AJ126" s="1">
        <v>3</v>
      </c>
      <c r="AK126" s="1">
        <v>3</v>
      </c>
      <c r="AL126" s="1">
        <v>4</v>
      </c>
      <c r="AM126" s="1">
        <v>4</v>
      </c>
      <c r="AN126" s="1">
        <v>2</v>
      </c>
      <c r="AO126" s="1">
        <v>4</v>
      </c>
      <c r="AP126" s="1">
        <v>4</v>
      </c>
      <c r="AQ126" s="1">
        <v>5</v>
      </c>
      <c r="AR126" s="1">
        <v>4</v>
      </c>
      <c r="AS126" s="1">
        <v>3</v>
      </c>
      <c r="AT126" s="1">
        <v>3</v>
      </c>
      <c r="AU126" s="1">
        <v>2</v>
      </c>
      <c r="AV126" s="1">
        <v>3</v>
      </c>
      <c r="AW126" s="1">
        <v>3</v>
      </c>
      <c r="AX126" s="1">
        <v>4</v>
      </c>
      <c r="AY126" s="1">
        <v>3</v>
      </c>
      <c r="AZ126" s="1">
        <v>5</v>
      </c>
      <c r="BA126" s="1">
        <v>4</v>
      </c>
      <c r="BB126" s="1">
        <v>4</v>
      </c>
      <c r="BC126" s="1">
        <v>3</v>
      </c>
    </row>
    <row r="127" spans="1:55">
      <c r="A127" s="1" t="s">
        <v>254</v>
      </c>
      <c r="B127" s="1" t="s">
        <v>66</v>
      </c>
      <c r="C127" s="1" t="s">
        <v>253</v>
      </c>
      <c r="D127" s="1">
        <v>3</v>
      </c>
      <c r="E127" s="1">
        <v>3</v>
      </c>
      <c r="F127" s="1">
        <v>2</v>
      </c>
      <c r="G127" s="1">
        <v>2</v>
      </c>
      <c r="H127" s="1">
        <v>4</v>
      </c>
      <c r="I127" s="1">
        <v>4</v>
      </c>
      <c r="J127" s="1">
        <v>4</v>
      </c>
      <c r="K127" s="1">
        <v>3</v>
      </c>
      <c r="L127" s="1">
        <v>5</v>
      </c>
      <c r="M127" s="1">
        <v>3</v>
      </c>
      <c r="N127" s="1">
        <v>3</v>
      </c>
      <c r="O127" s="1">
        <v>3</v>
      </c>
      <c r="P127" s="1">
        <v>3</v>
      </c>
      <c r="Q127" s="1">
        <v>4</v>
      </c>
      <c r="R127" s="1">
        <v>3</v>
      </c>
      <c r="S127" s="1">
        <v>3</v>
      </c>
      <c r="T127" s="1">
        <v>3</v>
      </c>
      <c r="U127" s="1">
        <v>3</v>
      </c>
      <c r="V127" s="1">
        <v>3</v>
      </c>
      <c r="W127" s="1">
        <v>2</v>
      </c>
      <c r="X127" s="1">
        <v>4</v>
      </c>
      <c r="Y127" s="1">
        <v>2</v>
      </c>
      <c r="Z127" s="1">
        <v>3</v>
      </c>
      <c r="AA127" s="1">
        <v>3</v>
      </c>
      <c r="AB127" s="1">
        <v>4</v>
      </c>
      <c r="AC127" s="1">
        <v>2</v>
      </c>
      <c r="AD127" s="1">
        <v>3</v>
      </c>
      <c r="AE127" s="1">
        <v>4</v>
      </c>
      <c r="AF127" s="1">
        <v>2</v>
      </c>
      <c r="AG127" s="1">
        <v>2</v>
      </c>
      <c r="AH127" s="1">
        <v>4</v>
      </c>
      <c r="AI127" s="1">
        <v>5</v>
      </c>
      <c r="AJ127" s="1">
        <v>5</v>
      </c>
      <c r="AK127" s="1">
        <v>3</v>
      </c>
      <c r="AL127" s="1">
        <v>3</v>
      </c>
      <c r="AM127" s="1">
        <v>4</v>
      </c>
      <c r="AN127" s="1">
        <v>4</v>
      </c>
      <c r="AO127" s="1">
        <v>2</v>
      </c>
      <c r="AP127" s="1">
        <v>4</v>
      </c>
      <c r="AQ127" s="1">
        <v>3</v>
      </c>
      <c r="AR127" s="1">
        <v>4</v>
      </c>
      <c r="AS127" s="1">
        <v>3</v>
      </c>
      <c r="AT127" s="1">
        <v>4</v>
      </c>
      <c r="AU127" s="1">
        <v>2</v>
      </c>
      <c r="AV127" s="1">
        <v>4</v>
      </c>
      <c r="AW127" s="1">
        <v>4</v>
      </c>
      <c r="AX127" s="1">
        <v>4</v>
      </c>
      <c r="AY127" s="1">
        <v>3</v>
      </c>
      <c r="AZ127" s="1">
        <v>3</v>
      </c>
      <c r="BA127" s="1">
        <v>3</v>
      </c>
      <c r="BB127" s="1">
        <v>3</v>
      </c>
      <c r="BC127" s="1">
        <v>1</v>
      </c>
    </row>
    <row r="128" spans="1:55">
      <c r="A128" s="1" t="s">
        <v>255</v>
      </c>
      <c r="B128" s="1" t="s">
        <v>66</v>
      </c>
      <c r="C128" s="1" t="s">
        <v>256</v>
      </c>
      <c r="D128" s="1">
        <v>3</v>
      </c>
      <c r="E128" s="1">
        <v>3</v>
      </c>
      <c r="F128" s="1">
        <v>4</v>
      </c>
      <c r="G128" s="1">
        <v>4</v>
      </c>
      <c r="H128" s="1">
        <v>3</v>
      </c>
      <c r="I128" s="1">
        <v>3</v>
      </c>
      <c r="J128" s="1">
        <v>3</v>
      </c>
      <c r="K128" s="1">
        <v>2</v>
      </c>
      <c r="L128" s="1">
        <v>3</v>
      </c>
      <c r="M128" s="1">
        <v>2</v>
      </c>
      <c r="N128" s="1">
        <v>2</v>
      </c>
      <c r="O128" s="1">
        <v>3</v>
      </c>
      <c r="P128" s="1">
        <v>2</v>
      </c>
      <c r="Q128" s="1">
        <v>3</v>
      </c>
      <c r="R128" s="1">
        <v>2</v>
      </c>
      <c r="S128" s="1">
        <v>3</v>
      </c>
      <c r="T128" s="1">
        <v>3</v>
      </c>
      <c r="U128" s="1">
        <v>3</v>
      </c>
      <c r="V128" s="1">
        <v>3</v>
      </c>
      <c r="W128" s="1">
        <v>3</v>
      </c>
      <c r="X128" s="1">
        <v>3</v>
      </c>
      <c r="Y128" s="1">
        <v>2</v>
      </c>
      <c r="Z128" s="1">
        <v>2</v>
      </c>
      <c r="AA128" s="1">
        <v>3</v>
      </c>
      <c r="AB128" s="1">
        <v>3</v>
      </c>
      <c r="AC128" s="1">
        <v>3</v>
      </c>
      <c r="AD128" s="1">
        <v>4</v>
      </c>
      <c r="AE128" s="1">
        <v>3</v>
      </c>
      <c r="AF128" s="1">
        <v>3</v>
      </c>
      <c r="AG128" s="1">
        <v>3</v>
      </c>
      <c r="AH128" s="1">
        <v>2</v>
      </c>
      <c r="AI128" s="1">
        <v>4</v>
      </c>
      <c r="AJ128" s="1">
        <v>4</v>
      </c>
      <c r="AK128" s="1">
        <v>4</v>
      </c>
      <c r="AL128" s="1">
        <v>4</v>
      </c>
      <c r="AM128" s="1">
        <v>2</v>
      </c>
      <c r="AN128" s="1">
        <v>2</v>
      </c>
      <c r="AO128" s="1">
        <v>4</v>
      </c>
      <c r="AP128" s="1">
        <v>4</v>
      </c>
      <c r="AQ128" s="1">
        <v>3</v>
      </c>
      <c r="AR128" s="1">
        <v>3</v>
      </c>
      <c r="AS128" s="1">
        <v>3</v>
      </c>
      <c r="AT128" s="1">
        <v>3</v>
      </c>
      <c r="AU128" s="1">
        <v>2</v>
      </c>
      <c r="AV128" s="1">
        <v>4</v>
      </c>
      <c r="AW128" s="1">
        <v>3</v>
      </c>
      <c r="AX128" s="1">
        <v>3</v>
      </c>
      <c r="AY128" s="1">
        <v>2</v>
      </c>
      <c r="AZ128" s="1">
        <v>4</v>
      </c>
      <c r="BA128" s="1">
        <v>3</v>
      </c>
      <c r="BB128" s="1">
        <v>3</v>
      </c>
      <c r="BC128" s="1">
        <v>3</v>
      </c>
    </row>
    <row r="129" spans="1:55">
      <c r="A129" s="1" t="s">
        <v>257</v>
      </c>
      <c r="B129" s="1" t="s">
        <v>66</v>
      </c>
      <c r="C129" s="1" t="s">
        <v>256</v>
      </c>
      <c r="D129" s="1">
        <v>3</v>
      </c>
      <c r="E129" s="1">
        <v>3</v>
      </c>
      <c r="F129" s="1">
        <v>4</v>
      </c>
      <c r="G129" s="1">
        <v>3</v>
      </c>
      <c r="H129" s="1">
        <v>3</v>
      </c>
      <c r="I129" s="1">
        <v>3</v>
      </c>
      <c r="J129" s="1">
        <v>3</v>
      </c>
      <c r="K129" s="1">
        <v>3</v>
      </c>
      <c r="L129" s="1">
        <v>2</v>
      </c>
      <c r="M129" s="1">
        <v>3</v>
      </c>
      <c r="N129" s="1">
        <v>3</v>
      </c>
      <c r="O129" s="1">
        <v>3</v>
      </c>
      <c r="P129" s="1">
        <v>2</v>
      </c>
      <c r="Q129" s="1">
        <v>3</v>
      </c>
      <c r="R129" s="1">
        <v>3</v>
      </c>
      <c r="S129" s="1">
        <v>3</v>
      </c>
      <c r="T129" s="1">
        <v>3</v>
      </c>
      <c r="U129" s="1">
        <v>3</v>
      </c>
      <c r="V129" s="1">
        <v>2</v>
      </c>
      <c r="W129" s="1">
        <v>2</v>
      </c>
      <c r="X129" s="1">
        <v>3</v>
      </c>
      <c r="Y129" s="1">
        <v>3</v>
      </c>
      <c r="Z129" s="1">
        <v>3</v>
      </c>
      <c r="AA129" s="1">
        <v>3</v>
      </c>
      <c r="AB129" s="1">
        <v>3</v>
      </c>
      <c r="AC129" s="1">
        <v>3</v>
      </c>
      <c r="AD129" s="1">
        <v>3</v>
      </c>
      <c r="AE129" s="1">
        <v>3</v>
      </c>
      <c r="AF129" s="1">
        <v>3</v>
      </c>
      <c r="AG129" s="1">
        <v>2</v>
      </c>
      <c r="AH129" s="1">
        <v>4</v>
      </c>
      <c r="AI129" s="1">
        <v>3</v>
      </c>
      <c r="AJ129" s="1">
        <v>3</v>
      </c>
      <c r="AK129" s="1">
        <v>2</v>
      </c>
      <c r="AL129" s="1">
        <v>2</v>
      </c>
      <c r="AM129" s="1">
        <v>3</v>
      </c>
      <c r="AN129" s="1">
        <v>4</v>
      </c>
      <c r="AO129" s="1">
        <v>3</v>
      </c>
      <c r="AP129" s="1">
        <v>3</v>
      </c>
      <c r="AQ129" s="1">
        <v>3</v>
      </c>
      <c r="AR129" s="1">
        <v>2</v>
      </c>
      <c r="AS129" s="1">
        <v>2</v>
      </c>
      <c r="AT129" s="1">
        <v>3</v>
      </c>
      <c r="AU129" s="1">
        <v>4</v>
      </c>
      <c r="AV129" s="1">
        <v>3</v>
      </c>
      <c r="AW129" s="1">
        <v>3</v>
      </c>
      <c r="AX129" s="1">
        <v>3</v>
      </c>
      <c r="AY129" s="1">
        <v>3</v>
      </c>
      <c r="AZ129" s="1">
        <v>4</v>
      </c>
      <c r="BA129" s="1">
        <v>3</v>
      </c>
      <c r="BB129" s="1">
        <v>2</v>
      </c>
      <c r="BC129" s="1">
        <v>2</v>
      </c>
    </row>
    <row r="130" spans="1:55">
      <c r="A130" s="1" t="s">
        <v>258</v>
      </c>
      <c r="B130" s="1" t="s">
        <v>66</v>
      </c>
      <c r="C130" s="1" t="s">
        <v>259</v>
      </c>
      <c r="D130" s="1">
        <v>3</v>
      </c>
      <c r="E130" s="1">
        <v>3</v>
      </c>
      <c r="F130" s="1">
        <v>4</v>
      </c>
      <c r="G130" s="1">
        <v>4</v>
      </c>
      <c r="H130" s="1">
        <v>4</v>
      </c>
      <c r="I130" s="1">
        <v>4</v>
      </c>
      <c r="J130" s="1">
        <v>3</v>
      </c>
      <c r="K130" s="1">
        <v>4</v>
      </c>
      <c r="L130" s="1">
        <v>4</v>
      </c>
      <c r="M130" s="1">
        <v>4</v>
      </c>
      <c r="N130" s="1">
        <v>4</v>
      </c>
      <c r="O130" s="1">
        <v>3</v>
      </c>
      <c r="P130" s="1">
        <v>3</v>
      </c>
      <c r="Q130" s="1">
        <v>3</v>
      </c>
      <c r="R130" s="1">
        <v>3</v>
      </c>
      <c r="S130" s="1">
        <v>3</v>
      </c>
      <c r="T130" s="1">
        <v>3</v>
      </c>
      <c r="U130" s="1">
        <v>2</v>
      </c>
      <c r="V130" s="1">
        <v>3</v>
      </c>
      <c r="W130" s="1">
        <v>2</v>
      </c>
      <c r="X130" s="1">
        <v>2</v>
      </c>
      <c r="Y130" s="1">
        <v>2</v>
      </c>
      <c r="Z130" s="1">
        <v>3</v>
      </c>
      <c r="AA130" s="1">
        <v>4</v>
      </c>
      <c r="AB130" s="1">
        <v>4</v>
      </c>
      <c r="AC130" s="1">
        <v>2</v>
      </c>
      <c r="AD130" s="1">
        <v>3</v>
      </c>
      <c r="AE130" s="1">
        <v>3</v>
      </c>
      <c r="AF130" s="1">
        <v>3</v>
      </c>
      <c r="AG130" s="1">
        <v>4</v>
      </c>
      <c r="AH130" s="1">
        <v>4</v>
      </c>
      <c r="AI130" s="1">
        <v>3</v>
      </c>
      <c r="AJ130" s="1">
        <v>4</v>
      </c>
      <c r="AK130" s="1">
        <v>5</v>
      </c>
      <c r="AL130" s="1">
        <v>4</v>
      </c>
      <c r="AM130" s="1">
        <v>2</v>
      </c>
      <c r="AN130" s="1">
        <v>4</v>
      </c>
      <c r="AO130" s="1">
        <v>3</v>
      </c>
      <c r="AP130" s="1">
        <v>4</v>
      </c>
      <c r="AQ130" s="1">
        <v>4</v>
      </c>
      <c r="AR130" s="1">
        <v>3</v>
      </c>
      <c r="AS130" s="1">
        <v>4</v>
      </c>
      <c r="AT130" s="1">
        <v>3</v>
      </c>
      <c r="AU130" s="1">
        <v>3</v>
      </c>
      <c r="AV130" s="1">
        <v>4</v>
      </c>
      <c r="AW130" s="1">
        <v>3</v>
      </c>
      <c r="AX130" s="1">
        <v>2</v>
      </c>
      <c r="AY130" s="1">
        <v>4</v>
      </c>
      <c r="AZ130" s="1">
        <v>4</v>
      </c>
      <c r="BA130" s="1">
        <v>4</v>
      </c>
      <c r="BB130" s="1">
        <v>3</v>
      </c>
      <c r="BC130" s="1">
        <v>2</v>
      </c>
    </row>
    <row r="131" spans="1:55">
      <c r="A131" s="1" t="s">
        <v>260</v>
      </c>
      <c r="B131" s="1" t="s">
        <v>66</v>
      </c>
      <c r="C131" s="1" t="s">
        <v>259</v>
      </c>
      <c r="D131" s="1">
        <v>3</v>
      </c>
      <c r="E131" s="1">
        <v>5</v>
      </c>
      <c r="F131" s="1">
        <v>2</v>
      </c>
      <c r="G131" s="1">
        <v>1</v>
      </c>
      <c r="H131" s="1">
        <v>2</v>
      </c>
      <c r="I131" s="1">
        <v>2</v>
      </c>
      <c r="J131" s="1">
        <v>1</v>
      </c>
      <c r="K131" s="1">
        <v>2</v>
      </c>
      <c r="L131" s="1">
        <v>1</v>
      </c>
      <c r="M131" s="1">
        <v>5</v>
      </c>
      <c r="N131" s="1">
        <v>3</v>
      </c>
      <c r="O131" s="1">
        <v>2</v>
      </c>
      <c r="P131" s="1">
        <v>2</v>
      </c>
      <c r="Q131" s="1">
        <v>2</v>
      </c>
      <c r="R131" s="1">
        <v>3</v>
      </c>
      <c r="S131" s="1">
        <v>4</v>
      </c>
      <c r="T131" s="1">
        <v>5</v>
      </c>
      <c r="U131" s="1">
        <v>5</v>
      </c>
      <c r="V131" s="1">
        <v>2</v>
      </c>
      <c r="W131" s="1">
        <v>2</v>
      </c>
      <c r="X131" s="1">
        <v>2</v>
      </c>
      <c r="Y131" s="1">
        <v>2</v>
      </c>
      <c r="Z131" s="1">
        <v>3</v>
      </c>
      <c r="AA131" s="1">
        <v>3</v>
      </c>
      <c r="AB131" s="1">
        <v>2</v>
      </c>
      <c r="AC131" s="1">
        <v>3</v>
      </c>
      <c r="AD131" s="1">
        <v>4</v>
      </c>
      <c r="AE131" s="1">
        <v>3</v>
      </c>
      <c r="AF131" s="1">
        <v>2</v>
      </c>
      <c r="AG131" s="1">
        <v>3</v>
      </c>
      <c r="AH131" s="1">
        <v>2</v>
      </c>
      <c r="AI131" s="1">
        <v>3</v>
      </c>
      <c r="AJ131" s="1">
        <v>2</v>
      </c>
      <c r="AK131" s="1">
        <v>4</v>
      </c>
      <c r="AL131" s="1">
        <v>3</v>
      </c>
      <c r="AM131" s="1">
        <v>4</v>
      </c>
      <c r="AN131" s="1">
        <v>3</v>
      </c>
      <c r="AO131" s="1">
        <v>3</v>
      </c>
      <c r="AP131" s="1">
        <v>3</v>
      </c>
      <c r="AQ131" s="1">
        <v>4</v>
      </c>
      <c r="AR131" s="1">
        <v>5</v>
      </c>
      <c r="AS131" s="1">
        <v>4</v>
      </c>
      <c r="AT131" s="1">
        <v>4</v>
      </c>
      <c r="AU131" s="1">
        <v>5</v>
      </c>
      <c r="AV131" s="1">
        <v>3</v>
      </c>
      <c r="AW131" s="1">
        <v>5</v>
      </c>
      <c r="AX131" s="1">
        <v>4</v>
      </c>
      <c r="AY131" s="1">
        <v>4</v>
      </c>
      <c r="AZ131" s="1">
        <v>2</v>
      </c>
      <c r="BA131" s="1">
        <v>3</v>
      </c>
      <c r="BB131" s="1">
        <v>3</v>
      </c>
      <c r="BC131" s="1">
        <v>3</v>
      </c>
    </row>
    <row r="132" spans="1:55">
      <c r="A132" s="1" t="s">
        <v>261</v>
      </c>
      <c r="B132" s="1" t="s">
        <v>66</v>
      </c>
      <c r="C132" s="1" t="s">
        <v>262</v>
      </c>
      <c r="D132" s="1">
        <v>3</v>
      </c>
      <c r="E132" s="1">
        <v>2</v>
      </c>
      <c r="F132" s="1">
        <v>3</v>
      </c>
      <c r="G132" s="1">
        <v>3</v>
      </c>
      <c r="H132" s="1">
        <v>4</v>
      </c>
      <c r="I132" s="1">
        <v>3</v>
      </c>
      <c r="J132" s="1">
        <v>3</v>
      </c>
      <c r="K132" s="1">
        <v>3</v>
      </c>
      <c r="L132" s="1">
        <v>3</v>
      </c>
      <c r="M132" s="1">
        <v>2</v>
      </c>
      <c r="N132" s="1">
        <v>3</v>
      </c>
      <c r="O132" s="1">
        <v>3</v>
      </c>
      <c r="P132" s="1">
        <v>4</v>
      </c>
      <c r="Q132" s="1">
        <v>3</v>
      </c>
      <c r="R132" s="1">
        <v>1</v>
      </c>
      <c r="S132" s="1">
        <v>3</v>
      </c>
      <c r="T132" s="1">
        <v>3</v>
      </c>
      <c r="U132" s="1">
        <v>2</v>
      </c>
      <c r="V132" s="1">
        <v>4</v>
      </c>
      <c r="W132" s="1">
        <v>3</v>
      </c>
      <c r="X132" s="1">
        <v>3</v>
      </c>
      <c r="Y132" s="1">
        <v>2</v>
      </c>
      <c r="Z132" s="1">
        <v>3</v>
      </c>
      <c r="AA132" s="1">
        <v>2</v>
      </c>
      <c r="AB132" s="1">
        <v>3</v>
      </c>
      <c r="AC132" s="1">
        <v>3</v>
      </c>
      <c r="AD132" s="1">
        <v>3</v>
      </c>
      <c r="AE132" s="1">
        <v>2</v>
      </c>
      <c r="AF132" s="1">
        <v>4</v>
      </c>
      <c r="AG132" s="1">
        <v>4</v>
      </c>
      <c r="AH132" s="1">
        <v>4</v>
      </c>
      <c r="AI132" s="1">
        <v>4</v>
      </c>
      <c r="AJ132" s="1">
        <v>4</v>
      </c>
      <c r="AK132" s="1">
        <v>3</v>
      </c>
      <c r="AL132" s="1">
        <v>3</v>
      </c>
      <c r="AM132" s="1">
        <v>3</v>
      </c>
      <c r="AN132" s="1">
        <v>4</v>
      </c>
      <c r="AO132" s="1">
        <v>3</v>
      </c>
      <c r="AP132" s="1">
        <v>3</v>
      </c>
      <c r="AQ132" s="1">
        <v>3</v>
      </c>
      <c r="AR132" s="1">
        <v>3</v>
      </c>
      <c r="AS132" s="1">
        <v>2</v>
      </c>
      <c r="AT132" s="1">
        <v>3</v>
      </c>
      <c r="AU132" s="1">
        <v>2</v>
      </c>
      <c r="AV132" s="1">
        <v>4</v>
      </c>
      <c r="AW132" s="1">
        <v>3</v>
      </c>
      <c r="AX132" s="1">
        <v>2</v>
      </c>
      <c r="AY132" s="1">
        <v>3</v>
      </c>
      <c r="AZ132" s="1">
        <v>3</v>
      </c>
      <c r="BA132" s="1">
        <v>3</v>
      </c>
      <c r="BB132" s="1">
        <v>3</v>
      </c>
      <c r="BC132" s="1">
        <v>2</v>
      </c>
    </row>
    <row r="133" spans="1:55">
      <c r="A133" s="1" t="s">
        <v>263</v>
      </c>
      <c r="B133" s="1" t="s">
        <v>66</v>
      </c>
      <c r="C133" s="1" t="s">
        <v>262</v>
      </c>
      <c r="D133" s="1">
        <v>3</v>
      </c>
      <c r="E133" s="1">
        <v>3</v>
      </c>
      <c r="F133" s="1">
        <v>3</v>
      </c>
      <c r="G133" s="1">
        <v>3</v>
      </c>
      <c r="H133" s="1">
        <v>3</v>
      </c>
      <c r="I133" s="1">
        <v>3</v>
      </c>
      <c r="J133" s="1">
        <v>3</v>
      </c>
      <c r="K133" s="1">
        <v>3</v>
      </c>
      <c r="L133" s="1">
        <v>4</v>
      </c>
      <c r="M133" s="1">
        <v>3</v>
      </c>
      <c r="N133" s="1">
        <v>3</v>
      </c>
      <c r="O133" s="1">
        <v>4</v>
      </c>
      <c r="P133" s="1">
        <v>4</v>
      </c>
      <c r="Q133" s="1">
        <v>4</v>
      </c>
      <c r="R133" s="1">
        <v>2</v>
      </c>
      <c r="S133" s="1">
        <v>3</v>
      </c>
      <c r="T133" s="1">
        <v>2</v>
      </c>
      <c r="U133" s="1">
        <v>4</v>
      </c>
      <c r="V133" s="1">
        <v>2</v>
      </c>
      <c r="W133" s="1">
        <v>3</v>
      </c>
      <c r="X133" s="1">
        <v>3</v>
      </c>
      <c r="Y133" s="1">
        <v>3</v>
      </c>
      <c r="Z133" s="1">
        <v>3</v>
      </c>
      <c r="AA133" s="1">
        <v>4</v>
      </c>
      <c r="AB133" s="1">
        <v>3</v>
      </c>
      <c r="AC133" s="1">
        <v>3</v>
      </c>
      <c r="AD133" s="1">
        <v>4</v>
      </c>
      <c r="AE133" s="1">
        <v>3</v>
      </c>
      <c r="AF133" s="1">
        <v>3</v>
      </c>
      <c r="AG133" s="1">
        <v>3</v>
      </c>
      <c r="AH133" s="1">
        <v>2</v>
      </c>
      <c r="AI133" s="1">
        <v>3</v>
      </c>
      <c r="AJ133" s="1">
        <v>3</v>
      </c>
      <c r="AK133" s="1">
        <v>4</v>
      </c>
      <c r="AL133" s="1">
        <v>4</v>
      </c>
      <c r="AM133" s="1">
        <v>3</v>
      </c>
      <c r="AN133" s="1">
        <v>4</v>
      </c>
      <c r="AO133" s="1">
        <v>4</v>
      </c>
      <c r="AP133" s="1">
        <v>5</v>
      </c>
      <c r="AQ133" s="1">
        <v>4</v>
      </c>
      <c r="AR133" s="1">
        <v>3</v>
      </c>
      <c r="AS133" s="1">
        <v>2</v>
      </c>
      <c r="AT133" s="1">
        <v>3</v>
      </c>
      <c r="AU133" s="1">
        <v>4</v>
      </c>
      <c r="AV133" s="1">
        <v>3</v>
      </c>
      <c r="AW133" s="1">
        <v>4</v>
      </c>
      <c r="AX133" s="1">
        <v>3</v>
      </c>
      <c r="AY133" s="1">
        <v>4</v>
      </c>
      <c r="AZ133" s="1">
        <v>5</v>
      </c>
      <c r="BA133" s="1">
        <v>4</v>
      </c>
      <c r="BB133" s="1">
        <v>4</v>
      </c>
      <c r="BC133" s="1">
        <v>3</v>
      </c>
    </row>
    <row r="134" spans="1:55">
      <c r="A134" s="1" t="s">
        <v>264</v>
      </c>
      <c r="B134" s="1" t="s">
        <v>66</v>
      </c>
      <c r="C134" s="1" t="s">
        <v>265</v>
      </c>
      <c r="D134" s="1">
        <v>3</v>
      </c>
      <c r="E134" s="1">
        <v>4</v>
      </c>
      <c r="F134" s="1">
        <v>3</v>
      </c>
      <c r="G134" s="1">
        <v>4</v>
      </c>
      <c r="H134" s="1">
        <v>4</v>
      </c>
      <c r="I134" s="1">
        <v>3</v>
      </c>
      <c r="J134" s="1">
        <v>4</v>
      </c>
      <c r="K134" s="1">
        <v>3</v>
      </c>
      <c r="L134" s="1">
        <v>3</v>
      </c>
      <c r="M134" s="1">
        <v>3</v>
      </c>
      <c r="N134" s="1">
        <v>4</v>
      </c>
      <c r="O134" s="1">
        <v>3</v>
      </c>
      <c r="P134" s="1">
        <v>2</v>
      </c>
      <c r="Q134" s="1">
        <v>3</v>
      </c>
      <c r="R134" s="1">
        <v>4</v>
      </c>
      <c r="S134" s="1">
        <v>4</v>
      </c>
      <c r="T134" s="1">
        <v>3</v>
      </c>
      <c r="U134" s="1">
        <v>3</v>
      </c>
      <c r="V134" s="1">
        <v>4</v>
      </c>
      <c r="W134" s="1">
        <v>2</v>
      </c>
      <c r="X134" s="1">
        <v>1</v>
      </c>
      <c r="Y134" s="1">
        <v>2</v>
      </c>
      <c r="Z134" s="1">
        <v>3</v>
      </c>
      <c r="AA134" s="1">
        <v>3</v>
      </c>
      <c r="AB134" s="1">
        <v>3</v>
      </c>
      <c r="AC134" s="1">
        <v>1</v>
      </c>
      <c r="AD134" s="1">
        <v>4</v>
      </c>
      <c r="AE134" s="1">
        <v>4</v>
      </c>
      <c r="AF134" s="1">
        <v>2</v>
      </c>
      <c r="AG134" s="1">
        <v>2</v>
      </c>
      <c r="AH134" s="1">
        <v>4</v>
      </c>
      <c r="AI134" s="1">
        <v>4</v>
      </c>
      <c r="AJ134" s="1">
        <v>4</v>
      </c>
      <c r="AK134" s="1">
        <v>3</v>
      </c>
      <c r="AL134" s="1">
        <v>3</v>
      </c>
      <c r="AM134" s="1">
        <v>4</v>
      </c>
      <c r="AN134" s="1">
        <v>3</v>
      </c>
      <c r="AO134" s="1">
        <v>4</v>
      </c>
      <c r="AP134" s="1">
        <v>2</v>
      </c>
      <c r="AQ134" s="1">
        <v>3</v>
      </c>
      <c r="AR134" s="1">
        <v>3</v>
      </c>
      <c r="AS134" s="1">
        <v>4</v>
      </c>
      <c r="AT134" s="1">
        <v>4</v>
      </c>
      <c r="AU134" s="1">
        <v>4</v>
      </c>
      <c r="AV134" s="1">
        <v>4</v>
      </c>
      <c r="AW134" s="1">
        <v>3</v>
      </c>
      <c r="AX134" s="1">
        <v>3</v>
      </c>
      <c r="AY134" s="1">
        <v>2</v>
      </c>
      <c r="AZ134" s="1">
        <v>4</v>
      </c>
      <c r="BA134" s="1">
        <v>4</v>
      </c>
      <c r="BB134" s="1">
        <v>3</v>
      </c>
      <c r="BC134" s="1">
        <v>2</v>
      </c>
    </row>
    <row r="135" spans="1:55">
      <c r="A135" s="1" t="s">
        <v>266</v>
      </c>
      <c r="B135" s="1" t="s">
        <v>66</v>
      </c>
      <c r="C135" s="1" t="s">
        <v>265</v>
      </c>
      <c r="D135" s="1">
        <v>2</v>
      </c>
      <c r="E135" s="1">
        <v>3</v>
      </c>
      <c r="F135" s="1">
        <v>3</v>
      </c>
      <c r="G135" s="1">
        <v>3</v>
      </c>
      <c r="H135" s="1">
        <v>2</v>
      </c>
      <c r="I135" s="1">
        <v>2</v>
      </c>
      <c r="J135" s="1">
        <v>4</v>
      </c>
      <c r="K135" s="1">
        <v>3</v>
      </c>
      <c r="L135" s="1">
        <v>3</v>
      </c>
      <c r="M135" s="1">
        <v>4</v>
      </c>
      <c r="N135" s="1">
        <v>2</v>
      </c>
      <c r="O135" s="1">
        <v>2</v>
      </c>
      <c r="P135" s="1">
        <v>2</v>
      </c>
      <c r="Q135" s="1">
        <v>3</v>
      </c>
      <c r="R135" s="1">
        <v>2</v>
      </c>
      <c r="S135" s="1">
        <v>4</v>
      </c>
      <c r="T135" s="1">
        <v>4</v>
      </c>
      <c r="U135" s="1">
        <v>4</v>
      </c>
      <c r="V135" s="1">
        <v>3</v>
      </c>
      <c r="W135" s="1">
        <v>3</v>
      </c>
      <c r="X135" s="1">
        <v>3</v>
      </c>
      <c r="Y135" s="1">
        <v>3</v>
      </c>
      <c r="Z135" s="1">
        <v>2</v>
      </c>
      <c r="AA135" s="1">
        <v>2</v>
      </c>
      <c r="AB135" s="1">
        <v>2</v>
      </c>
      <c r="AC135" s="1">
        <v>3</v>
      </c>
      <c r="AD135" s="1">
        <v>3</v>
      </c>
      <c r="AE135" s="1">
        <v>2</v>
      </c>
      <c r="AF135" s="1">
        <v>2</v>
      </c>
      <c r="AG135" s="1">
        <v>3</v>
      </c>
      <c r="AH135" s="1">
        <v>4</v>
      </c>
      <c r="AI135" s="1">
        <v>4</v>
      </c>
      <c r="AJ135" s="1">
        <v>4</v>
      </c>
      <c r="AK135" s="1">
        <v>3</v>
      </c>
      <c r="AL135" s="1">
        <v>3</v>
      </c>
      <c r="AM135" s="1">
        <v>3</v>
      </c>
      <c r="AN135" s="1">
        <v>3</v>
      </c>
      <c r="AO135" s="1">
        <v>3</v>
      </c>
      <c r="AP135" s="1">
        <v>3</v>
      </c>
      <c r="AQ135" s="1">
        <v>3</v>
      </c>
      <c r="AR135" s="1">
        <v>3</v>
      </c>
      <c r="AS135" s="1">
        <v>3</v>
      </c>
      <c r="AT135" s="1">
        <v>3</v>
      </c>
      <c r="AU135" s="1">
        <v>3</v>
      </c>
      <c r="AV135" s="1">
        <v>4</v>
      </c>
      <c r="AW135" s="1">
        <v>4</v>
      </c>
      <c r="AX135" s="1">
        <v>2</v>
      </c>
      <c r="AY135" s="1">
        <v>3</v>
      </c>
      <c r="AZ135" s="1">
        <v>3</v>
      </c>
      <c r="BA135" s="1">
        <v>2</v>
      </c>
      <c r="BB135" s="1">
        <v>3</v>
      </c>
      <c r="BC135" s="1">
        <v>2</v>
      </c>
    </row>
    <row r="136" spans="1:55">
      <c r="A136" s="1" t="s">
        <v>267</v>
      </c>
      <c r="B136" s="1" t="s">
        <v>66</v>
      </c>
      <c r="C136" s="1" t="s">
        <v>268</v>
      </c>
      <c r="D136" s="1">
        <v>3</v>
      </c>
      <c r="E136" s="1">
        <v>3</v>
      </c>
      <c r="F136" s="1">
        <v>2</v>
      </c>
      <c r="G136" s="1">
        <v>2</v>
      </c>
      <c r="H136" s="1">
        <v>3</v>
      </c>
      <c r="I136" s="1">
        <v>3</v>
      </c>
      <c r="J136" s="1">
        <v>3</v>
      </c>
      <c r="K136" s="1">
        <v>3</v>
      </c>
      <c r="L136" s="1">
        <v>3</v>
      </c>
      <c r="M136" s="1">
        <v>3</v>
      </c>
      <c r="N136" s="1">
        <v>3</v>
      </c>
      <c r="O136" s="1">
        <v>3</v>
      </c>
      <c r="P136" s="1">
        <v>3</v>
      </c>
      <c r="Q136" s="1">
        <v>3</v>
      </c>
      <c r="R136" s="1">
        <v>3</v>
      </c>
      <c r="S136" s="1">
        <v>4</v>
      </c>
      <c r="T136" s="1">
        <v>3</v>
      </c>
      <c r="U136" s="1">
        <v>4</v>
      </c>
      <c r="V136" s="1">
        <v>2</v>
      </c>
      <c r="W136" s="1">
        <v>2</v>
      </c>
      <c r="X136" s="1">
        <v>3</v>
      </c>
      <c r="Y136" s="1">
        <v>3</v>
      </c>
      <c r="Z136" s="1">
        <v>2</v>
      </c>
      <c r="AA136" s="1">
        <v>3</v>
      </c>
      <c r="AB136" s="1">
        <v>3</v>
      </c>
      <c r="AC136" s="1">
        <v>3</v>
      </c>
      <c r="AD136" s="1">
        <v>3</v>
      </c>
      <c r="AE136" s="1">
        <v>3</v>
      </c>
      <c r="AF136" s="1">
        <v>1</v>
      </c>
      <c r="AG136" s="1">
        <v>1</v>
      </c>
      <c r="AH136" s="1">
        <v>3</v>
      </c>
      <c r="AI136" s="1">
        <v>3</v>
      </c>
      <c r="AJ136" s="1">
        <v>4</v>
      </c>
      <c r="AK136" s="1">
        <v>3</v>
      </c>
      <c r="AL136" s="1">
        <v>5</v>
      </c>
      <c r="AM136" s="1">
        <v>4</v>
      </c>
      <c r="AN136" s="1">
        <v>4</v>
      </c>
      <c r="AO136" s="1">
        <v>5</v>
      </c>
      <c r="AP136" s="1">
        <v>4</v>
      </c>
      <c r="AQ136" s="1">
        <v>4</v>
      </c>
      <c r="AR136" s="1">
        <v>3</v>
      </c>
      <c r="AS136" s="1">
        <v>4</v>
      </c>
      <c r="AT136" s="1">
        <v>3</v>
      </c>
      <c r="AU136" s="1">
        <v>4</v>
      </c>
      <c r="AV136" s="1">
        <v>2</v>
      </c>
      <c r="AW136" s="1">
        <v>4</v>
      </c>
      <c r="AX136" s="1">
        <v>3</v>
      </c>
      <c r="AY136" s="1">
        <v>3</v>
      </c>
      <c r="AZ136" s="1">
        <v>3</v>
      </c>
      <c r="BA136" s="1">
        <v>4</v>
      </c>
      <c r="BB136" s="1">
        <v>4</v>
      </c>
      <c r="BC136" s="1">
        <v>3</v>
      </c>
    </row>
    <row r="137" spans="1:55">
      <c r="A137" s="1" t="s">
        <v>269</v>
      </c>
      <c r="B137" s="1" t="s">
        <v>66</v>
      </c>
      <c r="C137" s="1" t="s">
        <v>268</v>
      </c>
      <c r="D137" s="1">
        <v>3</v>
      </c>
      <c r="E137" s="1">
        <v>4</v>
      </c>
      <c r="F137" s="1">
        <v>2</v>
      </c>
      <c r="G137" s="1">
        <v>2</v>
      </c>
      <c r="H137" s="1">
        <v>4</v>
      </c>
      <c r="I137" s="1">
        <v>4</v>
      </c>
      <c r="J137" s="1">
        <v>3</v>
      </c>
      <c r="K137" s="1">
        <v>3</v>
      </c>
      <c r="L137" s="1">
        <v>3</v>
      </c>
      <c r="M137" s="1">
        <v>4</v>
      </c>
      <c r="N137" s="1">
        <v>3</v>
      </c>
      <c r="O137" s="1">
        <v>3</v>
      </c>
      <c r="P137" s="1">
        <v>3</v>
      </c>
      <c r="Q137" s="1">
        <v>3</v>
      </c>
      <c r="R137" s="1">
        <v>4</v>
      </c>
      <c r="S137" s="1">
        <v>4</v>
      </c>
      <c r="T137" s="1">
        <v>4</v>
      </c>
      <c r="U137" s="1">
        <v>4</v>
      </c>
      <c r="V137" s="1">
        <v>3</v>
      </c>
      <c r="W137" s="1">
        <v>3</v>
      </c>
      <c r="X137" s="1">
        <v>2</v>
      </c>
      <c r="Y137" s="1">
        <v>2</v>
      </c>
      <c r="Z137" s="1">
        <v>2</v>
      </c>
      <c r="AA137" s="1">
        <v>2</v>
      </c>
      <c r="AB137" s="1">
        <v>3</v>
      </c>
      <c r="AC137" s="1">
        <v>3</v>
      </c>
      <c r="AD137" s="1">
        <v>5</v>
      </c>
      <c r="AE137" s="1">
        <v>4</v>
      </c>
      <c r="AF137" s="1">
        <v>2</v>
      </c>
      <c r="AG137" s="1">
        <v>2</v>
      </c>
      <c r="AH137" s="1">
        <v>5</v>
      </c>
      <c r="AI137" s="1">
        <v>4</v>
      </c>
      <c r="AJ137" s="1">
        <v>3</v>
      </c>
      <c r="AK137" s="1">
        <v>4</v>
      </c>
      <c r="AL137" s="1">
        <v>3</v>
      </c>
      <c r="AM137" s="1">
        <v>4</v>
      </c>
      <c r="AN137" s="1">
        <v>3</v>
      </c>
      <c r="AO137" s="1">
        <v>4</v>
      </c>
      <c r="AP137" s="1">
        <v>4</v>
      </c>
      <c r="AQ137" s="1">
        <v>4</v>
      </c>
      <c r="AR137" s="1">
        <v>5</v>
      </c>
      <c r="AS137" s="1">
        <v>3</v>
      </c>
      <c r="AT137" s="1">
        <v>4</v>
      </c>
      <c r="AU137" s="1">
        <v>4</v>
      </c>
      <c r="AV137" s="1">
        <v>4</v>
      </c>
      <c r="AW137" s="1">
        <v>3</v>
      </c>
      <c r="AX137" s="1">
        <v>4</v>
      </c>
      <c r="AY137" s="1">
        <v>3</v>
      </c>
      <c r="AZ137" s="1">
        <v>4</v>
      </c>
      <c r="BA137" s="1">
        <v>3</v>
      </c>
      <c r="BB137" s="1">
        <v>4</v>
      </c>
      <c r="BC137" s="1">
        <v>2</v>
      </c>
    </row>
    <row r="138" spans="1:55">
      <c r="A138" s="1" t="s">
        <v>270</v>
      </c>
      <c r="B138" s="1" t="s">
        <v>66</v>
      </c>
      <c r="C138" s="1" t="s">
        <v>271</v>
      </c>
      <c r="D138" s="1">
        <v>3</v>
      </c>
      <c r="E138" s="1">
        <v>3</v>
      </c>
      <c r="F138" s="1">
        <v>3</v>
      </c>
      <c r="G138" s="1">
        <v>4</v>
      </c>
      <c r="H138" s="1">
        <v>3</v>
      </c>
      <c r="I138" s="1">
        <v>3</v>
      </c>
      <c r="J138" s="1">
        <v>3</v>
      </c>
      <c r="K138" s="1">
        <v>3</v>
      </c>
      <c r="L138" s="1">
        <v>3</v>
      </c>
      <c r="M138" s="1">
        <v>3</v>
      </c>
      <c r="N138" s="1">
        <v>3</v>
      </c>
      <c r="O138" s="1">
        <v>2</v>
      </c>
      <c r="P138" s="1">
        <v>3</v>
      </c>
      <c r="Q138" s="1">
        <v>3</v>
      </c>
      <c r="R138" s="1">
        <v>3</v>
      </c>
      <c r="S138" s="1">
        <v>2</v>
      </c>
      <c r="T138" s="1">
        <v>2</v>
      </c>
      <c r="U138" s="1">
        <v>3</v>
      </c>
      <c r="V138" s="1">
        <v>3</v>
      </c>
      <c r="W138" s="1">
        <v>2</v>
      </c>
      <c r="X138" s="1">
        <v>3</v>
      </c>
      <c r="Y138" s="1">
        <v>2</v>
      </c>
      <c r="Z138" s="1">
        <v>3</v>
      </c>
      <c r="AA138" s="1">
        <v>3</v>
      </c>
      <c r="AB138" s="1">
        <v>3</v>
      </c>
      <c r="AC138" s="1">
        <v>3</v>
      </c>
      <c r="AD138" s="1">
        <v>3</v>
      </c>
      <c r="AE138" s="1">
        <v>3</v>
      </c>
      <c r="AF138" s="1">
        <v>2</v>
      </c>
      <c r="AG138" s="1">
        <v>3</v>
      </c>
      <c r="AH138" s="1">
        <v>3</v>
      </c>
      <c r="AI138" s="1">
        <v>4</v>
      </c>
      <c r="AJ138" s="1">
        <v>4</v>
      </c>
      <c r="AK138" s="1">
        <v>3</v>
      </c>
      <c r="AL138" s="1">
        <v>3</v>
      </c>
      <c r="AM138" s="1">
        <v>3</v>
      </c>
      <c r="AN138" s="1">
        <v>4</v>
      </c>
      <c r="AO138" s="1">
        <v>4</v>
      </c>
      <c r="AP138" s="1">
        <v>3</v>
      </c>
      <c r="AQ138" s="1">
        <v>3</v>
      </c>
      <c r="AR138" s="1">
        <v>4</v>
      </c>
      <c r="AS138" s="1">
        <v>3</v>
      </c>
      <c r="AT138" s="1">
        <v>3</v>
      </c>
      <c r="AU138" s="1">
        <v>3</v>
      </c>
      <c r="AV138" s="1">
        <v>3</v>
      </c>
      <c r="AW138" s="1">
        <v>3</v>
      </c>
      <c r="AX138" s="1">
        <v>4</v>
      </c>
      <c r="AY138" s="1">
        <v>3</v>
      </c>
      <c r="AZ138" s="1">
        <v>4</v>
      </c>
      <c r="BA138" s="1">
        <v>3</v>
      </c>
      <c r="BB138" s="1">
        <v>4</v>
      </c>
      <c r="BC138" s="1">
        <v>2</v>
      </c>
    </row>
    <row r="139" spans="1:55">
      <c r="A139" s="1" t="s">
        <v>272</v>
      </c>
      <c r="B139" s="1" t="s">
        <v>66</v>
      </c>
      <c r="C139" s="1" t="s">
        <v>271</v>
      </c>
      <c r="D139" s="1">
        <v>3</v>
      </c>
      <c r="E139" s="1">
        <v>3</v>
      </c>
      <c r="F139" s="1">
        <v>4</v>
      </c>
      <c r="G139" s="1">
        <v>3</v>
      </c>
      <c r="H139" s="1">
        <v>3</v>
      </c>
      <c r="I139" s="1">
        <v>4</v>
      </c>
      <c r="J139" s="1">
        <v>4</v>
      </c>
      <c r="K139" s="1">
        <v>3</v>
      </c>
      <c r="L139" s="1">
        <v>3</v>
      </c>
      <c r="M139" s="1">
        <v>3</v>
      </c>
      <c r="N139" s="1">
        <v>3</v>
      </c>
      <c r="O139" s="1">
        <v>3</v>
      </c>
      <c r="P139" s="1">
        <v>3</v>
      </c>
      <c r="Q139" s="1">
        <v>3</v>
      </c>
      <c r="R139" s="1">
        <v>3</v>
      </c>
      <c r="S139" s="1">
        <v>3</v>
      </c>
      <c r="T139" s="1">
        <v>3</v>
      </c>
      <c r="U139" s="1">
        <v>3</v>
      </c>
      <c r="V139" s="1">
        <v>2</v>
      </c>
      <c r="W139" s="1">
        <v>3</v>
      </c>
      <c r="X139" s="1">
        <v>3</v>
      </c>
      <c r="Y139" s="1">
        <v>3</v>
      </c>
      <c r="Z139" s="1">
        <v>2</v>
      </c>
      <c r="AA139" s="1">
        <v>3</v>
      </c>
      <c r="AB139" s="1">
        <v>3</v>
      </c>
      <c r="AC139" s="1">
        <v>2</v>
      </c>
      <c r="AD139" s="1">
        <v>4</v>
      </c>
      <c r="AE139" s="1">
        <v>4</v>
      </c>
      <c r="AF139" s="1">
        <v>2</v>
      </c>
      <c r="AG139" s="1">
        <v>2</v>
      </c>
      <c r="AH139" s="1">
        <v>4</v>
      </c>
      <c r="AI139" s="1">
        <v>4</v>
      </c>
      <c r="AJ139" s="1">
        <v>5</v>
      </c>
      <c r="AK139" s="1">
        <v>4</v>
      </c>
      <c r="AL139" s="1">
        <v>3</v>
      </c>
      <c r="AM139" s="1">
        <v>4</v>
      </c>
      <c r="AN139" s="1">
        <v>4</v>
      </c>
      <c r="AO139" s="1">
        <v>3</v>
      </c>
      <c r="AP139" s="1">
        <v>4</v>
      </c>
      <c r="AQ139" s="1">
        <v>4</v>
      </c>
      <c r="AR139" s="1">
        <v>4</v>
      </c>
      <c r="AS139" s="1">
        <v>3</v>
      </c>
      <c r="AT139" s="1">
        <v>4</v>
      </c>
      <c r="AU139" s="1">
        <v>4</v>
      </c>
      <c r="AV139" s="1">
        <v>4</v>
      </c>
      <c r="AW139" s="1">
        <v>5</v>
      </c>
      <c r="AX139" s="1">
        <v>4</v>
      </c>
      <c r="AY139" s="1">
        <v>4</v>
      </c>
      <c r="AZ139" s="1">
        <v>2</v>
      </c>
      <c r="BA139" s="1">
        <v>4</v>
      </c>
      <c r="BB139" s="1">
        <v>3</v>
      </c>
      <c r="BC139" s="1">
        <v>2</v>
      </c>
    </row>
    <row r="140" spans="1:55">
      <c r="A140" s="1" t="s">
        <v>273</v>
      </c>
      <c r="B140" s="1" t="s">
        <v>66</v>
      </c>
      <c r="C140" s="1" t="s">
        <v>274</v>
      </c>
      <c r="D140" s="1">
        <v>3</v>
      </c>
      <c r="E140" s="1">
        <v>3</v>
      </c>
      <c r="F140" s="1">
        <v>3</v>
      </c>
      <c r="G140" s="1">
        <v>3</v>
      </c>
      <c r="H140" s="1">
        <v>2</v>
      </c>
      <c r="I140" s="1">
        <v>2</v>
      </c>
      <c r="J140" s="1">
        <v>2</v>
      </c>
      <c r="K140" s="1">
        <v>2</v>
      </c>
      <c r="L140" s="1">
        <v>3</v>
      </c>
      <c r="M140" s="1">
        <v>3</v>
      </c>
      <c r="N140" s="1">
        <v>3</v>
      </c>
      <c r="O140" s="1">
        <v>2</v>
      </c>
      <c r="P140" s="1">
        <v>3</v>
      </c>
      <c r="Q140" s="1">
        <v>3</v>
      </c>
      <c r="R140" s="1">
        <v>4</v>
      </c>
      <c r="S140" s="1">
        <v>3</v>
      </c>
      <c r="T140" s="1">
        <v>3</v>
      </c>
      <c r="U140" s="1">
        <v>3</v>
      </c>
      <c r="V140" s="1">
        <v>2</v>
      </c>
      <c r="W140" s="1">
        <v>2</v>
      </c>
      <c r="X140" s="1">
        <v>2</v>
      </c>
      <c r="Y140" s="1">
        <v>2</v>
      </c>
      <c r="Z140" s="1">
        <v>3</v>
      </c>
      <c r="AA140" s="1">
        <v>3</v>
      </c>
      <c r="AB140" s="1">
        <v>3</v>
      </c>
      <c r="AC140" s="1">
        <v>2</v>
      </c>
      <c r="AD140" s="1">
        <v>3</v>
      </c>
      <c r="AE140" s="1">
        <v>3</v>
      </c>
      <c r="AF140" s="1">
        <v>1</v>
      </c>
      <c r="AG140" s="1">
        <v>3</v>
      </c>
      <c r="AH140" s="1">
        <v>3</v>
      </c>
      <c r="AI140" s="1">
        <v>3</v>
      </c>
      <c r="AJ140" s="1">
        <v>3</v>
      </c>
      <c r="AK140" s="1">
        <v>4</v>
      </c>
      <c r="AL140" s="1">
        <v>3</v>
      </c>
      <c r="AM140" s="1">
        <v>3</v>
      </c>
      <c r="AN140" s="1">
        <v>3</v>
      </c>
      <c r="AO140" s="1">
        <v>4</v>
      </c>
      <c r="AP140" s="1">
        <v>4</v>
      </c>
      <c r="AQ140" s="1">
        <v>4</v>
      </c>
      <c r="AR140" s="1">
        <v>4</v>
      </c>
      <c r="AS140" s="1">
        <v>4</v>
      </c>
      <c r="AT140" s="1">
        <v>4</v>
      </c>
      <c r="AU140" s="1">
        <v>3</v>
      </c>
      <c r="AV140" s="1">
        <v>4</v>
      </c>
      <c r="AW140" s="1">
        <v>4</v>
      </c>
      <c r="AX140" s="1">
        <v>2</v>
      </c>
      <c r="AY140" s="1">
        <v>4</v>
      </c>
      <c r="AZ140" s="1">
        <v>3</v>
      </c>
      <c r="BA140" s="1">
        <v>3</v>
      </c>
      <c r="BB140" s="1">
        <v>4</v>
      </c>
      <c r="BC140" s="1">
        <v>3</v>
      </c>
    </row>
    <row r="141" spans="1:55">
      <c r="A141" s="1" t="s">
        <v>275</v>
      </c>
      <c r="B141" s="1" t="s">
        <v>66</v>
      </c>
      <c r="C141" s="1" t="s">
        <v>274</v>
      </c>
      <c r="D141" s="1">
        <v>3</v>
      </c>
      <c r="E141" s="1">
        <v>4</v>
      </c>
      <c r="F141" s="1">
        <v>3</v>
      </c>
      <c r="G141" s="1">
        <v>2</v>
      </c>
      <c r="H141" s="1">
        <v>3</v>
      </c>
      <c r="I141" s="1">
        <v>2</v>
      </c>
      <c r="J141" s="1">
        <v>2</v>
      </c>
      <c r="K141" s="1">
        <v>3</v>
      </c>
      <c r="L141" s="1">
        <v>3</v>
      </c>
      <c r="M141" s="1">
        <v>2</v>
      </c>
      <c r="N141" s="1">
        <v>3</v>
      </c>
      <c r="O141" s="1">
        <v>3</v>
      </c>
      <c r="P141" s="1">
        <v>3</v>
      </c>
      <c r="Q141" s="1">
        <v>3</v>
      </c>
      <c r="R141" s="1">
        <v>3</v>
      </c>
      <c r="S141" s="1">
        <v>3</v>
      </c>
      <c r="T141" s="1">
        <v>3</v>
      </c>
      <c r="U141" s="1">
        <v>2</v>
      </c>
      <c r="V141" s="1">
        <v>3</v>
      </c>
      <c r="W141" s="1">
        <v>3</v>
      </c>
      <c r="X141" s="1">
        <v>3</v>
      </c>
      <c r="Y141" s="1">
        <v>4</v>
      </c>
      <c r="Z141" s="1">
        <v>3</v>
      </c>
      <c r="AA141" s="1">
        <v>3</v>
      </c>
      <c r="AB141" s="1">
        <v>4</v>
      </c>
      <c r="AC141" s="1">
        <v>4</v>
      </c>
      <c r="AD141" s="1">
        <v>3</v>
      </c>
      <c r="AE141" s="1">
        <v>3</v>
      </c>
      <c r="AF141" s="1">
        <v>3</v>
      </c>
      <c r="AG141" s="1">
        <v>2</v>
      </c>
      <c r="AH141" s="1">
        <v>4</v>
      </c>
      <c r="AI141" s="1">
        <v>3</v>
      </c>
      <c r="AJ141" s="1">
        <v>4</v>
      </c>
      <c r="AK141" s="1">
        <v>3</v>
      </c>
      <c r="AL141" s="1">
        <v>4</v>
      </c>
      <c r="AM141" s="1">
        <v>3</v>
      </c>
      <c r="AN141" s="1">
        <v>4</v>
      </c>
      <c r="AO141" s="1">
        <v>4</v>
      </c>
      <c r="AP141" s="1">
        <v>4</v>
      </c>
      <c r="AQ141" s="1">
        <v>3</v>
      </c>
      <c r="AR141" s="1">
        <v>3</v>
      </c>
      <c r="AS141" s="1">
        <v>3</v>
      </c>
      <c r="AT141" s="1">
        <v>4</v>
      </c>
      <c r="AU141" s="1">
        <v>4</v>
      </c>
      <c r="AV141" s="1">
        <v>3</v>
      </c>
      <c r="AW141" s="1">
        <v>3</v>
      </c>
      <c r="AX141" s="1">
        <v>5</v>
      </c>
      <c r="AY141" s="1">
        <v>4</v>
      </c>
      <c r="AZ141" s="1">
        <v>3</v>
      </c>
      <c r="BA141" s="1">
        <v>4</v>
      </c>
      <c r="BB141" s="1">
        <v>3</v>
      </c>
      <c r="BC141" s="1">
        <v>3</v>
      </c>
    </row>
    <row r="142" spans="1:55">
      <c r="A142" s="1" t="s">
        <v>276</v>
      </c>
      <c r="B142" s="1" t="s">
        <v>66</v>
      </c>
      <c r="C142" s="1" t="s">
        <v>277</v>
      </c>
      <c r="D142" s="1">
        <v>3</v>
      </c>
      <c r="E142" s="1">
        <v>4</v>
      </c>
      <c r="F142" s="1">
        <v>3</v>
      </c>
      <c r="G142" s="1">
        <v>3</v>
      </c>
      <c r="H142" s="1">
        <v>3</v>
      </c>
      <c r="I142" s="1">
        <v>3</v>
      </c>
      <c r="J142" s="1">
        <v>3</v>
      </c>
      <c r="K142" s="1">
        <v>4</v>
      </c>
      <c r="L142" s="1">
        <v>3</v>
      </c>
      <c r="M142" s="1">
        <v>3</v>
      </c>
      <c r="N142" s="1">
        <v>2</v>
      </c>
      <c r="O142" s="1">
        <v>3</v>
      </c>
      <c r="P142" s="1">
        <v>3</v>
      </c>
      <c r="Q142" s="1">
        <v>2</v>
      </c>
      <c r="R142" s="1">
        <v>3</v>
      </c>
      <c r="S142" s="1">
        <v>4</v>
      </c>
      <c r="T142" s="1">
        <v>3</v>
      </c>
      <c r="U142" s="1">
        <v>4</v>
      </c>
      <c r="V142" s="1">
        <v>2</v>
      </c>
      <c r="W142" s="1">
        <v>3</v>
      </c>
      <c r="X142" s="1">
        <v>3</v>
      </c>
      <c r="Y142" s="1">
        <v>3</v>
      </c>
      <c r="Z142" s="1">
        <v>3</v>
      </c>
      <c r="AA142" s="1">
        <v>2</v>
      </c>
      <c r="AB142" s="1">
        <v>4</v>
      </c>
      <c r="AC142" s="1">
        <v>2</v>
      </c>
      <c r="AD142" s="1">
        <v>3</v>
      </c>
      <c r="AE142" s="1">
        <v>4</v>
      </c>
      <c r="AF142" s="1">
        <v>1</v>
      </c>
      <c r="AG142" s="1">
        <v>2</v>
      </c>
      <c r="AH142" s="1">
        <v>3</v>
      </c>
      <c r="AI142" s="1">
        <v>2</v>
      </c>
      <c r="AJ142" s="1">
        <v>4</v>
      </c>
      <c r="AK142" s="1">
        <v>2</v>
      </c>
      <c r="AL142" s="1">
        <v>2</v>
      </c>
      <c r="AM142" s="1">
        <v>5</v>
      </c>
      <c r="AN142" s="1">
        <v>3</v>
      </c>
      <c r="AO142" s="1">
        <v>3</v>
      </c>
      <c r="AP142" s="1">
        <v>3</v>
      </c>
      <c r="AQ142" s="1">
        <v>3</v>
      </c>
      <c r="AR142" s="1">
        <v>5</v>
      </c>
      <c r="AS142" s="1">
        <v>4</v>
      </c>
      <c r="AT142" s="1">
        <v>4</v>
      </c>
      <c r="AU142" s="1">
        <v>4</v>
      </c>
      <c r="AV142" s="1">
        <v>2</v>
      </c>
      <c r="AW142" s="1">
        <v>4</v>
      </c>
      <c r="AX142" s="1">
        <v>5</v>
      </c>
      <c r="AY142" s="1">
        <v>4</v>
      </c>
      <c r="AZ142" s="1">
        <v>3</v>
      </c>
      <c r="BA142" s="1">
        <v>4</v>
      </c>
      <c r="BB142" s="1">
        <v>3</v>
      </c>
      <c r="BC142" s="1">
        <v>3</v>
      </c>
    </row>
    <row r="143" spans="1:55">
      <c r="A143" s="1" t="s">
        <v>278</v>
      </c>
      <c r="B143" s="1" t="s">
        <v>66</v>
      </c>
      <c r="C143" s="1" t="s">
        <v>277</v>
      </c>
      <c r="D143" s="1">
        <v>3</v>
      </c>
      <c r="E143" s="1">
        <v>3</v>
      </c>
      <c r="F143" s="1">
        <v>2</v>
      </c>
      <c r="G143" s="1">
        <v>2</v>
      </c>
      <c r="H143" s="1">
        <v>3</v>
      </c>
      <c r="I143" s="1">
        <v>2</v>
      </c>
      <c r="J143" s="1">
        <v>2</v>
      </c>
      <c r="K143" s="1">
        <v>3</v>
      </c>
      <c r="L143" s="1">
        <v>3</v>
      </c>
      <c r="M143" s="1">
        <v>4</v>
      </c>
      <c r="N143" s="1">
        <v>3</v>
      </c>
      <c r="O143" s="1">
        <v>3</v>
      </c>
      <c r="P143" s="1">
        <v>2</v>
      </c>
      <c r="Q143" s="1">
        <v>1</v>
      </c>
      <c r="R143" s="1">
        <v>3</v>
      </c>
      <c r="S143" s="1">
        <v>5</v>
      </c>
      <c r="T143" s="1">
        <v>3</v>
      </c>
      <c r="U143" s="1">
        <v>2</v>
      </c>
      <c r="V143" s="1">
        <v>3</v>
      </c>
      <c r="W143" s="1">
        <v>4</v>
      </c>
      <c r="X143" s="1">
        <v>3</v>
      </c>
      <c r="Y143" s="1">
        <v>3</v>
      </c>
      <c r="Z143" s="1">
        <v>2</v>
      </c>
      <c r="AA143" s="1">
        <v>3</v>
      </c>
      <c r="AB143" s="1">
        <v>2</v>
      </c>
      <c r="AC143" s="1">
        <v>3</v>
      </c>
      <c r="AD143" s="1">
        <v>4</v>
      </c>
      <c r="AE143" s="1">
        <v>4</v>
      </c>
      <c r="AF143" s="1">
        <v>2</v>
      </c>
      <c r="AG143" s="1">
        <v>3</v>
      </c>
      <c r="AH143" s="1">
        <v>3</v>
      </c>
      <c r="AI143" s="1">
        <v>3</v>
      </c>
      <c r="AJ143" s="1">
        <v>3</v>
      </c>
      <c r="AK143" s="1">
        <v>2</v>
      </c>
      <c r="AL143" s="1">
        <v>3</v>
      </c>
      <c r="AM143" s="1">
        <v>5</v>
      </c>
      <c r="AN143" s="1">
        <v>2</v>
      </c>
      <c r="AO143" s="1">
        <v>3</v>
      </c>
      <c r="AP143" s="1">
        <v>2</v>
      </c>
      <c r="AQ143" s="1">
        <v>2</v>
      </c>
      <c r="AR143" s="1">
        <v>5</v>
      </c>
      <c r="AS143" s="1">
        <v>3</v>
      </c>
      <c r="AT143" s="1">
        <v>5</v>
      </c>
      <c r="AU143" s="1">
        <v>4</v>
      </c>
      <c r="AV143" s="1">
        <v>2</v>
      </c>
      <c r="AW143" s="1">
        <v>3</v>
      </c>
      <c r="AX143" s="1">
        <v>4</v>
      </c>
      <c r="AY143" s="1">
        <v>3</v>
      </c>
      <c r="AZ143" s="1">
        <v>2</v>
      </c>
      <c r="BA143" s="1">
        <v>3</v>
      </c>
      <c r="BB143" s="1">
        <v>3</v>
      </c>
      <c r="BC143" s="1">
        <v>4</v>
      </c>
    </row>
    <row r="144" spans="1:55">
      <c r="A144" s="1" t="s">
        <v>279</v>
      </c>
      <c r="B144" s="1" t="s">
        <v>66</v>
      </c>
      <c r="C144" s="1" t="s">
        <v>280</v>
      </c>
      <c r="D144" s="1">
        <v>3</v>
      </c>
      <c r="E144" s="1">
        <v>3</v>
      </c>
      <c r="F144" s="1">
        <v>3</v>
      </c>
      <c r="G144" s="1">
        <v>2</v>
      </c>
      <c r="H144" s="1">
        <v>4</v>
      </c>
      <c r="I144" s="1">
        <v>3</v>
      </c>
      <c r="J144" s="1">
        <v>4</v>
      </c>
      <c r="K144" s="1">
        <v>2</v>
      </c>
      <c r="L144" s="1">
        <v>3</v>
      </c>
      <c r="M144" s="1">
        <v>3</v>
      </c>
      <c r="N144" s="1">
        <v>3</v>
      </c>
      <c r="O144" s="1">
        <v>2</v>
      </c>
      <c r="P144" s="1">
        <v>3</v>
      </c>
      <c r="Q144" s="1">
        <v>2</v>
      </c>
      <c r="R144" s="1">
        <v>4</v>
      </c>
      <c r="S144" s="1">
        <v>4</v>
      </c>
      <c r="T144" s="1">
        <v>3</v>
      </c>
      <c r="U144" s="1">
        <v>3</v>
      </c>
      <c r="V144" s="1">
        <v>4</v>
      </c>
      <c r="W144" s="1">
        <v>2</v>
      </c>
      <c r="X144" s="1">
        <v>2</v>
      </c>
      <c r="Y144" s="1">
        <v>3</v>
      </c>
      <c r="Z144" s="1">
        <v>3</v>
      </c>
      <c r="AA144" s="1">
        <v>3</v>
      </c>
      <c r="AB144" s="1">
        <v>3</v>
      </c>
      <c r="AC144" s="1">
        <v>2</v>
      </c>
      <c r="AD144" s="1">
        <v>3</v>
      </c>
      <c r="AE144" s="1">
        <v>3</v>
      </c>
      <c r="AF144" s="1">
        <v>3</v>
      </c>
      <c r="AG144" s="1">
        <v>3</v>
      </c>
      <c r="AH144" s="1">
        <v>4</v>
      </c>
      <c r="AI144" s="1">
        <v>3</v>
      </c>
      <c r="AJ144" s="1">
        <v>3</v>
      </c>
      <c r="AK144" s="1">
        <v>3</v>
      </c>
      <c r="AL144" s="1">
        <v>3</v>
      </c>
      <c r="AM144" s="1">
        <v>3</v>
      </c>
      <c r="AN144" s="1">
        <v>2</v>
      </c>
      <c r="AO144" s="1">
        <v>3</v>
      </c>
      <c r="AP144" s="1">
        <v>3</v>
      </c>
      <c r="AQ144" s="1">
        <v>4</v>
      </c>
      <c r="AR144" s="1">
        <v>3</v>
      </c>
      <c r="AS144" s="1">
        <v>3</v>
      </c>
      <c r="AT144" s="1">
        <v>3</v>
      </c>
      <c r="AU144" s="1">
        <v>2</v>
      </c>
      <c r="AV144" s="1">
        <v>4</v>
      </c>
      <c r="AW144" s="1">
        <v>3</v>
      </c>
      <c r="AX144" s="1">
        <v>4</v>
      </c>
      <c r="AY144" s="1">
        <v>4</v>
      </c>
      <c r="AZ144" s="1">
        <v>3</v>
      </c>
      <c r="BA144" s="1">
        <v>2</v>
      </c>
      <c r="BB144" s="1">
        <v>3</v>
      </c>
      <c r="BC144" s="1">
        <v>3</v>
      </c>
    </row>
    <row r="145" spans="1:55">
      <c r="A145" s="1" t="s">
        <v>281</v>
      </c>
      <c r="B145" s="1" t="s">
        <v>66</v>
      </c>
      <c r="C145" s="1" t="s">
        <v>280</v>
      </c>
      <c r="D145" s="1">
        <v>3</v>
      </c>
      <c r="E145" s="1">
        <v>3</v>
      </c>
      <c r="F145" s="1">
        <v>3</v>
      </c>
      <c r="G145" s="1">
        <v>3</v>
      </c>
      <c r="H145" s="1">
        <v>5</v>
      </c>
      <c r="I145" s="1">
        <v>5</v>
      </c>
      <c r="J145" s="1">
        <v>4</v>
      </c>
      <c r="K145" s="1">
        <v>3</v>
      </c>
      <c r="L145" s="1">
        <v>2</v>
      </c>
      <c r="M145" s="1">
        <v>4</v>
      </c>
      <c r="N145" s="1">
        <v>5</v>
      </c>
      <c r="O145" s="1">
        <v>3</v>
      </c>
      <c r="P145" s="1">
        <v>2</v>
      </c>
      <c r="Q145" s="1">
        <v>3</v>
      </c>
      <c r="R145" s="1">
        <v>4</v>
      </c>
      <c r="S145" s="1">
        <v>3</v>
      </c>
      <c r="T145" s="1">
        <v>3</v>
      </c>
      <c r="U145" s="1">
        <v>3</v>
      </c>
      <c r="V145" s="1">
        <v>4</v>
      </c>
      <c r="W145" s="1">
        <v>4</v>
      </c>
      <c r="X145" s="1">
        <v>3</v>
      </c>
      <c r="Y145" s="1">
        <v>4</v>
      </c>
      <c r="Z145" s="1">
        <v>3</v>
      </c>
      <c r="AA145" s="1">
        <v>3</v>
      </c>
      <c r="AB145" s="1">
        <v>3</v>
      </c>
      <c r="AC145" s="1">
        <v>1</v>
      </c>
      <c r="AD145" s="1">
        <v>4</v>
      </c>
      <c r="AE145" s="1">
        <v>4</v>
      </c>
      <c r="AF145" s="1">
        <v>2</v>
      </c>
      <c r="AG145" s="1">
        <v>2</v>
      </c>
      <c r="AH145" s="1">
        <v>5</v>
      </c>
      <c r="AI145" s="1">
        <v>4</v>
      </c>
      <c r="AJ145" s="1">
        <v>3</v>
      </c>
      <c r="AK145" s="1">
        <v>2</v>
      </c>
      <c r="AL145" s="1">
        <v>3</v>
      </c>
      <c r="AM145" s="1">
        <v>3</v>
      </c>
      <c r="AN145" s="1">
        <v>5</v>
      </c>
      <c r="AO145" s="1">
        <v>3</v>
      </c>
      <c r="AP145" s="1">
        <v>3</v>
      </c>
      <c r="AQ145" s="1">
        <v>2</v>
      </c>
      <c r="AR145" s="1">
        <v>3</v>
      </c>
      <c r="AS145" s="1">
        <v>4</v>
      </c>
      <c r="AT145" s="1">
        <v>4</v>
      </c>
      <c r="AU145" s="1">
        <v>3</v>
      </c>
      <c r="AV145" s="1">
        <v>4</v>
      </c>
      <c r="AW145" s="1">
        <v>4</v>
      </c>
      <c r="AX145" s="1">
        <v>5</v>
      </c>
      <c r="AY145" s="1">
        <v>5</v>
      </c>
      <c r="AZ145" s="1">
        <v>3</v>
      </c>
      <c r="BA145" s="1">
        <v>3</v>
      </c>
      <c r="BB145" s="1">
        <v>3</v>
      </c>
      <c r="BC145" s="1">
        <v>2</v>
      </c>
    </row>
    <row r="146" spans="1:55">
      <c r="A146" s="1" t="s">
        <v>282</v>
      </c>
      <c r="B146" s="1" t="s">
        <v>66</v>
      </c>
      <c r="C146" s="1" t="s">
        <v>283</v>
      </c>
      <c r="D146" s="1">
        <v>2</v>
      </c>
      <c r="E146" s="1">
        <v>4</v>
      </c>
      <c r="F146" s="1">
        <v>2</v>
      </c>
      <c r="G146" s="1">
        <v>2</v>
      </c>
      <c r="H146" s="1">
        <v>3</v>
      </c>
      <c r="I146" s="1">
        <v>4</v>
      </c>
      <c r="J146" s="1">
        <v>4</v>
      </c>
      <c r="K146" s="1">
        <v>3</v>
      </c>
      <c r="L146" s="1">
        <v>3</v>
      </c>
      <c r="M146" s="1">
        <v>4</v>
      </c>
      <c r="N146" s="1">
        <v>3</v>
      </c>
      <c r="O146" s="1">
        <v>3</v>
      </c>
      <c r="P146" s="1">
        <v>3</v>
      </c>
      <c r="Q146" s="1">
        <v>2</v>
      </c>
      <c r="R146" s="1">
        <v>3</v>
      </c>
      <c r="S146" s="1">
        <v>3</v>
      </c>
      <c r="T146" s="1">
        <v>4</v>
      </c>
      <c r="U146" s="1">
        <v>4</v>
      </c>
      <c r="V146" s="1">
        <v>4</v>
      </c>
      <c r="W146" s="1">
        <v>2</v>
      </c>
      <c r="X146" s="1">
        <v>2</v>
      </c>
      <c r="Y146" s="1">
        <v>2</v>
      </c>
      <c r="Z146" s="1">
        <v>3</v>
      </c>
      <c r="AA146" s="1">
        <v>3</v>
      </c>
      <c r="AB146" s="1">
        <v>3</v>
      </c>
      <c r="AC146" s="1">
        <v>2</v>
      </c>
      <c r="AD146" s="1">
        <v>4</v>
      </c>
      <c r="AE146" s="1">
        <v>4</v>
      </c>
      <c r="AF146" s="1">
        <v>2</v>
      </c>
      <c r="AG146" s="1">
        <v>2</v>
      </c>
      <c r="AH146" s="1">
        <v>4</v>
      </c>
      <c r="AI146" s="1">
        <v>5</v>
      </c>
      <c r="AJ146" s="1">
        <v>5</v>
      </c>
      <c r="AK146" s="1">
        <v>3</v>
      </c>
      <c r="AL146" s="1">
        <v>3</v>
      </c>
      <c r="AM146" s="1">
        <v>4</v>
      </c>
      <c r="AN146" s="1">
        <v>4</v>
      </c>
      <c r="AO146" s="1">
        <v>3</v>
      </c>
      <c r="AP146" s="1">
        <v>3</v>
      </c>
      <c r="AQ146" s="1">
        <v>2</v>
      </c>
      <c r="AR146" s="1">
        <v>4</v>
      </c>
      <c r="AS146" s="1">
        <v>5</v>
      </c>
      <c r="AT146" s="1">
        <v>4</v>
      </c>
      <c r="AU146" s="1">
        <v>4</v>
      </c>
      <c r="AV146" s="1">
        <v>4</v>
      </c>
      <c r="AW146" s="1">
        <v>3</v>
      </c>
      <c r="AX146" s="1">
        <v>3</v>
      </c>
      <c r="AY146" s="1">
        <v>4</v>
      </c>
      <c r="AZ146" s="1">
        <v>3</v>
      </c>
      <c r="BA146" s="1">
        <v>3</v>
      </c>
      <c r="BB146" s="1">
        <v>2</v>
      </c>
      <c r="BC146" s="1">
        <v>2</v>
      </c>
    </row>
    <row r="147" spans="1:55">
      <c r="A147" s="1" t="s">
        <v>284</v>
      </c>
      <c r="B147" s="1" t="s">
        <v>66</v>
      </c>
      <c r="C147" s="1" t="s">
        <v>283</v>
      </c>
      <c r="D147" s="1">
        <v>3</v>
      </c>
      <c r="E147" s="1">
        <v>4</v>
      </c>
      <c r="F147" s="1">
        <v>2</v>
      </c>
      <c r="G147" s="1">
        <v>3</v>
      </c>
      <c r="H147" s="1">
        <v>3</v>
      </c>
      <c r="I147" s="1">
        <v>3</v>
      </c>
      <c r="J147" s="1">
        <v>3</v>
      </c>
      <c r="K147" s="1">
        <v>3</v>
      </c>
      <c r="L147" s="1">
        <v>3</v>
      </c>
      <c r="M147" s="1">
        <v>3</v>
      </c>
      <c r="N147" s="1">
        <v>3</v>
      </c>
      <c r="O147" s="1">
        <v>3</v>
      </c>
      <c r="P147" s="1">
        <v>3</v>
      </c>
      <c r="Q147" s="1">
        <v>4</v>
      </c>
      <c r="R147" s="1">
        <v>4</v>
      </c>
      <c r="S147" s="1">
        <v>3</v>
      </c>
      <c r="T147" s="1">
        <v>4</v>
      </c>
      <c r="U147" s="1">
        <v>4</v>
      </c>
      <c r="V147" s="1">
        <v>3</v>
      </c>
      <c r="W147" s="1">
        <v>3</v>
      </c>
      <c r="X147" s="1">
        <v>3</v>
      </c>
      <c r="Y147" s="1">
        <v>2</v>
      </c>
      <c r="Z147" s="1">
        <v>3</v>
      </c>
      <c r="AA147" s="1">
        <v>2</v>
      </c>
      <c r="AB147" s="1">
        <v>3</v>
      </c>
      <c r="AC147" s="1">
        <v>4</v>
      </c>
      <c r="AD147" s="1">
        <v>4</v>
      </c>
      <c r="AE147" s="1">
        <v>5</v>
      </c>
      <c r="AF147" s="1">
        <v>2</v>
      </c>
      <c r="AG147" s="1">
        <v>3</v>
      </c>
      <c r="AH147" s="1">
        <v>3</v>
      </c>
      <c r="AI147" s="1">
        <v>3</v>
      </c>
      <c r="AJ147" s="1">
        <v>4</v>
      </c>
      <c r="AK147" s="1">
        <v>3</v>
      </c>
      <c r="AL147" s="1">
        <v>2</v>
      </c>
      <c r="AM147" s="1">
        <v>4</v>
      </c>
      <c r="AN147" s="1">
        <v>3</v>
      </c>
      <c r="AO147" s="1">
        <v>3</v>
      </c>
      <c r="AP147" s="1">
        <v>2</v>
      </c>
      <c r="AQ147" s="1">
        <v>3</v>
      </c>
      <c r="AR147" s="1">
        <v>4</v>
      </c>
      <c r="AS147" s="1">
        <v>3</v>
      </c>
      <c r="AT147" s="1">
        <v>4</v>
      </c>
      <c r="AU147" s="1">
        <v>4</v>
      </c>
      <c r="AV147" s="1">
        <v>3</v>
      </c>
      <c r="AW147" s="1">
        <v>3</v>
      </c>
      <c r="AX147" s="1">
        <v>4</v>
      </c>
      <c r="AY147" s="1">
        <v>4</v>
      </c>
      <c r="AZ147" s="1">
        <v>3</v>
      </c>
      <c r="BA147" s="1">
        <v>3</v>
      </c>
      <c r="BB147" s="1">
        <v>2</v>
      </c>
      <c r="BC147" s="1">
        <v>3</v>
      </c>
    </row>
    <row r="148" spans="1:55">
      <c r="A148" s="1" t="s">
        <v>285</v>
      </c>
      <c r="B148" s="1" t="s">
        <v>66</v>
      </c>
      <c r="C148" s="1" t="s">
        <v>286</v>
      </c>
      <c r="D148" s="1">
        <v>4</v>
      </c>
      <c r="E148" s="1">
        <v>3</v>
      </c>
      <c r="F148" s="1">
        <v>3</v>
      </c>
      <c r="G148" s="1">
        <v>3</v>
      </c>
      <c r="H148" s="1">
        <v>3</v>
      </c>
      <c r="I148" s="1">
        <v>2</v>
      </c>
      <c r="J148" s="1">
        <v>2</v>
      </c>
      <c r="K148" s="1">
        <v>5</v>
      </c>
      <c r="L148" s="1">
        <v>4</v>
      </c>
      <c r="M148" s="1">
        <v>4</v>
      </c>
      <c r="N148" s="1">
        <v>3</v>
      </c>
      <c r="O148" s="1">
        <v>4</v>
      </c>
      <c r="P148" s="1">
        <v>4</v>
      </c>
      <c r="Q148" s="1">
        <v>4</v>
      </c>
      <c r="R148" s="1">
        <v>4</v>
      </c>
      <c r="S148" s="1">
        <v>3</v>
      </c>
      <c r="T148" s="1">
        <v>3</v>
      </c>
      <c r="U148" s="1">
        <v>3</v>
      </c>
      <c r="V148" s="1">
        <v>2</v>
      </c>
      <c r="W148" s="1">
        <v>4</v>
      </c>
      <c r="X148" s="1">
        <v>5</v>
      </c>
      <c r="Y148" s="1">
        <v>4</v>
      </c>
      <c r="Z148" s="1">
        <v>4</v>
      </c>
      <c r="AA148" s="1">
        <v>3</v>
      </c>
      <c r="AB148" s="1">
        <v>4</v>
      </c>
      <c r="AC148" s="1">
        <v>4</v>
      </c>
      <c r="AD148" s="1">
        <v>3</v>
      </c>
      <c r="AE148" s="1">
        <v>4</v>
      </c>
      <c r="AF148" s="1">
        <v>3</v>
      </c>
      <c r="AG148" s="1">
        <v>3</v>
      </c>
      <c r="AH148" s="1">
        <v>3</v>
      </c>
      <c r="AI148" s="1">
        <v>4</v>
      </c>
      <c r="AJ148" s="1">
        <v>3</v>
      </c>
      <c r="AK148" s="1">
        <v>3</v>
      </c>
      <c r="AL148" s="1">
        <v>3</v>
      </c>
      <c r="AM148" s="1">
        <v>2</v>
      </c>
      <c r="AN148" s="1">
        <v>2</v>
      </c>
      <c r="AO148" s="1">
        <v>3</v>
      </c>
      <c r="AP148" s="1">
        <v>4</v>
      </c>
      <c r="AQ148" s="1">
        <v>4</v>
      </c>
      <c r="AR148" s="1">
        <v>3</v>
      </c>
      <c r="AS148" s="1">
        <v>4</v>
      </c>
      <c r="AT148" s="1">
        <v>3</v>
      </c>
      <c r="AU148" s="1">
        <v>4</v>
      </c>
      <c r="AV148" s="1">
        <v>3</v>
      </c>
      <c r="AW148" s="1">
        <v>5</v>
      </c>
      <c r="AX148" s="1">
        <v>4</v>
      </c>
      <c r="AY148" s="1">
        <v>4</v>
      </c>
      <c r="AZ148" s="1">
        <v>4</v>
      </c>
      <c r="BA148" s="1">
        <v>4</v>
      </c>
      <c r="BB148" s="1">
        <v>3</v>
      </c>
      <c r="BC148" s="1">
        <v>2</v>
      </c>
    </row>
    <row r="149" spans="1:55">
      <c r="A149" s="1" t="s">
        <v>287</v>
      </c>
      <c r="B149" s="1" t="s">
        <v>66</v>
      </c>
      <c r="C149" s="1" t="s">
        <v>286</v>
      </c>
      <c r="D149" s="1">
        <v>4</v>
      </c>
      <c r="E149" s="1">
        <v>4</v>
      </c>
      <c r="F149" s="1">
        <v>3</v>
      </c>
      <c r="G149" s="1">
        <v>3</v>
      </c>
      <c r="H149" s="1">
        <v>4</v>
      </c>
      <c r="I149" s="1">
        <v>3</v>
      </c>
      <c r="J149" s="1">
        <v>4</v>
      </c>
      <c r="K149" s="1">
        <v>3</v>
      </c>
      <c r="L149" s="1">
        <v>3</v>
      </c>
      <c r="M149" s="1">
        <v>3</v>
      </c>
      <c r="N149" s="1">
        <v>2</v>
      </c>
      <c r="O149" s="1">
        <v>4</v>
      </c>
      <c r="P149" s="1">
        <v>2</v>
      </c>
      <c r="Q149" s="1">
        <v>4</v>
      </c>
      <c r="R149" s="1">
        <v>2</v>
      </c>
      <c r="S149" s="1">
        <v>3</v>
      </c>
      <c r="T149" s="1">
        <v>3</v>
      </c>
      <c r="U149" s="1">
        <v>3</v>
      </c>
      <c r="V149" s="1">
        <v>3</v>
      </c>
      <c r="W149" s="1">
        <v>3</v>
      </c>
      <c r="X149" s="1">
        <v>3</v>
      </c>
      <c r="Y149" s="1">
        <v>4</v>
      </c>
      <c r="Z149" s="1">
        <v>3</v>
      </c>
      <c r="AA149" s="1">
        <v>3</v>
      </c>
      <c r="AB149" s="1">
        <v>3</v>
      </c>
      <c r="AC149" s="1">
        <v>3</v>
      </c>
      <c r="AD149" s="1">
        <v>3</v>
      </c>
      <c r="AE149" s="1">
        <v>4</v>
      </c>
      <c r="AF149" s="1">
        <v>3</v>
      </c>
      <c r="AG149" s="1">
        <v>4</v>
      </c>
      <c r="AH149" s="1">
        <v>4</v>
      </c>
      <c r="AI149" s="1">
        <v>4</v>
      </c>
      <c r="AJ149" s="1">
        <v>3</v>
      </c>
      <c r="AK149" s="1">
        <v>4</v>
      </c>
      <c r="AL149" s="1">
        <v>4</v>
      </c>
      <c r="AM149" s="1">
        <v>3</v>
      </c>
      <c r="AN149" s="1">
        <v>4</v>
      </c>
      <c r="AO149" s="1">
        <v>3</v>
      </c>
      <c r="AP149" s="1">
        <v>3</v>
      </c>
      <c r="AQ149" s="1">
        <v>3</v>
      </c>
      <c r="AR149" s="1">
        <v>3</v>
      </c>
      <c r="AS149" s="1">
        <v>2</v>
      </c>
      <c r="AT149" s="1">
        <v>3</v>
      </c>
      <c r="AU149" s="1">
        <v>4</v>
      </c>
      <c r="AV149" s="1">
        <v>4</v>
      </c>
      <c r="AW149" s="1">
        <v>3</v>
      </c>
      <c r="AX149" s="1">
        <v>4</v>
      </c>
      <c r="AY149" s="1">
        <v>3</v>
      </c>
      <c r="AZ149" s="1">
        <v>4</v>
      </c>
      <c r="BA149" s="1">
        <v>4</v>
      </c>
      <c r="BB149" s="1">
        <v>4</v>
      </c>
      <c r="BC149" s="1">
        <v>2</v>
      </c>
    </row>
    <row r="150" spans="1:55">
      <c r="A150" s="1" t="s">
        <v>288</v>
      </c>
      <c r="B150" s="1" t="s">
        <v>66</v>
      </c>
      <c r="C150" s="1" t="s">
        <v>289</v>
      </c>
      <c r="D150" s="1">
        <v>2</v>
      </c>
      <c r="E150" s="1">
        <v>3</v>
      </c>
      <c r="F150" s="1">
        <v>3</v>
      </c>
      <c r="G150" s="1">
        <v>3</v>
      </c>
      <c r="H150" s="1">
        <v>2</v>
      </c>
      <c r="I150" s="1">
        <v>2</v>
      </c>
      <c r="J150" s="1">
        <v>2</v>
      </c>
      <c r="K150" s="1">
        <v>3</v>
      </c>
      <c r="L150" s="1">
        <v>2</v>
      </c>
      <c r="M150" s="1">
        <v>3</v>
      </c>
      <c r="N150" s="1">
        <v>3</v>
      </c>
      <c r="O150" s="1">
        <v>3</v>
      </c>
      <c r="P150" s="1">
        <v>4</v>
      </c>
      <c r="Q150" s="1">
        <v>3</v>
      </c>
      <c r="R150" s="1">
        <v>3</v>
      </c>
      <c r="S150" s="1">
        <v>3</v>
      </c>
      <c r="T150" s="1">
        <v>2</v>
      </c>
      <c r="U150" s="1">
        <v>3</v>
      </c>
      <c r="V150" s="1">
        <v>3</v>
      </c>
      <c r="W150" s="1">
        <v>3</v>
      </c>
      <c r="X150" s="1">
        <v>3</v>
      </c>
      <c r="Y150" s="1">
        <v>2</v>
      </c>
      <c r="Z150" s="1">
        <v>3</v>
      </c>
      <c r="AA150" s="1">
        <v>3</v>
      </c>
      <c r="AB150" s="1">
        <v>3</v>
      </c>
      <c r="AC150" s="1">
        <v>4</v>
      </c>
      <c r="AD150" s="1">
        <v>3</v>
      </c>
      <c r="AE150" s="1">
        <v>4</v>
      </c>
      <c r="AF150" s="1">
        <v>4</v>
      </c>
      <c r="AG150" s="1">
        <v>4</v>
      </c>
      <c r="AH150" s="1">
        <v>2</v>
      </c>
      <c r="AI150" s="1">
        <v>2</v>
      </c>
      <c r="AJ150" s="1">
        <v>3</v>
      </c>
      <c r="AK150" s="1">
        <v>4</v>
      </c>
      <c r="AL150" s="1">
        <v>3</v>
      </c>
      <c r="AM150" s="1">
        <v>3</v>
      </c>
      <c r="AN150" s="1">
        <v>2</v>
      </c>
      <c r="AO150" s="1">
        <v>3</v>
      </c>
      <c r="AP150" s="1">
        <v>2</v>
      </c>
      <c r="AQ150" s="1">
        <v>4</v>
      </c>
      <c r="AR150" s="1">
        <v>3</v>
      </c>
      <c r="AS150" s="1">
        <v>3</v>
      </c>
      <c r="AT150" s="1">
        <v>4</v>
      </c>
      <c r="AU150" s="1">
        <v>3</v>
      </c>
      <c r="AV150" s="1">
        <v>3</v>
      </c>
      <c r="AW150" s="1">
        <v>4</v>
      </c>
      <c r="AX150" s="1">
        <v>4</v>
      </c>
      <c r="AY150" s="1">
        <v>3</v>
      </c>
      <c r="AZ150" s="1">
        <v>4</v>
      </c>
      <c r="BA150" s="1">
        <v>4</v>
      </c>
      <c r="BB150" s="1">
        <v>3</v>
      </c>
      <c r="BC150" s="1">
        <v>3</v>
      </c>
    </row>
    <row r="151" spans="1:55">
      <c r="A151" s="1" t="s">
        <v>290</v>
      </c>
      <c r="B151" s="1" t="s">
        <v>66</v>
      </c>
      <c r="C151" s="1" t="s">
        <v>289</v>
      </c>
      <c r="D151" s="1">
        <v>2</v>
      </c>
      <c r="E151" s="1">
        <v>3</v>
      </c>
      <c r="F151" s="1">
        <v>2</v>
      </c>
      <c r="G151" s="1">
        <v>4</v>
      </c>
      <c r="H151" s="1">
        <v>3</v>
      </c>
      <c r="I151" s="1">
        <v>3</v>
      </c>
      <c r="J151" s="1">
        <v>3</v>
      </c>
      <c r="K151" s="1">
        <v>3</v>
      </c>
      <c r="L151" s="1">
        <v>3</v>
      </c>
      <c r="M151" s="1">
        <v>3</v>
      </c>
      <c r="N151" s="1">
        <v>3</v>
      </c>
      <c r="O151" s="1">
        <v>3</v>
      </c>
      <c r="P151" s="1">
        <v>2</v>
      </c>
      <c r="Q151" s="1">
        <v>2</v>
      </c>
      <c r="R151" s="1">
        <v>3</v>
      </c>
      <c r="S151" s="1">
        <v>4</v>
      </c>
      <c r="T151" s="1">
        <v>3</v>
      </c>
      <c r="U151" s="1">
        <v>4</v>
      </c>
      <c r="V151" s="1">
        <v>2</v>
      </c>
      <c r="W151" s="1">
        <v>3</v>
      </c>
      <c r="X151" s="1">
        <v>3</v>
      </c>
      <c r="Y151" s="1">
        <v>3</v>
      </c>
      <c r="Z151" s="1">
        <v>2</v>
      </c>
      <c r="AA151" s="1">
        <v>2</v>
      </c>
      <c r="AB151" s="1">
        <v>3</v>
      </c>
      <c r="AC151" s="1">
        <v>3</v>
      </c>
      <c r="AD151" s="1">
        <v>4</v>
      </c>
      <c r="AE151" s="1">
        <v>4</v>
      </c>
      <c r="AF151" s="1">
        <v>2</v>
      </c>
      <c r="AG151" s="1">
        <v>4</v>
      </c>
      <c r="AH151" s="1">
        <v>4</v>
      </c>
      <c r="AI151" s="1">
        <v>3</v>
      </c>
      <c r="AJ151" s="1">
        <v>4</v>
      </c>
      <c r="AK151" s="1">
        <v>3</v>
      </c>
      <c r="AL151" s="1">
        <v>3</v>
      </c>
      <c r="AM151" s="1">
        <v>3</v>
      </c>
      <c r="AN151" s="1">
        <v>4</v>
      </c>
      <c r="AO151" s="1">
        <v>3</v>
      </c>
      <c r="AP151" s="1">
        <v>4</v>
      </c>
      <c r="AQ151" s="1">
        <v>4</v>
      </c>
      <c r="AR151" s="1">
        <v>3</v>
      </c>
      <c r="AS151" s="1">
        <v>4</v>
      </c>
      <c r="AT151" s="1">
        <v>4</v>
      </c>
      <c r="AU151" s="1">
        <v>3</v>
      </c>
      <c r="AV151" s="1">
        <v>4</v>
      </c>
      <c r="AW151" s="1">
        <v>4</v>
      </c>
      <c r="AX151" s="1">
        <v>4</v>
      </c>
      <c r="AY151" s="1">
        <v>4</v>
      </c>
      <c r="AZ151" s="1">
        <v>3</v>
      </c>
      <c r="BA151" s="1">
        <v>4</v>
      </c>
      <c r="BB151" s="1">
        <v>4</v>
      </c>
      <c r="BC151" s="1">
        <v>2</v>
      </c>
    </row>
    <row r="152" spans="1:55">
      <c r="A152" s="1" t="s">
        <v>291</v>
      </c>
      <c r="B152" s="1" t="s">
        <v>66</v>
      </c>
      <c r="C152" s="1" t="s">
        <v>292</v>
      </c>
      <c r="D152" s="1">
        <v>2</v>
      </c>
      <c r="E152" s="1">
        <v>4</v>
      </c>
      <c r="F152" s="1">
        <v>3</v>
      </c>
      <c r="G152" s="1">
        <v>3</v>
      </c>
      <c r="H152" s="1">
        <v>2</v>
      </c>
      <c r="I152" s="1">
        <v>3</v>
      </c>
      <c r="J152" s="1">
        <v>2</v>
      </c>
      <c r="K152" s="1">
        <v>4</v>
      </c>
      <c r="L152" s="1">
        <v>3</v>
      </c>
      <c r="M152" s="1">
        <v>3</v>
      </c>
      <c r="N152" s="1">
        <v>2</v>
      </c>
      <c r="O152" s="1">
        <v>3</v>
      </c>
      <c r="P152" s="1">
        <v>3</v>
      </c>
      <c r="Q152" s="1">
        <v>3</v>
      </c>
      <c r="R152" s="1">
        <v>4</v>
      </c>
      <c r="S152" s="1">
        <v>3</v>
      </c>
      <c r="T152" s="1">
        <v>3</v>
      </c>
      <c r="U152" s="1">
        <v>3</v>
      </c>
      <c r="V152" s="1">
        <v>2</v>
      </c>
      <c r="W152" s="1">
        <v>1</v>
      </c>
      <c r="X152" s="1">
        <v>1</v>
      </c>
      <c r="Y152" s="1">
        <v>2</v>
      </c>
      <c r="Z152" s="1">
        <v>4</v>
      </c>
      <c r="AA152" s="1">
        <v>3</v>
      </c>
      <c r="AB152" s="1">
        <v>3</v>
      </c>
      <c r="AC152" s="1">
        <v>4</v>
      </c>
      <c r="AD152" s="1">
        <v>4</v>
      </c>
      <c r="AE152" s="1">
        <v>4</v>
      </c>
      <c r="AF152" s="1">
        <v>2</v>
      </c>
      <c r="AG152" s="1">
        <v>3</v>
      </c>
      <c r="AH152" s="1">
        <v>2</v>
      </c>
      <c r="AI152" s="1">
        <v>3</v>
      </c>
      <c r="AJ152" s="1">
        <v>3</v>
      </c>
      <c r="AK152" s="1">
        <v>4</v>
      </c>
      <c r="AL152" s="1">
        <v>4</v>
      </c>
      <c r="AM152" s="1">
        <v>3</v>
      </c>
      <c r="AN152" s="1">
        <v>3</v>
      </c>
      <c r="AO152" s="1">
        <v>4</v>
      </c>
      <c r="AP152" s="1">
        <v>5</v>
      </c>
      <c r="AQ152" s="1">
        <v>4</v>
      </c>
      <c r="AR152" s="1">
        <v>4</v>
      </c>
      <c r="AS152" s="1">
        <v>4</v>
      </c>
      <c r="AT152" s="1">
        <v>4</v>
      </c>
      <c r="AU152" s="1">
        <v>4</v>
      </c>
      <c r="AV152" s="1">
        <v>3</v>
      </c>
      <c r="AW152" s="1">
        <v>4</v>
      </c>
      <c r="AX152" s="1">
        <v>3</v>
      </c>
      <c r="AY152" s="1">
        <v>3</v>
      </c>
      <c r="AZ152" s="1">
        <v>4</v>
      </c>
      <c r="BA152" s="1">
        <v>3</v>
      </c>
      <c r="BB152" s="1">
        <v>3</v>
      </c>
      <c r="BC152" s="1">
        <v>3</v>
      </c>
    </row>
    <row r="153" spans="1:55">
      <c r="A153" s="1" t="s">
        <v>293</v>
      </c>
      <c r="B153" s="1" t="s">
        <v>66</v>
      </c>
      <c r="C153" s="1" t="s">
        <v>292</v>
      </c>
      <c r="D153" s="1">
        <v>4</v>
      </c>
      <c r="E153" s="1">
        <v>4</v>
      </c>
      <c r="F153" s="1">
        <v>3</v>
      </c>
      <c r="G153" s="1">
        <v>2</v>
      </c>
      <c r="H153" s="1">
        <v>4</v>
      </c>
      <c r="I153" s="1">
        <v>4</v>
      </c>
      <c r="J153" s="1">
        <v>3</v>
      </c>
      <c r="K153" s="1">
        <v>4</v>
      </c>
      <c r="L153" s="1">
        <v>3</v>
      </c>
      <c r="M153" s="1">
        <v>4</v>
      </c>
      <c r="N153" s="1">
        <v>3</v>
      </c>
      <c r="O153" s="1">
        <v>2</v>
      </c>
      <c r="P153" s="1">
        <v>3</v>
      </c>
      <c r="Q153" s="1">
        <v>4</v>
      </c>
      <c r="R153" s="1">
        <v>4</v>
      </c>
      <c r="S153" s="1">
        <v>3</v>
      </c>
      <c r="T153" s="1">
        <v>3</v>
      </c>
      <c r="U153" s="1">
        <v>4</v>
      </c>
      <c r="V153" s="1">
        <v>4</v>
      </c>
      <c r="W153" s="1">
        <v>3</v>
      </c>
      <c r="X153" s="1">
        <v>3</v>
      </c>
      <c r="Y153" s="1">
        <v>3</v>
      </c>
      <c r="Z153" s="1">
        <v>4</v>
      </c>
      <c r="AA153" s="1">
        <v>4</v>
      </c>
      <c r="AB153" s="1">
        <v>4</v>
      </c>
      <c r="AC153" s="1">
        <v>3</v>
      </c>
      <c r="AD153" s="1">
        <v>4</v>
      </c>
      <c r="AE153" s="1">
        <v>4</v>
      </c>
      <c r="AF153" s="1">
        <v>2</v>
      </c>
      <c r="AG153" s="1">
        <v>2</v>
      </c>
      <c r="AH153" s="1">
        <v>3</v>
      </c>
      <c r="AI153" s="1">
        <v>4</v>
      </c>
      <c r="AJ153" s="1">
        <v>4</v>
      </c>
      <c r="AK153" s="1">
        <v>3</v>
      </c>
      <c r="AL153" s="1">
        <v>4</v>
      </c>
      <c r="AM153" s="1">
        <v>4</v>
      </c>
      <c r="AN153" s="1">
        <v>4</v>
      </c>
      <c r="AO153" s="1">
        <v>4</v>
      </c>
      <c r="AP153" s="1">
        <v>4</v>
      </c>
      <c r="AQ153" s="1">
        <v>4</v>
      </c>
      <c r="AR153" s="1">
        <v>4</v>
      </c>
      <c r="AS153" s="1">
        <v>4</v>
      </c>
      <c r="AT153" s="1">
        <v>4</v>
      </c>
      <c r="AU153" s="1">
        <v>5</v>
      </c>
      <c r="AV153" s="1">
        <v>4</v>
      </c>
      <c r="AW153" s="1">
        <v>4</v>
      </c>
      <c r="AX153" s="1">
        <v>4</v>
      </c>
      <c r="AY153" s="1">
        <v>4</v>
      </c>
      <c r="AZ153" s="1">
        <v>4</v>
      </c>
      <c r="BA153" s="1">
        <v>5</v>
      </c>
      <c r="BB153" s="1">
        <v>4</v>
      </c>
      <c r="BC153" s="1">
        <v>4</v>
      </c>
    </row>
    <row r="154" spans="1:55">
      <c r="A154" s="1" t="s">
        <v>294</v>
      </c>
      <c r="B154" s="1" t="s">
        <v>66</v>
      </c>
      <c r="C154" s="1" t="s">
        <v>295</v>
      </c>
      <c r="D154" s="1">
        <v>4</v>
      </c>
      <c r="E154" s="1">
        <v>4</v>
      </c>
      <c r="F154" s="1">
        <v>3</v>
      </c>
      <c r="G154" s="1">
        <v>3</v>
      </c>
      <c r="H154" s="1">
        <v>3</v>
      </c>
      <c r="I154" s="1">
        <v>4</v>
      </c>
      <c r="J154" s="1">
        <v>3</v>
      </c>
      <c r="K154" s="1">
        <v>4</v>
      </c>
      <c r="L154" s="1">
        <v>4</v>
      </c>
      <c r="M154" s="1">
        <v>3</v>
      </c>
      <c r="N154" s="1">
        <v>4</v>
      </c>
      <c r="O154" s="1">
        <v>4</v>
      </c>
      <c r="P154" s="1">
        <v>5</v>
      </c>
      <c r="Q154" s="1">
        <v>4</v>
      </c>
      <c r="R154" s="1">
        <v>3</v>
      </c>
      <c r="S154" s="1">
        <v>3</v>
      </c>
      <c r="T154" s="1">
        <v>3</v>
      </c>
      <c r="U154" s="1">
        <v>3</v>
      </c>
      <c r="V154" s="1">
        <v>3</v>
      </c>
      <c r="W154" s="1">
        <v>3</v>
      </c>
      <c r="X154" s="1">
        <v>2</v>
      </c>
      <c r="Y154" s="1">
        <v>3</v>
      </c>
      <c r="Z154" s="1">
        <v>4</v>
      </c>
      <c r="AA154" s="1">
        <v>4</v>
      </c>
      <c r="AB154" s="1">
        <v>3</v>
      </c>
      <c r="AC154" s="1">
        <v>3</v>
      </c>
      <c r="AD154" s="1">
        <v>4</v>
      </c>
      <c r="AE154" s="1">
        <v>4</v>
      </c>
      <c r="AF154" s="1">
        <v>2</v>
      </c>
      <c r="AG154" s="1">
        <v>2</v>
      </c>
      <c r="AH154" s="1">
        <v>4</v>
      </c>
      <c r="AI154" s="1">
        <v>5</v>
      </c>
      <c r="AJ154" s="1">
        <v>4</v>
      </c>
      <c r="AK154" s="1">
        <v>5</v>
      </c>
      <c r="AL154" s="1">
        <v>4</v>
      </c>
      <c r="AM154" s="1">
        <v>4</v>
      </c>
      <c r="AN154" s="1">
        <v>4</v>
      </c>
      <c r="AO154" s="1">
        <v>4</v>
      </c>
      <c r="AP154" s="1">
        <v>4</v>
      </c>
      <c r="AQ154" s="1">
        <v>5</v>
      </c>
      <c r="AR154" s="1">
        <v>3</v>
      </c>
      <c r="AS154" s="1">
        <v>5</v>
      </c>
      <c r="AT154" s="1">
        <v>3</v>
      </c>
      <c r="AU154" s="1">
        <v>5</v>
      </c>
      <c r="AV154" s="1">
        <v>5</v>
      </c>
      <c r="AW154" s="1">
        <v>4</v>
      </c>
      <c r="AX154" s="1">
        <v>4</v>
      </c>
      <c r="AY154" s="1">
        <v>4</v>
      </c>
      <c r="AZ154" s="1">
        <v>4</v>
      </c>
      <c r="BA154" s="1">
        <v>5</v>
      </c>
      <c r="BB154" s="1">
        <v>4</v>
      </c>
      <c r="BC154" s="1">
        <v>2</v>
      </c>
    </row>
    <row r="155" spans="1:55">
      <c r="A155" s="1" t="s">
        <v>296</v>
      </c>
      <c r="B155" s="1" t="s">
        <v>66</v>
      </c>
      <c r="C155" s="1" t="s">
        <v>295</v>
      </c>
      <c r="D155" s="1">
        <v>3</v>
      </c>
      <c r="E155" s="1">
        <v>2</v>
      </c>
      <c r="F155" s="1">
        <v>3</v>
      </c>
      <c r="G155" s="1">
        <v>3</v>
      </c>
      <c r="H155" s="1">
        <v>3</v>
      </c>
      <c r="I155" s="1">
        <v>3</v>
      </c>
      <c r="J155" s="1">
        <v>3</v>
      </c>
      <c r="K155" s="1">
        <v>3</v>
      </c>
      <c r="L155" s="1">
        <v>2</v>
      </c>
      <c r="M155" s="1">
        <v>3</v>
      </c>
      <c r="N155" s="1">
        <v>3</v>
      </c>
      <c r="O155" s="1">
        <v>3</v>
      </c>
      <c r="P155" s="1">
        <v>3</v>
      </c>
      <c r="Q155" s="1">
        <v>3</v>
      </c>
      <c r="R155" s="1">
        <v>3</v>
      </c>
      <c r="S155" s="1">
        <v>3</v>
      </c>
      <c r="T155" s="1">
        <v>2</v>
      </c>
      <c r="U155" s="1">
        <v>2</v>
      </c>
      <c r="V155" s="1">
        <v>2</v>
      </c>
      <c r="W155" s="1">
        <v>4</v>
      </c>
      <c r="X155" s="1">
        <v>5</v>
      </c>
      <c r="Y155" s="1">
        <v>4</v>
      </c>
      <c r="Z155" s="1">
        <v>3</v>
      </c>
      <c r="AA155" s="1">
        <v>3</v>
      </c>
      <c r="AB155" s="1">
        <v>3</v>
      </c>
      <c r="AC155" s="1">
        <v>2</v>
      </c>
      <c r="AD155" s="1">
        <v>4</v>
      </c>
      <c r="AE155" s="1">
        <v>3</v>
      </c>
      <c r="AF155" s="1">
        <v>4</v>
      </c>
      <c r="AG155" s="1">
        <v>2</v>
      </c>
      <c r="AH155" s="1">
        <v>4</v>
      </c>
      <c r="AI155" s="1">
        <v>4</v>
      </c>
      <c r="AJ155" s="1">
        <v>4</v>
      </c>
      <c r="AK155" s="1">
        <v>3</v>
      </c>
      <c r="AL155" s="1">
        <v>3</v>
      </c>
      <c r="AM155" s="1">
        <v>3</v>
      </c>
      <c r="AN155" s="1">
        <v>4</v>
      </c>
      <c r="AO155" s="1">
        <v>2</v>
      </c>
      <c r="AP155" s="1">
        <v>3</v>
      </c>
      <c r="AQ155" s="1">
        <v>2</v>
      </c>
      <c r="AR155" s="1">
        <v>3</v>
      </c>
      <c r="AS155" s="1">
        <v>3</v>
      </c>
      <c r="AT155" s="1">
        <v>2</v>
      </c>
      <c r="AU155" s="1">
        <v>4</v>
      </c>
      <c r="AV155" s="1">
        <v>5</v>
      </c>
      <c r="AW155" s="1">
        <v>4</v>
      </c>
      <c r="AX155" s="1">
        <v>3</v>
      </c>
      <c r="AY155" s="1">
        <v>4</v>
      </c>
      <c r="AZ155" s="1">
        <v>3</v>
      </c>
      <c r="BA155" s="1">
        <v>3</v>
      </c>
      <c r="BB155" s="1">
        <v>4</v>
      </c>
      <c r="BC155" s="1">
        <v>2</v>
      </c>
    </row>
    <row r="156" spans="1:55">
      <c r="A156" s="1" t="s">
        <v>297</v>
      </c>
      <c r="B156" s="1" t="s">
        <v>66</v>
      </c>
      <c r="C156" s="1" t="s">
        <v>298</v>
      </c>
      <c r="D156" s="1">
        <v>3</v>
      </c>
      <c r="E156" s="1">
        <v>4</v>
      </c>
      <c r="F156" s="1">
        <v>1</v>
      </c>
      <c r="G156" s="1">
        <v>2</v>
      </c>
      <c r="H156" s="1">
        <v>3</v>
      </c>
      <c r="I156" s="1">
        <v>4</v>
      </c>
      <c r="J156" s="1">
        <v>3</v>
      </c>
      <c r="K156" s="1">
        <v>3</v>
      </c>
      <c r="L156" s="1">
        <v>4</v>
      </c>
      <c r="M156" s="1">
        <v>4</v>
      </c>
      <c r="N156" s="1">
        <v>3</v>
      </c>
      <c r="O156" s="1">
        <v>2</v>
      </c>
      <c r="P156" s="1">
        <v>3</v>
      </c>
      <c r="Q156" s="1">
        <v>3</v>
      </c>
      <c r="R156" s="1">
        <v>4</v>
      </c>
      <c r="S156" s="1">
        <v>4</v>
      </c>
      <c r="T156" s="1">
        <v>3</v>
      </c>
      <c r="U156" s="1">
        <v>4</v>
      </c>
      <c r="V156" s="1">
        <v>3</v>
      </c>
      <c r="W156" s="1">
        <v>2</v>
      </c>
      <c r="X156" s="1">
        <v>2</v>
      </c>
      <c r="Y156" s="1">
        <v>1</v>
      </c>
      <c r="Z156" s="1">
        <v>3</v>
      </c>
      <c r="AA156" s="1">
        <v>3</v>
      </c>
      <c r="AB156" s="1">
        <v>4</v>
      </c>
      <c r="AC156" s="1">
        <v>3</v>
      </c>
      <c r="AD156" s="1">
        <v>3</v>
      </c>
      <c r="AE156" s="1">
        <v>4</v>
      </c>
      <c r="AF156" s="1">
        <v>3</v>
      </c>
      <c r="AG156" s="1">
        <v>2</v>
      </c>
      <c r="AH156" s="1">
        <v>4</v>
      </c>
      <c r="AI156" s="1">
        <v>4</v>
      </c>
      <c r="AJ156" s="1">
        <v>5</v>
      </c>
      <c r="AK156" s="1">
        <v>4</v>
      </c>
      <c r="AL156" s="1">
        <v>4</v>
      </c>
      <c r="AM156" s="1">
        <v>3</v>
      </c>
      <c r="AN156" s="1">
        <v>3</v>
      </c>
      <c r="AO156" s="1">
        <v>5</v>
      </c>
      <c r="AP156" s="1">
        <v>4</v>
      </c>
      <c r="AQ156" s="1">
        <v>5</v>
      </c>
      <c r="AR156" s="1">
        <v>3</v>
      </c>
      <c r="AS156" s="1">
        <v>4</v>
      </c>
      <c r="AT156" s="1">
        <v>3</v>
      </c>
      <c r="AU156" s="1">
        <v>4</v>
      </c>
      <c r="AV156" s="1">
        <v>4</v>
      </c>
      <c r="AW156" s="1">
        <v>3</v>
      </c>
      <c r="AX156" s="1">
        <v>2</v>
      </c>
      <c r="AY156" s="1">
        <v>3</v>
      </c>
      <c r="AZ156" s="1">
        <v>4</v>
      </c>
      <c r="BA156" s="1">
        <v>3</v>
      </c>
      <c r="BB156" s="1">
        <v>4</v>
      </c>
      <c r="BC156" s="1">
        <v>1</v>
      </c>
    </row>
    <row r="157" spans="1:55">
      <c r="A157" s="1" t="s">
        <v>299</v>
      </c>
      <c r="B157" s="1" t="s">
        <v>66</v>
      </c>
      <c r="C157" s="1" t="s">
        <v>298</v>
      </c>
      <c r="D157" s="1">
        <v>3</v>
      </c>
      <c r="E157" s="1">
        <v>3</v>
      </c>
      <c r="F157" s="1">
        <v>2</v>
      </c>
      <c r="G157" s="1">
        <v>3</v>
      </c>
      <c r="H157" s="1">
        <v>4</v>
      </c>
      <c r="I157" s="1">
        <v>4</v>
      </c>
      <c r="J157" s="1">
        <v>4</v>
      </c>
      <c r="K157" s="1">
        <v>3</v>
      </c>
      <c r="L157" s="1">
        <v>2</v>
      </c>
      <c r="M157" s="1">
        <v>4</v>
      </c>
      <c r="N157" s="1">
        <v>4</v>
      </c>
      <c r="O157" s="1">
        <v>3</v>
      </c>
      <c r="P157" s="1">
        <v>2</v>
      </c>
      <c r="Q157" s="1">
        <v>2</v>
      </c>
      <c r="R157" s="1">
        <v>3</v>
      </c>
      <c r="S157" s="1">
        <v>3</v>
      </c>
      <c r="T157" s="1">
        <v>3</v>
      </c>
      <c r="U157" s="1">
        <v>3</v>
      </c>
      <c r="V157" s="1">
        <v>3</v>
      </c>
      <c r="W157" s="1">
        <v>3</v>
      </c>
      <c r="X157" s="1">
        <v>3</v>
      </c>
      <c r="Y157" s="1">
        <v>2</v>
      </c>
      <c r="Z157" s="1">
        <v>2</v>
      </c>
      <c r="AA157" s="1">
        <v>3</v>
      </c>
      <c r="AB157" s="1">
        <v>3</v>
      </c>
      <c r="AC157" s="1">
        <v>1</v>
      </c>
      <c r="AD157" s="1">
        <v>3</v>
      </c>
      <c r="AE157" s="1">
        <v>4</v>
      </c>
      <c r="AF157" s="1">
        <v>2</v>
      </c>
      <c r="AG157" s="1">
        <v>2</v>
      </c>
      <c r="AH157" s="1">
        <v>3</v>
      </c>
      <c r="AI157" s="1">
        <v>4</v>
      </c>
      <c r="AJ157" s="1">
        <v>3</v>
      </c>
      <c r="AK157" s="1">
        <v>3</v>
      </c>
      <c r="AL157" s="1">
        <v>2</v>
      </c>
      <c r="AM157" s="1">
        <v>3</v>
      </c>
      <c r="AN157" s="1">
        <v>4</v>
      </c>
      <c r="AO157" s="1">
        <v>3</v>
      </c>
      <c r="AP157" s="1">
        <v>3</v>
      </c>
      <c r="AQ157" s="1">
        <v>3</v>
      </c>
      <c r="AR157" s="1">
        <v>3</v>
      </c>
      <c r="AS157" s="1">
        <v>4</v>
      </c>
      <c r="AT157" s="1">
        <v>3</v>
      </c>
      <c r="AU157" s="1">
        <v>4</v>
      </c>
      <c r="AV157" s="1">
        <v>4</v>
      </c>
      <c r="AW157" s="1">
        <v>4</v>
      </c>
      <c r="AX157" s="1">
        <v>4</v>
      </c>
      <c r="AY157" s="1">
        <v>4</v>
      </c>
      <c r="AZ157" s="1">
        <v>2</v>
      </c>
      <c r="BA157" s="1">
        <v>2</v>
      </c>
      <c r="BB157" s="1">
        <v>3</v>
      </c>
      <c r="BC157" s="1">
        <v>3</v>
      </c>
    </row>
    <row r="158" spans="1:55">
      <c r="A158" s="1" t="s">
        <v>300</v>
      </c>
      <c r="B158" s="1" t="s">
        <v>66</v>
      </c>
      <c r="C158" s="1" t="s">
        <v>301</v>
      </c>
      <c r="D158" s="1">
        <v>4</v>
      </c>
      <c r="E158" s="1">
        <v>3</v>
      </c>
      <c r="F158" s="1">
        <v>2</v>
      </c>
      <c r="G158" s="1">
        <v>2</v>
      </c>
      <c r="H158" s="1">
        <v>3</v>
      </c>
      <c r="I158" s="1">
        <v>3</v>
      </c>
      <c r="J158" s="1">
        <v>4</v>
      </c>
      <c r="K158" s="1">
        <v>4</v>
      </c>
      <c r="L158" s="1">
        <v>4</v>
      </c>
      <c r="M158" s="1">
        <v>3</v>
      </c>
      <c r="N158" s="1">
        <v>2</v>
      </c>
      <c r="O158" s="1">
        <v>4</v>
      </c>
      <c r="P158" s="1">
        <v>4</v>
      </c>
      <c r="Q158" s="1">
        <v>3</v>
      </c>
      <c r="R158" s="1">
        <v>3</v>
      </c>
      <c r="S158" s="1">
        <v>4</v>
      </c>
      <c r="T158" s="1">
        <v>5</v>
      </c>
      <c r="U158" s="1">
        <v>3</v>
      </c>
      <c r="V158" s="1">
        <v>4</v>
      </c>
      <c r="W158" s="1">
        <v>3</v>
      </c>
      <c r="X158" s="1">
        <v>4</v>
      </c>
      <c r="Y158" s="1">
        <v>3</v>
      </c>
      <c r="Z158" s="1">
        <v>2</v>
      </c>
      <c r="AA158" s="1">
        <v>3</v>
      </c>
      <c r="AB158" s="1">
        <v>5</v>
      </c>
      <c r="AC158" s="1">
        <v>3</v>
      </c>
      <c r="AD158" s="1">
        <v>4</v>
      </c>
      <c r="AE158" s="1">
        <v>3</v>
      </c>
      <c r="AF158" s="1">
        <v>2</v>
      </c>
      <c r="AG158" s="1">
        <v>3</v>
      </c>
      <c r="AH158" s="1">
        <v>3</v>
      </c>
      <c r="AI158" s="1">
        <v>3</v>
      </c>
      <c r="AJ158" s="1">
        <v>3</v>
      </c>
      <c r="AK158" s="1">
        <v>4</v>
      </c>
      <c r="AL158" s="1">
        <v>4</v>
      </c>
      <c r="AM158" s="1">
        <v>4</v>
      </c>
      <c r="AN158" s="1">
        <v>3</v>
      </c>
      <c r="AO158" s="1">
        <v>4</v>
      </c>
      <c r="AP158" s="1">
        <v>4</v>
      </c>
      <c r="AQ158" s="1">
        <v>5</v>
      </c>
      <c r="AR158" s="1">
        <v>4</v>
      </c>
      <c r="AS158" s="1">
        <v>4</v>
      </c>
      <c r="AT158" s="1">
        <v>4</v>
      </c>
      <c r="AU158" s="1">
        <v>4</v>
      </c>
      <c r="AV158" s="1">
        <v>3</v>
      </c>
      <c r="AW158" s="1">
        <v>4</v>
      </c>
      <c r="AX158" s="1">
        <v>4</v>
      </c>
      <c r="AY158" s="1">
        <v>3</v>
      </c>
      <c r="AZ158" s="1">
        <v>4</v>
      </c>
      <c r="BA158" s="1">
        <v>4</v>
      </c>
      <c r="BB158" s="1">
        <v>4</v>
      </c>
      <c r="BC158" s="1">
        <v>3</v>
      </c>
    </row>
    <row r="159" spans="1:55">
      <c r="A159" s="1" t="s">
        <v>302</v>
      </c>
      <c r="B159" s="1" t="s">
        <v>66</v>
      </c>
      <c r="C159" s="1" t="s">
        <v>301</v>
      </c>
      <c r="D159" s="1">
        <v>2</v>
      </c>
      <c r="E159" s="1">
        <v>4</v>
      </c>
      <c r="F159" s="1">
        <v>3</v>
      </c>
      <c r="G159" s="1">
        <v>2</v>
      </c>
      <c r="H159" s="1">
        <v>2</v>
      </c>
      <c r="I159" s="1">
        <v>2</v>
      </c>
      <c r="J159" s="1">
        <v>2</v>
      </c>
      <c r="K159" s="1">
        <v>3</v>
      </c>
      <c r="L159" s="1">
        <v>4</v>
      </c>
      <c r="M159" s="1">
        <v>4</v>
      </c>
      <c r="N159" s="1">
        <v>3</v>
      </c>
      <c r="O159" s="1">
        <v>3</v>
      </c>
      <c r="P159" s="1">
        <v>3</v>
      </c>
      <c r="Q159" s="1">
        <v>4</v>
      </c>
      <c r="R159" s="1">
        <v>4</v>
      </c>
      <c r="S159" s="1">
        <v>4</v>
      </c>
      <c r="T159" s="1">
        <v>4</v>
      </c>
      <c r="U159" s="1">
        <v>3</v>
      </c>
      <c r="V159" s="1">
        <v>2</v>
      </c>
      <c r="W159" s="1">
        <v>3</v>
      </c>
      <c r="X159" s="1">
        <v>2</v>
      </c>
      <c r="Y159" s="1">
        <v>2</v>
      </c>
      <c r="Z159" s="1">
        <v>3</v>
      </c>
      <c r="AA159" s="1">
        <v>3</v>
      </c>
      <c r="AB159" s="1">
        <v>4</v>
      </c>
      <c r="AC159" s="1">
        <v>3</v>
      </c>
      <c r="AD159" s="1">
        <v>4</v>
      </c>
      <c r="AE159" s="1">
        <v>4</v>
      </c>
      <c r="AF159" s="1">
        <v>1</v>
      </c>
      <c r="AG159" s="1">
        <v>2</v>
      </c>
      <c r="AH159" s="1">
        <v>2</v>
      </c>
      <c r="AI159" s="1">
        <v>3</v>
      </c>
      <c r="AJ159" s="1">
        <v>2</v>
      </c>
      <c r="AK159" s="1">
        <v>4</v>
      </c>
      <c r="AL159" s="1">
        <v>3</v>
      </c>
      <c r="AM159" s="1">
        <v>4</v>
      </c>
      <c r="AN159" s="1">
        <v>2</v>
      </c>
      <c r="AO159" s="1">
        <v>3</v>
      </c>
      <c r="AP159" s="1">
        <v>4</v>
      </c>
      <c r="AQ159" s="1">
        <v>4</v>
      </c>
      <c r="AR159" s="1">
        <v>4</v>
      </c>
      <c r="AS159" s="1">
        <v>4</v>
      </c>
      <c r="AT159" s="1">
        <v>4</v>
      </c>
      <c r="AU159" s="1">
        <v>4</v>
      </c>
      <c r="AV159" s="1">
        <v>3</v>
      </c>
      <c r="AW159" s="1">
        <v>3</v>
      </c>
      <c r="AX159" s="1">
        <v>3</v>
      </c>
      <c r="AY159" s="1">
        <v>2</v>
      </c>
      <c r="AZ159" s="1">
        <v>5</v>
      </c>
      <c r="BA159" s="1">
        <v>5</v>
      </c>
      <c r="BB159" s="1">
        <v>4</v>
      </c>
      <c r="BC159" s="1">
        <v>4</v>
      </c>
    </row>
    <row r="160" spans="1:55">
      <c r="A160" s="1" t="s">
        <v>303</v>
      </c>
      <c r="B160" s="1" t="s">
        <v>66</v>
      </c>
      <c r="C160" s="1" t="s">
        <v>304</v>
      </c>
      <c r="D160" s="1">
        <v>3</v>
      </c>
      <c r="E160" s="1">
        <v>4</v>
      </c>
      <c r="F160" s="1">
        <v>2</v>
      </c>
      <c r="G160" s="1">
        <v>2</v>
      </c>
      <c r="H160" s="1">
        <v>4</v>
      </c>
      <c r="I160" s="1">
        <v>3</v>
      </c>
      <c r="J160" s="1">
        <v>2</v>
      </c>
      <c r="K160" s="1">
        <v>3</v>
      </c>
      <c r="L160" s="1">
        <v>3</v>
      </c>
      <c r="M160" s="1">
        <v>5</v>
      </c>
      <c r="N160" s="1">
        <v>3</v>
      </c>
      <c r="O160" s="1">
        <v>3</v>
      </c>
      <c r="P160" s="1">
        <v>4</v>
      </c>
      <c r="Q160" s="1">
        <v>3</v>
      </c>
      <c r="R160" s="1">
        <v>4</v>
      </c>
      <c r="S160" s="1">
        <v>4</v>
      </c>
      <c r="T160" s="1">
        <v>3</v>
      </c>
      <c r="U160" s="1">
        <v>4</v>
      </c>
      <c r="V160" s="1">
        <v>3</v>
      </c>
      <c r="W160" s="1">
        <v>4</v>
      </c>
      <c r="X160" s="1">
        <v>3</v>
      </c>
      <c r="Y160" s="1">
        <v>3</v>
      </c>
      <c r="Z160" s="1">
        <v>4</v>
      </c>
      <c r="AA160" s="1">
        <v>3</v>
      </c>
      <c r="AB160" s="1">
        <v>3</v>
      </c>
      <c r="AC160" s="1">
        <v>4</v>
      </c>
      <c r="AD160" s="1">
        <v>5</v>
      </c>
      <c r="AE160" s="1">
        <v>4</v>
      </c>
      <c r="AF160" s="1">
        <v>1</v>
      </c>
      <c r="AG160" s="1">
        <v>1</v>
      </c>
      <c r="AH160" s="1">
        <v>4</v>
      </c>
      <c r="AI160" s="1">
        <v>3</v>
      </c>
      <c r="AJ160" s="1">
        <v>3</v>
      </c>
      <c r="AK160" s="1">
        <v>3</v>
      </c>
      <c r="AL160" s="1">
        <v>4</v>
      </c>
      <c r="AM160" s="1">
        <v>5</v>
      </c>
      <c r="AN160" s="1">
        <v>4</v>
      </c>
      <c r="AO160" s="1">
        <v>3</v>
      </c>
      <c r="AP160" s="1">
        <v>4</v>
      </c>
      <c r="AQ160" s="1">
        <v>4</v>
      </c>
      <c r="AR160" s="1">
        <v>4</v>
      </c>
      <c r="AS160" s="1">
        <v>4</v>
      </c>
      <c r="AT160" s="1">
        <v>4</v>
      </c>
      <c r="AU160" s="1">
        <v>4</v>
      </c>
      <c r="AV160" s="1">
        <v>3</v>
      </c>
      <c r="AW160" s="1">
        <v>5</v>
      </c>
      <c r="AX160" s="1">
        <v>4</v>
      </c>
      <c r="AY160" s="1">
        <v>5</v>
      </c>
      <c r="AZ160" s="1">
        <v>4</v>
      </c>
      <c r="BA160" s="1">
        <v>4</v>
      </c>
      <c r="BB160" s="1">
        <v>4</v>
      </c>
      <c r="BC160" s="1">
        <v>3</v>
      </c>
    </row>
    <row r="161" spans="1:55">
      <c r="A161" s="1" t="s">
        <v>305</v>
      </c>
      <c r="B161" s="1" t="s">
        <v>66</v>
      </c>
      <c r="C161" s="1" t="s">
        <v>304</v>
      </c>
      <c r="D161" s="1">
        <v>3</v>
      </c>
      <c r="E161" s="1">
        <v>4</v>
      </c>
      <c r="F161" s="1">
        <v>2</v>
      </c>
      <c r="G161" s="1">
        <v>1</v>
      </c>
      <c r="H161" s="1">
        <v>3</v>
      </c>
      <c r="I161" s="1">
        <v>3</v>
      </c>
      <c r="J161" s="1">
        <v>3</v>
      </c>
      <c r="K161" s="1">
        <v>3</v>
      </c>
      <c r="L161" s="1">
        <v>2</v>
      </c>
      <c r="M161" s="1">
        <v>3</v>
      </c>
      <c r="N161" s="1">
        <v>2</v>
      </c>
      <c r="O161" s="1">
        <v>4</v>
      </c>
      <c r="P161" s="1">
        <v>3</v>
      </c>
      <c r="Q161" s="1">
        <v>4</v>
      </c>
      <c r="R161" s="1">
        <v>4</v>
      </c>
      <c r="S161" s="1">
        <v>4</v>
      </c>
      <c r="T161" s="1">
        <v>4</v>
      </c>
      <c r="U161" s="1">
        <v>4</v>
      </c>
      <c r="V161" s="1">
        <v>3</v>
      </c>
      <c r="W161" s="1">
        <v>3</v>
      </c>
      <c r="X161" s="1">
        <v>3</v>
      </c>
      <c r="Y161" s="1">
        <v>3</v>
      </c>
      <c r="Z161" s="1">
        <v>3</v>
      </c>
      <c r="AA161" s="1">
        <v>2</v>
      </c>
      <c r="AB161" s="1">
        <v>4</v>
      </c>
      <c r="AC161" s="1">
        <v>4</v>
      </c>
      <c r="AD161" s="1">
        <v>4</v>
      </c>
      <c r="AE161" s="1">
        <v>4</v>
      </c>
      <c r="AF161" s="1">
        <v>3</v>
      </c>
      <c r="AG161" s="1">
        <v>2</v>
      </c>
      <c r="AH161" s="1">
        <v>4</v>
      </c>
      <c r="AI161" s="1">
        <v>4</v>
      </c>
      <c r="AJ161" s="1">
        <v>3</v>
      </c>
      <c r="AK161" s="1">
        <v>4</v>
      </c>
      <c r="AL161" s="1">
        <v>3</v>
      </c>
      <c r="AM161" s="1">
        <v>5</v>
      </c>
      <c r="AN161" s="1">
        <v>3</v>
      </c>
      <c r="AO161" s="1">
        <v>4</v>
      </c>
      <c r="AP161" s="1">
        <v>4</v>
      </c>
      <c r="AQ161" s="1">
        <v>3</v>
      </c>
      <c r="AR161" s="1">
        <v>4</v>
      </c>
      <c r="AS161" s="1">
        <v>4</v>
      </c>
      <c r="AT161" s="1">
        <v>4</v>
      </c>
      <c r="AU161" s="1">
        <v>5</v>
      </c>
      <c r="AV161" s="1">
        <v>3</v>
      </c>
      <c r="AW161" s="1">
        <v>5</v>
      </c>
      <c r="AX161" s="1">
        <v>5</v>
      </c>
      <c r="AY161" s="1">
        <v>4</v>
      </c>
      <c r="AZ161" s="1">
        <v>4</v>
      </c>
      <c r="BA161" s="1">
        <v>4</v>
      </c>
      <c r="BB161" s="1">
        <v>3</v>
      </c>
      <c r="BC161" s="1">
        <v>2</v>
      </c>
    </row>
    <row r="162" spans="1:55">
      <c r="A162" s="1" t="s">
        <v>306</v>
      </c>
      <c r="B162" s="1" t="s">
        <v>66</v>
      </c>
      <c r="C162" s="1" t="s">
        <v>307</v>
      </c>
      <c r="D162" s="1">
        <v>3</v>
      </c>
      <c r="E162" s="1">
        <v>2</v>
      </c>
      <c r="F162" s="1">
        <v>3</v>
      </c>
      <c r="G162" s="1">
        <v>3</v>
      </c>
      <c r="H162" s="1">
        <v>2</v>
      </c>
      <c r="I162" s="1">
        <v>3</v>
      </c>
      <c r="J162" s="1">
        <v>3</v>
      </c>
      <c r="K162" s="1">
        <v>3</v>
      </c>
      <c r="L162" s="1">
        <v>3</v>
      </c>
      <c r="M162" s="1">
        <v>3</v>
      </c>
      <c r="N162" s="1">
        <v>4</v>
      </c>
      <c r="O162" s="1">
        <v>4</v>
      </c>
      <c r="P162" s="1">
        <v>2</v>
      </c>
      <c r="Q162" s="1">
        <v>3</v>
      </c>
      <c r="R162" s="1">
        <v>2</v>
      </c>
      <c r="S162" s="1">
        <v>3</v>
      </c>
      <c r="T162" s="1">
        <v>3</v>
      </c>
      <c r="U162" s="1">
        <v>3</v>
      </c>
      <c r="V162" s="1">
        <v>3</v>
      </c>
      <c r="W162" s="1">
        <v>3</v>
      </c>
      <c r="X162" s="1">
        <v>4</v>
      </c>
      <c r="Y162" s="1">
        <v>4</v>
      </c>
      <c r="Z162" s="1">
        <v>3</v>
      </c>
      <c r="AA162" s="1">
        <v>3</v>
      </c>
      <c r="AB162" s="1">
        <v>4</v>
      </c>
      <c r="AC162" s="1">
        <v>3</v>
      </c>
      <c r="AD162" s="1">
        <v>4</v>
      </c>
      <c r="AE162" s="1">
        <v>2</v>
      </c>
      <c r="AF162" s="1">
        <v>3</v>
      </c>
      <c r="AG162" s="1">
        <v>3</v>
      </c>
      <c r="AH162" s="1">
        <v>4</v>
      </c>
      <c r="AI162" s="1">
        <v>2</v>
      </c>
      <c r="AJ162" s="1">
        <v>3</v>
      </c>
      <c r="AK162" s="1">
        <v>4</v>
      </c>
      <c r="AL162" s="1">
        <v>4</v>
      </c>
      <c r="AM162" s="1">
        <v>3</v>
      </c>
      <c r="AN162" s="1">
        <v>3</v>
      </c>
      <c r="AO162" s="1">
        <v>4</v>
      </c>
      <c r="AP162" s="1">
        <v>4</v>
      </c>
      <c r="AQ162" s="1">
        <v>3</v>
      </c>
      <c r="AR162" s="1">
        <v>3</v>
      </c>
      <c r="AS162" s="1">
        <v>3</v>
      </c>
      <c r="AT162" s="1">
        <v>3</v>
      </c>
      <c r="AU162" s="1">
        <v>2</v>
      </c>
      <c r="AV162" s="1">
        <v>2</v>
      </c>
      <c r="AW162" s="1">
        <v>4</v>
      </c>
      <c r="AX162" s="1">
        <v>4</v>
      </c>
      <c r="AY162" s="1">
        <v>4</v>
      </c>
      <c r="AZ162" s="1">
        <v>4</v>
      </c>
      <c r="BA162" s="1">
        <v>3</v>
      </c>
      <c r="BB162" s="1">
        <v>4</v>
      </c>
      <c r="BC162" s="1">
        <v>3</v>
      </c>
    </row>
    <row r="163" spans="1:55">
      <c r="A163" s="1" t="s">
        <v>308</v>
      </c>
      <c r="B163" s="1" t="s">
        <v>66</v>
      </c>
      <c r="C163" s="1" t="s">
        <v>307</v>
      </c>
      <c r="D163" s="1">
        <v>3</v>
      </c>
      <c r="E163" s="1">
        <v>3</v>
      </c>
      <c r="F163" s="1">
        <v>3</v>
      </c>
      <c r="G163" s="1">
        <v>4</v>
      </c>
      <c r="H163" s="1">
        <v>3</v>
      </c>
      <c r="I163" s="1">
        <v>3</v>
      </c>
      <c r="J163" s="1">
        <v>3</v>
      </c>
      <c r="K163" s="1">
        <v>3</v>
      </c>
      <c r="L163" s="1">
        <v>3</v>
      </c>
      <c r="M163" s="1">
        <v>3</v>
      </c>
      <c r="N163" s="1">
        <v>4</v>
      </c>
      <c r="O163" s="1">
        <v>2</v>
      </c>
      <c r="P163" s="1">
        <v>3</v>
      </c>
      <c r="Q163" s="1">
        <v>2</v>
      </c>
      <c r="R163" s="1">
        <v>3</v>
      </c>
      <c r="S163" s="1">
        <v>3</v>
      </c>
      <c r="T163" s="1">
        <v>3</v>
      </c>
      <c r="U163" s="1">
        <v>3</v>
      </c>
      <c r="V163" s="1">
        <v>2</v>
      </c>
      <c r="W163" s="1">
        <v>3</v>
      </c>
      <c r="X163" s="1">
        <v>2</v>
      </c>
      <c r="Y163" s="1">
        <v>2</v>
      </c>
      <c r="Z163" s="1">
        <v>3</v>
      </c>
      <c r="AA163" s="1">
        <v>2</v>
      </c>
      <c r="AB163" s="1">
        <v>3</v>
      </c>
      <c r="AC163" s="1">
        <v>5</v>
      </c>
      <c r="AD163" s="1">
        <v>2</v>
      </c>
      <c r="AE163" s="1">
        <v>5</v>
      </c>
      <c r="AF163" s="1">
        <v>1</v>
      </c>
      <c r="AG163" s="1">
        <v>2</v>
      </c>
      <c r="AH163" s="1">
        <v>3</v>
      </c>
      <c r="AI163" s="1">
        <v>4</v>
      </c>
      <c r="AJ163" s="1">
        <v>3</v>
      </c>
      <c r="AK163" s="1">
        <v>3</v>
      </c>
      <c r="AL163" s="1">
        <v>3</v>
      </c>
      <c r="AM163" s="1">
        <v>3</v>
      </c>
      <c r="AN163" s="1">
        <v>2</v>
      </c>
      <c r="AO163" s="1">
        <v>2</v>
      </c>
      <c r="AP163" s="1">
        <v>3</v>
      </c>
      <c r="AQ163" s="1">
        <v>3</v>
      </c>
      <c r="AR163" s="1">
        <v>4</v>
      </c>
      <c r="AS163" s="1">
        <v>4</v>
      </c>
      <c r="AT163" s="1">
        <v>4</v>
      </c>
      <c r="AU163" s="1">
        <v>4</v>
      </c>
      <c r="AV163" s="1">
        <v>2</v>
      </c>
      <c r="AW163" s="1">
        <v>3</v>
      </c>
      <c r="AX163" s="1">
        <v>3</v>
      </c>
      <c r="AY163" s="1">
        <v>3</v>
      </c>
      <c r="AZ163" s="1">
        <v>2</v>
      </c>
      <c r="BA163" s="1">
        <v>3</v>
      </c>
      <c r="BB163" s="1">
        <v>2</v>
      </c>
      <c r="BC163" s="1">
        <v>3</v>
      </c>
    </row>
    <row r="164" spans="1:55">
      <c r="A164" s="1" t="s">
        <v>309</v>
      </c>
      <c r="B164" s="1" t="s">
        <v>66</v>
      </c>
      <c r="C164" s="1" t="s">
        <v>310</v>
      </c>
      <c r="D164" s="1">
        <v>3</v>
      </c>
      <c r="E164" s="1">
        <v>3</v>
      </c>
      <c r="F164" s="1">
        <v>3</v>
      </c>
      <c r="G164" s="1">
        <v>2</v>
      </c>
      <c r="H164" s="1">
        <v>2</v>
      </c>
      <c r="I164" s="1">
        <v>4</v>
      </c>
      <c r="J164" s="1">
        <v>3</v>
      </c>
      <c r="K164" s="1">
        <v>4</v>
      </c>
      <c r="L164" s="1">
        <v>3</v>
      </c>
      <c r="M164" s="1">
        <v>4</v>
      </c>
      <c r="N164" s="1">
        <v>3</v>
      </c>
      <c r="O164" s="1">
        <v>3</v>
      </c>
      <c r="P164" s="1">
        <v>3</v>
      </c>
      <c r="Q164" s="1">
        <v>4</v>
      </c>
      <c r="R164" s="1">
        <v>4</v>
      </c>
      <c r="S164" s="1">
        <v>3</v>
      </c>
      <c r="T164" s="1">
        <v>3</v>
      </c>
      <c r="U164" s="1">
        <v>4</v>
      </c>
      <c r="V164" s="1">
        <v>2</v>
      </c>
      <c r="W164" s="1">
        <v>3</v>
      </c>
      <c r="X164" s="1">
        <v>3</v>
      </c>
      <c r="Y164" s="1">
        <v>2</v>
      </c>
      <c r="Z164" s="1">
        <v>4</v>
      </c>
      <c r="AA164" s="1">
        <v>5</v>
      </c>
      <c r="AB164" s="1">
        <v>3</v>
      </c>
      <c r="AC164" s="1">
        <v>3</v>
      </c>
      <c r="AD164" s="1">
        <v>3</v>
      </c>
      <c r="AE164" s="1">
        <v>3</v>
      </c>
      <c r="AF164" s="1">
        <v>3</v>
      </c>
      <c r="AG164" s="1">
        <v>1</v>
      </c>
      <c r="AH164" s="1">
        <v>4</v>
      </c>
      <c r="AI164" s="1">
        <v>4</v>
      </c>
      <c r="AJ164" s="1">
        <v>3</v>
      </c>
      <c r="AK164" s="1">
        <v>4</v>
      </c>
      <c r="AL164" s="1">
        <v>4</v>
      </c>
      <c r="AM164" s="1">
        <v>3</v>
      </c>
      <c r="AN164" s="1">
        <v>3</v>
      </c>
      <c r="AO164" s="1">
        <v>4</v>
      </c>
      <c r="AP164" s="1">
        <v>4</v>
      </c>
      <c r="AQ164" s="1">
        <v>4</v>
      </c>
      <c r="AR164" s="1">
        <v>4</v>
      </c>
      <c r="AS164" s="1">
        <v>4</v>
      </c>
      <c r="AT164" s="1">
        <v>4</v>
      </c>
      <c r="AU164" s="1">
        <v>4</v>
      </c>
      <c r="AV164" s="1">
        <v>4</v>
      </c>
      <c r="AW164" s="1">
        <v>2</v>
      </c>
      <c r="AX164" s="1">
        <v>3</v>
      </c>
      <c r="AY164" s="1">
        <v>2</v>
      </c>
      <c r="AZ164" s="1">
        <v>4</v>
      </c>
      <c r="BA164" s="1">
        <v>4</v>
      </c>
      <c r="BB164" s="1">
        <v>4</v>
      </c>
      <c r="BC164" s="1">
        <v>3</v>
      </c>
    </row>
    <row r="165" spans="1:55">
      <c r="A165" s="1" t="s">
        <v>311</v>
      </c>
      <c r="B165" s="1" t="s">
        <v>66</v>
      </c>
      <c r="C165" s="1" t="s">
        <v>310</v>
      </c>
      <c r="D165" s="1">
        <v>3</v>
      </c>
      <c r="E165" s="1">
        <v>4</v>
      </c>
      <c r="F165" s="1">
        <v>4</v>
      </c>
      <c r="G165" s="1">
        <v>4</v>
      </c>
      <c r="H165" s="1">
        <v>4</v>
      </c>
      <c r="I165" s="1">
        <v>3</v>
      </c>
      <c r="J165" s="1">
        <v>2</v>
      </c>
      <c r="K165" s="1">
        <v>3</v>
      </c>
      <c r="L165" s="1">
        <v>4</v>
      </c>
      <c r="M165" s="1">
        <v>2</v>
      </c>
      <c r="N165" s="1">
        <v>3</v>
      </c>
      <c r="O165" s="1">
        <v>3</v>
      </c>
      <c r="P165" s="1">
        <v>2</v>
      </c>
      <c r="Q165" s="1">
        <v>3</v>
      </c>
      <c r="R165" s="1">
        <v>2</v>
      </c>
      <c r="S165" s="1">
        <v>2</v>
      </c>
      <c r="T165" s="1">
        <v>2</v>
      </c>
      <c r="U165" s="1">
        <v>2</v>
      </c>
      <c r="V165" s="1">
        <v>3</v>
      </c>
      <c r="W165" s="1">
        <v>2</v>
      </c>
      <c r="X165" s="1">
        <v>3</v>
      </c>
      <c r="Y165" s="1">
        <v>3</v>
      </c>
      <c r="Z165" s="1">
        <v>3</v>
      </c>
      <c r="AA165" s="1">
        <v>2</v>
      </c>
      <c r="AB165" s="1">
        <v>4</v>
      </c>
      <c r="AC165" s="1">
        <v>3</v>
      </c>
      <c r="AD165" s="1">
        <v>3</v>
      </c>
      <c r="AE165" s="1">
        <v>3</v>
      </c>
      <c r="AF165" s="1">
        <v>3</v>
      </c>
      <c r="AG165" s="1">
        <v>4</v>
      </c>
      <c r="AH165" s="1">
        <v>4</v>
      </c>
      <c r="AI165" s="1">
        <v>5</v>
      </c>
      <c r="AJ165" s="1">
        <v>4</v>
      </c>
      <c r="AK165" s="1">
        <v>3</v>
      </c>
      <c r="AL165" s="1">
        <v>3</v>
      </c>
      <c r="AM165" s="1">
        <v>3</v>
      </c>
      <c r="AN165" s="1">
        <v>4</v>
      </c>
      <c r="AO165" s="1">
        <v>3</v>
      </c>
      <c r="AP165" s="1">
        <v>3</v>
      </c>
      <c r="AQ165" s="1">
        <v>3</v>
      </c>
      <c r="AR165" s="1">
        <v>4</v>
      </c>
      <c r="AS165" s="1">
        <v>4</v>
      </c>
      <c r="AT165" s="1">
        <v>4</v>
      </c>
      <c r="AU165" s="1">
        <v>2</v>
      </c>
      <c r="AV165" s="1">
        <v>4</v>
      </c>
      <c r="AW165" s="1">
        <v>3</v>
      </c>
      <c r="AX165" s="1">
        <v>3</v>
      </c>
      <c r="AY165" s="1">
        <v>3</v>
      </c>
      <c r="AZ165" s="1">
        <v>3</v>
      </c>
      <c r="BA165" s="1">
        <v>3</v>
      </c>
      <c r="BB165" s="1">
        <v>3</v>
      </c>
      <c r="BC165" s="1">
        <v>2</v>
      </c>
    </row>
    <row r="166" spans="1:55">
      <c r="A166" s="1" t="s">
        <v>312</v>
      </c>
      <c r="B166" s="1" t="s">
        <v>66</v>
      </c>
      <c r="C166" s="1" t="s">
        <v>313</v>
      </c>
      <c r="D166" s="1">
        <v>3</v>
      </c>
      <c r="E166" s="1">
        <v>4</v>
      </c>
      <c r="F166" s="1">
        <v>3</v>
      </c>
      <c r="G166" s="1">
        <v>2</v>
      </c>
      <c r="H166" s="1">
        <v>1</v>
      </c>
      <c r="I166" s="1">
        <v>2</v>
      </c>
      <c r="J166" s="1">
        <v>1</v>
      </c>
      <c r="K166" s="1">
        <v>3</v>
      </c>
      <c r="L166" s="1">
        <v>2</v>
      </c>
      <c r="M166" s="1">
        <v>4</v>
      </c>
      <c r="N166" s="1">
        <v>3</v>
      </c>
      <c r="O166" s="1">
        <v>3</v>
      </c>
      <c r="P166" s="1">
        <v>3</v>
      </c>
      <c r="Q166" s="1">
        <v>2</v>
      </c>
      <c r="R166" s="1">
        <v>4</v>
      </c>
      <c r="S166" s="1">
        <v>3</v>
      </c>
      <c r="T166" s="1">
        <v>4</v>
      </c>
      <c r="U166" s="1">
        <v>3</v>
      </c>
      <c r="V166" s="1">
        <v>2</v>
      </c>
      <c r="W166" s="1">
        <v>3</v>
      </c>
      <c r="X166" s="1">
        <v>3</v>
      </c>
      <c r="Y166" s="1">
        <v>3</v>
      </c>
      <c r="Z166" s="1">
        <v>3</v>
      </c>
      <c r="AA166" s="1">
        <v>2</v>
      </c>
      <c r="AB166" s="1">
        <v>2</v>
      </c>
      <c r="AC166" s="1">
        <v>4</v>
      </c>
      <c r="AD166" s="1">
        <v>3</v>
      </c>
      <c r="AE166" s="1">
        <v>4</v>
      </c>
      <c r="AF166" s="1">
        <v>2</v>
      </c>
      <c r="AG166" s="1">
        <v>3</v>
      </c>
      <c r="AH166" s="1">
        <v>2</v>
      </c>
      <c r="AI166" s="1">
        <v>4</v>
      </c>
      <c r="AJ166" s="1">
        <v>3</v>
      </c>
      <c r="AK166" s="1">
        <v>3</v>
      </c>
      <c r="AL166" s="1">
        <v>1</v>
      </c>
      <c r="AM166" s="1">
        <v>4</v>
      </c>
      <c r="AN166" s="1">
        <v>2</v>
      </c>
      <c r="AO166" s="1">
        <v>3</v>
      </c>
      <c r="AP166" s="1">
        <v>2</v>
      </c>
      <c r="AQ166" s="1">
        <v>2</v>
      </c>
      <c r="AR166" s="1">
        <v>4</v>
      </c>
      <c r="AS166" s="1">
        <v>4</v>
      </c>
      <c r="AT166" s="1">
        <v>4</v>
      </c>
      <c r="AU166" s="1">
        <v>4</v>
      </c>
      <c r="AV166" s="1">
        <v>4</v>
      </c>
      <c r="AW166" s="1">
        <v>4</v>
      </c>
      <c r="AX166" s="1">
        <v>4</v>
      </c>
      <c r="AY166" s="1">
        <v>4</v>
      </c>
      <c r="AZ166" s="1">
        <v>2</v>
      </c>
      <c r="BA166" s="1">
        <v>3</v>
      </c>
      <c r="BB166" s="1">
        <v>3</v>
      </c>
      <c r="BC166" s="1">
        <v>4</v>
      </c>
    </row>
    <row r="167" spans="1:55">
      <c r="A167" s="1" t="s">
        <v>314</v>
      </c>
      <c r="B167" s="1" t="s">
        <v>66</v>
      </c>
      <c r="C167" s="1" t="s">
        <v>313</v>
      </c>
      <c r="D167" s="1">
        <v>3</v>
      </c>
      <c r="E167" s="1">
        <v>3</v>
      </c>
      <c r="F167" s="1">
        <v>3</v>
      </c>
      <c r="G167" s="1">
        <v>3</v>
      </c>
      <c r="H167" s="1">
        <v>2</v>
      </c>
      <c r="I167" s="1">
        <v>3</v>
      </c>
      <c r="J167" s="1">
        <v>3</v>
      </c>
      <c r="K167" s="1">
        <v>3</v>
      </c>
      <c r="L167" s="1">
        <v>4</v>
      </c>
      <c r="M167" s="1">
        <v>3</v>
      </c>
      <c r="N167" s="1">
        <v>2</v>
      </c>
      <c r="O167" s="1">
        <v>4</v>
      </c>
      <c r="P167" s="1">
        <v>4</v>
      </c>
      <c r="Q167" s="1">
        <v>5</v>
      </c>
      <c r="R167" s="1">
        <v>4</v>
      </c>
      <c r="S167" s="1">
        <v>4</v>
      </c>
      <c r="T167" s="1">
        <v>2</v>
      </c>
      <c r="U167" s="1">
        <v>3</v>
      </c>
      <c r="V167" s="1">
        <v>3</v>
      </c>
      <c r="W167" s="1">
        <v>2</v>
      </c>
      <c r="X167" s="1">
        <v>4</v>
      </c>
      <c r="Y167" s="1">
        <v>3</v>
      </c>
      <c r="Z167" s="1">
        <v>4</v>
      </c>
      <c r="AA167" s="1">
        <v>3</v>
      </c>
      <c r="AB167" s="1">
        <v>4</v>
      </c>
      <c r="AC167" s="1">
        <v>3</v>
      </c>
      <c r="AD167" s="1">
        <v>4</v>
      </c>
      <c r="AE167" s="1">
        <v>3</v>
      </c>
      <c r="AF167" s="1">
        <v>3</v>
      </c>
      <c r="AG167" s="1">
        <v>3</v>
      </c>
      <c r="AH167" s="1">
        <v>3</v>
      </c>
      <c r="AI167" s="1">
        <v>2</v>
      </c>
      <c r="AJ167" s="1">
        <v>3</v>
      </c>
      <c r="AK167" s="1">
        <v>4</v>
      </c>
      <c r="AL167" s="1">
        <v>4</v>
      </c>
      <c r="AM167" s="1">
        <v>5</v>
      </c>
      <c r="AN167" s="1">
        <v>3</v>
      </c>
      <c r="AO167" s="1">
        <v>4</v>
      </c>
      <c r="AP167" s="1">
        <v>5</v>
      </c>
      <c r="AQ167" s="1">
        <v>3</v>
      </c>
      <c r="AR167" s="1">
        <v>4</v>
      </c>
      <c r="AS167" s="1">
        <v>3</v>
      </c>
      <c r="AT167" s="1">
        <v>4</v>
      </c>
      <c r="AU167" s="1">
        <v>4</v>
      </c>
      <c r="AV167" s="1">
        <v>4</v>
      </c>
      <c r="AW167" s="1">
        <v>5</v>
      </c>
      <c r="AX167" s="1">
        <v>5</v>
      </c>
      <c r="AY167" s="1">
        <v>3</v>
      </c>
      <c r="AZ167" s="1">
        <v>4</v>
      </c>
      <c r="BA167" s="1">
        <v>4</v>
      </c>
      <c r="BB167" s="1">
        <v>4</v>
      </c>
      <c r="BC167" s="1">
        <v>3</v>
      </c>
    </row>
    <row r="168" spans="1:55">
      <c r="A168" s="1" t="s">
        <v>315</v>
      </c>
      <c r="B168" s="1" t="s">
        <v>66</v>
      </c>
      <c r="C168" s="1" t="s">
        <v>316</v>
      </c>
      <c r="D168" s="1">
        <v>3</v>
      </c>
      <c r="E168" s="1">
        <v>3</v>
      </c>
      <c r="F168" s="1">
        <v>3</v>
      </c>
      <c r="G168" s="1">
        <v>3</v>
      </c>
      <c r="H168" s="1">
        <v>3</v>
      </c>
      <c r="I168" s="1">
        <v>2</v>
      </c>
      <c r="J168" s="1">
        <v>2</v>
      </c>
      <c r="K168" s="1">
        <v>3</v>
      </c>
      <c r="L168" s="1">
        <v>3</v>
      </c>
      <c r="M168" s="1">
        <v>3</v>
      </c>
      <c r="N168" s="1">
        <v>1</v>
      </c>
      <c r="O168" s="1">
        <v>5</v>
      </c>
      <c r="P168" s="1">
        <v>3</v>
      </c>
      <c r="Q168" s="1">
        <v>3</v>
      </c>
      <c r="R168" s="1">
        <v>3</v>
      </c>
      <c r="S168" s="1">
        <v>3</v>
      </c>
      <c r="T168" s="1">
        <v>3</v>
      </c>
      <c r="U168" s="1">
        <v>3</v>
      </c>
      <c r="V168" s="1">
        <v>2</v>
      </c>
      <c r="W168" s="1">
        <v>3</v>
      </c>
      <c r="X168" s="1">
        <v>3</v>
      </c>
      <c r="Y168" s="1">
        <v>3</v>
      </c>
      <c r="Z168" s="1">
        <v>4</v>
      </c>
      <c r="AA168" s="1">
        <v>4</v>
      </c>
      <c r="AB168" s="1">
        <v>3</v>
      </c>
      <c r="AC168" s="1">
        <v>3</v>
      </c>
      <c r="AD168" s="1">
        <v>3</v>
      </c>
      <c r="AE168" s="1">
        <v>4</v>
      </c>
      <c r="AF168" s="1">
        <v>2</v>
      </c>
      <c r="AG168" s="1">
        <v>2</v>
      </c>
      <c r="AH168" s="1">
        <v>3</v>
      </c>
      <c r="AI168" s="1">
        <v>3</v>
      </c>
      <c r="AJ168" s="1">
        <v>3</v>
      </c>
      <c r="AK168" s="1">
        <v>4</v>
      </c>
      <c r="AL168" s="1">
        <v>4</v>
      </c>
      <c r="AM168" s="1">
        <v>4</v>
      </c>
      <c r="AN168" s="1">
        <v>3</v>
      </c>
      <c r="AO168" s="1">
        <v>3</v>
      </c>
      <c r="AP168" s="1">
        <v>3</v>
      </c>
      <c r="AQ168" s="1">
        <v>4</v>
      </c>
      <c r="AR168" s="1">
        <v>5</v>
      </c>
      <c r="AS168" s="1">
        <v>3</v>
      </c>
      <c r="AT168" s="1">
        <v>4</v>
      </c>
      <c r="AU168" s="1">
        <v>3</v>
      </c>
      <c r="AV168" s="1">
        <v>3</v>
      </c>
      <c r="AW168" s="1">
        <v>4</v>
      </c>
      <c r="AX168" s="1">
        <v>3</v>
      </c>
      <c r="AY168" s="1">
        <v>4</v>
      </c>
      <c r="AZ168" s="1">
        <v>4</v>
      </c>
      <c r="BA168" s="1">
        <v>5</v>
      </c>
      <c r="BB168" s="1">
        <v>3</v>
      </c>
      <c r="BC168" s="1">
        <v>3</v>
      </c>
    </row>
    <row r="169" spans="1:55">
      <c r="A169" s="1" t="s">
        <v>317</v>
      </c>
      <c r="B169" s="1" t="s">
        <v>66</v>
      </c>
      <c r="C169" s="1" t="s">
        <v>316</v>
      </c>
      <c r="D169" s="1">
        <v>3</v>
      </c>
      <c r="E169" s="1">
        <v>2</v>
      </c>
      <c r="F169" s="1">
        <v>4</v>
      </c>
      <c r="G169" s="1">
        <v>3</v>
      </c>
      <c r="H169" s="1">
        <v>3</v>
      </c>
      <c r="I169" s="1">
        <v>3</v>
      </c>
      <c r="J169" s="1">
        <v>3</v>
      </c>
      <c r="K169" s="1">
        <v>2</v>
      </c>
      <c r="L169" s="1">
        <v>3</v>
      </c>
      <c r="M169" s="1">
        <v>2</v>
      </c>
      <c r="N169" s="1">
        <v>4</v>
      </c>
      <c r="O169" s="1">
        <v>2</v>
      </c>
      <c r="P169" s="1">
        <v>3</v>
      </c>
      <c r="Q169" s="1">
        <v>2</v>
      </c>
      <c r="R169" s="1">
        <v>2</v>
      </c>
      <c r="S169" s="1">
        <v>3</v>
      </c>
      <c r="T169" s="1">
        <v>2</v>
      </c>
      <c r="U169" s="1">
        <v>3</v>
      </c>
      <c r="V169" s="1">
        <v>3</v>
      </c>
      <c r="W169" s="1">
        <v>3</v>
      </c>
      <c r="X169" s="1">
        <v>3</v>
      </c>
      <c r="Y169" s="1">
        <v>3</v>
      </c>
      <c r="Z169" s="1">
        <v>2</v>
      </c>
      <c r="AA169" s="1">
        <v>3</v>
      </c>
      <c r="AB169" s="1">
        <v>2</v>
      </c>
      <c r="AC169" s="1">
        <v>2</v>
      </c>
      <c r="AD169" s="1">
        <v>3</v>
      </c>
      <c r="AE169" s="1">
        <v>3</v>
      </c>
      <c r="AF169" s="1">
        <v>3</v>
      </c>
      <c r="AG169" s="1">
        <v>2</v>
      </c>
      <c r="AH169" s="1">
        <v>3</v>
      </c>
      <c r="AI169" s="1">
        <v>4</v>
      </c>
      <c r="AJ169" s="1">
        <v>3</v>
      </c>
      <c r="AK169" s="1">
        <v>3</v>
      </c>
      <c r="AL169" s="1">
        <v>3</v>
      </c>
      <c r="AM169" s="1">
        <v>3</v>
      </c>
      <c r="AN169" s="1">
        <v>4</v>
      </c>
      <c r="AO169" s="1">
        <v>3</v>
      </c>
      <c r="AP169" s="1">
        <v>2</v>
      </c>
      <c r="AQ169" s="1">
        <v>3</v>
      </c>
      <c r="AR169" s="1">
        <v>3</v>
      </c>
      <c r="AS169" s="1">
        <v>2</v>
      </c>
      <c r="AT169" s="1">
        <v>3</v>
      </c>
      <c r="AU169" s="1">
        <v>2</v>
      </c>
      <c r="AV169" s="1">
        <v>3</v>
      </c>
      <c r="AW169" s="1">
        <v>4</v>
      </c>
      <c r="AX169" s="1">
        <v>3</v>
      </c>
      <c r="AY169" s="1">
        <v>3</v>
      </c>
      <c r="AZ169" s="1">
        <v>4</v>
      </c>
      <c r="BA169" s="1">
        <v>3</v>
      </c>
      <c r="BB169" s="1">
        <v>2</v>
      </c>
      <c r="BC169" s="1">
        <v>2</v>
      </c>
    </row>
    <row r="170" spans="1:55">
      <c r="A170" s="1" t="s">
        <v>318</v>
      </c>
      <c r="B170" s="1" t="s">
        <v>66</v>
      </c>
      <c r="C170" s="1" t="s">
        <v>319</v>
      </c>
      <c r="D170" s="1">
        <v>3</v>
      </c>
      <c r="E170" s="1">
        <v>3</v>
      </c>
      <c r="F170" s="1">
        <v>3</v>
      </c>
      <c r="G170" s="1">
        <v>2</v>
      </c>
      <c r="H170" s="1">
        <v>4</v>
      </c>
      <c r="I170" s="1">
        <v>2</v>
      </c>
      <c r="J170" s="1">
        <v>3</v>
      </c>
      <c r="K170" s="1">
        <v>3</v>
      </c>
      <c r="L170" s="1">
        <v>3</v>
      </c>
      <c r="M170" s="1">
        <v>3</v>
      </c>
      <c r="N170" s="1">
        <v>3</v>
      </c>
      <c r="O170" s="1">
        <v>2</v>
      </c>
      <c r="P170" s="1">
        <v>3</v>
      </c>
      <c r="Q170" s="1">
        <v>2</v>
      </c>
      <c r="R170" s="1">
        <v>3</v>
      </c>
      <c r="S170" s="1">
        <v>4</v>
      </c>
      <c r="T170" s="1">
        <v>2</v>
      </c>
      <c r="U170" s="1">
        <v>3</v>
      </c>
      <c r="V170" s="1">
        <v>3</v>
      </c>
      <c r="W170" s="1">
        <v>2</v>
      </c>
      <c r="X170" s="1">
        <v>2</v>
      </c>
      <c r="Y170" s="1">
        <v>3</v>
      </c>
      <c r="Z170" s="1">
        <v>3</v>
      </c>
      <c r="AA170" s="1">
        <v>2</v>
      </c>
      <c r="AB170" s="1">
        <v>3</v>
      </c>
      <c r="AC170" s="1">
        <v>3</v>
      </c>
      <c r="AD170" s="1">
        <v>3</v>
      </c>
      <c r="AE170" s="1">
        <v>4</v>
      </c>
      <c r="AF170" s="1">
        <v>1</v>
      </c>
      <c r="AG170" s="1">
        <v>2</v>
      </c>
      <c r="AH170" s="1">
        <v>4</v>
      </c>
      <c r="AI170" s="1">
        <v>3</v>
      </c>
      <c r="AJ170" s="1">
        <v>3</v>
      </c>
      <c r="AK170" s="1">
        <v>2</v>
      </c>
      <c r="AL170" s="1">
        <v>2</v>
      </c>
      <c r="AM170" s="1">
        <v>4</v>
      </c>
      <c r="AN170" s="1">
        <v>4</v>
      </c>
      <c r="AO170" s="1">
        <v>3</v>
      </c>
      <c r="AP170" s="1">
        <v>2</v>
      </c>
      <c r="AQ170" s="1">
        <v>3</v>
      </c>
      <c r="AR170" s="1">
        <v>4</v>
      </c>
      <c r="AS170" s="1">
        <v>4</v>
      </c>
      <c r="AT170" s="1">
        <v>4</v>
      </c>
      <c r="AU170" s="1">
        <v>3</v>
      </c>
      <c r="AV170" s="1">
        <v>3</v>
      </c>
      <c r="AW170" s="1">
        <v>2</v>
      </c>
      <c r="AX170" s="1">
        <v>3</v>
      </c>
      <c r="AY170" s="1">
        <v>3</v>
      </c>
      <c r="AZ170" s="1">
        <v>3</v>
      </c>
      <c r="BA170" s="1">
        <v>3</v>
      </c>
      <c r="BB170" s="1">
        <v>3</v>
      </c>
      <c r="BC170" s="1">
        <v>2</v>
      </c>
    </row>
    <row r="171" spans="1:55">
      <c r="A171" s="1" t="s">
        <v>320</v>
      </c>
      <c r="B171" s="1" t="s">
        <v>66</v>
      </c>
      <c r="C171" s="1" t="s">
        <v>319</v>
      </c>
      <c r="D171" s="1">
        <v>3</v>
      </c>
      <c r="E171" s="1">
        <v>4</v>
      </c>
      <c r="F171" s="1">
        <v>2</v>
      </c>
      <c r="G171" s="1">
        <v>3</v>
      </c>
      <c r="H171" s="1">
        <v>3</v>
      </c>
      <c r="I171" s="1">
        <v>2</v>
      </c>
      <c r="J171" s="1">
        <v>2</v>
      </c>
      <c r="K171" s="1">
        <v>3</v>
      </c>
      <c r="L171" s="1">
        <v>1</v>
      </c>
      <c r="M171" s="1">
        <v>4</v>
      </c>
      <c r="N171" s="1">
        <v>2</v>
      </c>
      <c r="O171" s="1">
        <v>3</v>
      </c>
      <c r="P171" s="1">
        <v>3</v>
      </c>
      <c r="Q171" s="1">
        <v>2</v>
      </c>
      <c r="R171" s="1">
        <v>3</v>
      </c>
      <c r="S171" s="1">
        <v>4</v>
      </c>
      <c r="T171" s="1">
        <v>4</v>
      </c>
      <c r="U171" s="1">
        <v>4</v>
      </c>
      <c r="V171" s="1">
        <v>2</v>
      </c>
      <c r="W171" s="1">
        <v>3</v>
      </c>
      <c r="X171" s="1">
        <v>4</v>
      </c>
      <c r="Y171" s="1">
        <v>4</v>
      </c>
      <c r="Z171" s="1">
        <v>2</v>
      </c>
      <c r="AA171" s="1">
        <v>2</v>
      </c>
      <c r="AB171" s="1">
        <v>2</v>
      </c>
      <c r="AC171" s="1">
        <v>3</v>
      </c>
      <c r="AD171" s="1">
        <v>4</v>
      </c>
      <c r="AE171" s="1">
        <v>5</v>
      </c>
      <c r="AF171" s="1">
        <v>2</v>
      </c>
      <c r="AG171" s="1">
        <v>3</v>
      </c>
      <c r="AH171" s="1">
        <v>3</v>
      </c>
      <c r="AI171" s="1">
        <v>4</v>
      </c>
      <c r="AJ171" s="1">
        <v>4</v>
      </c>
      <c r="AK171" s="1">
        <v>3</v>
      </c>
      <c r="AL171" s="1">
        <v>3</v>
      </c>
      <c r="AM171" s="1">
        <v>4</v>
      </c>
      <c r="AN171" s="1">
        <v>3</v>
      </c>
      <c r="AO171" s="1">
        <v>3</v>
      </c>
      <c r="AP171" s="1">
        <v>3</v>
      </c>
      <c r="AQ171" s="1">
        <v>2</v>
      </c>
      <c r="AR171" s="1">
        <v>5</v>
      </c>
      <c r="AS171" s="1">
        <v>4</v>
      </c>
      <c r="AT171" s="1">
        <v>5</v>
      </c>
      <c r="AU171" s="1">
        <v>4</v>
      </c>
      <c r="AV171" s="1">
        <v>3</v>
      </c>
      <c r="AW171" s="1">
        <v>4</v>
      </c>
      <c r="AX171" s="1">
        <v>4</v>
      </c>
      <c r="AY171" s="1">
        <v>4</v>
      </c>
      <c r="AZ171" s="1">
        <v>3</v>
      </c>
      <c r="BA171" s="1">
        <v>3</v>
      </c>
      <c r="BB171" s="1">
        <v>3</v>
      </c>
      <c r="BC171" s="1">
        <v>2</v>
      </c>
    </row>
    <row r="172" spans="1:55">
      <c r="A172" s="1" t="s">
        <v>321</v>
      </c>
      <c r="B172" s="1" t="s">
        <v>66</v>
      </c>
      <c r="C172" s="1" t="s">
        <v>322</v>
      </c>
      <c r="D172" s="1">
        <v>3</v>
      </c>
      <c r="E172" s="1">
        <v>3</v>
      </c>
      <c r="F172" s="1">
        <v>3</v>
      </c>
      <c r="G172" s="1">
        <v>3</v>
      </c>
      <c r="H172" s="1">
        <v>3</v>
      </c>
      <c r="I172" s="1">
        <v>2</v>
      </c>
      <c r="J172" s="1">
        <v>4</v>
      </c>
      <c r="K172" s="1">
        <v>3</v>
      </c>
      <c r="L172" s="1">
        <v>3</v>
      </c>
      <c r="M172" s="1">
        <v>3</v>
      </c>
      <c r="N172" s="1">
        <v>2</v>
      </c>
      <c r="O172" s="1">
        <v>3</v>
      </c>
      <c r="P172" s="1">
        <v>3</v>
      </c>
      <c r="Q172" s="1">
        <v>3</v>
      </c>
      <c r="R172" s="1">
        <v>3</v>
      </c>
      <c r="S172" s="1">
        <v>3</v>
      </c>
      <c r="T172" s="1">
        <v>3</v>
      </c>
      <c r="U172" s="1">
        <v>3</v>
      </c>
      <c r="V172" s="1">
        <v>4</v>
      </c>
      <c r="W172" s="1">
        <v>4</v>
      </c>
      <c r="X172" s="1">
        <v>2</v>
      </c>
      <c r="Y172" s="1">
        <v>3</v>
      </c>
      <c r="Z172" s="1">
        <v>4</v>
      </c>
      <c r="AA172" s="1">
        <v>4</v>
      </c>
      <c r="AB172" s="1">
        <v>4</v>
      </c>
      <c r="AC172" s="1">
        <v>2</v>
      </c>
      <c r="AD172" s="1">
        <v>4</v>
      </c>
      <c r="AE172" s="1">
        <v>3</v>
      </c>
      <c r="AF172" s="1">
        <v>2</v>
      </c>
      <c r="AG172" s="1">
        <v>3</v>
      </c>
      <c r="AH172" s="1">
        <v>4</v>
      </c>
      <c r="AI172" s="1">
        <v>4</v>
      </c>
      <c r="AJ172" s="1">
        <v>4</v>
      </c>
      <c r="AK172" s="1">
        <v>4</v>
      </c>
      <c r="AL172" s="1">
        <v>3</v>
      </c>
      <c r="AM172" s="1">
        <v>3</v>
      </c>
      <c r="AN172" s="1">
        <v>4</v>
      </c>
      <c r="AO172" s="1">
        <v>4</v>
      </c>
      <c r="AP172" s="1">
        <v>4</v>
      </c>
      <c r="AQ172" s="1">
        <v>3</v>
      </c>
      <c r="AR172" s="1">
        <v>4</v>
      </c>
      <c r="AS172" s="1">
        <v>4</v>
      </c>
      <c r="AT172" s="1">
        <v>3</v>
      </c>
      <c r="AU172" s="1">
        <v>4</v>
      </c>
      <c r="AV172" s="1">
        <v>4</v>
      </c>
      <c r="AW172" s="1">
        <v>4</v>
      </c>
      <c r="AX172" s="1">
        <v>4</v>
      </c>
      <c r="AY172" s="1">
        <v>4</v>
      </c>
      <c r="AZ172" s="1">
        <v>4</v>
      </c>
      <c r="BA172" s="1">
        <v>4</v>
      </c>
      <c r="BB172" s="1">
        <v>4</v>
      </c>
      <c r="BC172" s="1">
        <v>2</v>
      </c>
    </row>
    <row r="173" spans="1:55">
      <c r="A173" s="1" t="s">
        <v>323</v>
      </c>
      <c r="B173" s="1" t="s">
        <v>66</v>
      </c>
      <c r="C173" s="1" t="s">
        <v>322</v>
      </c>
      <c r="D173" s="1">
        <v>3</v>
      </c>
      <c r="E173" s="1">
        <v>3</v>
      </c>
      <c r="F173" s="1">
        <v>3</v>
      </c>
      <c r="G173" s="1">
        <v>3</v>
      </c>
      <c r="H173" s="1">
        <v>2</v>
      </c>
      <c r="I173" s="1">
        <v>2</v>
      </c>
      <c r="J173" s="1">
        <v>2</v>
      </c>
      <c r="K173" s="1">
        <v>3</v>
      </c>
      <c r="L173" s="1">
        <v>4</v>
      </c>
      <c r="M173" s="1">
        <v>2</v>
      </c>
      <c r="N173" s="1">
        <v>3</v>
      </c>
      <c r="O173" s="1">
        <v>3</v>
      </c>
      <c r="P173" s="1">
        <v>3</v>
      </c>
      <c r="Q173" s="1">
        <v>4</v>
      </c>
      <c r="R173" s="1">
        <v>3</v>
      </c>
      <c r="S173" s="1">
        <v>3</v>
      </c>
      <c r="T173" s="1">
        <v>4</v>
      </c>
      <c r="U173" s="1">
        <v>4</v>
      </c>
      <c r="V173" s="1">
        <v>3</v>
      </c>
      <c r="W173" s="1">
        <v>3</v>
      </c>
      <c r="X173" s="1">
        <v>2</v>
      </c>
      <c r="Y173" s="1">
        <v>3</v>
      </c>
      <c r="Z173" s="1">
        <v>2</v>
      </c>
      <c r="AA173" s="1">
        <v>3</v>
      </c>
      <c r="AB173" s="1">
        <v>3</v>
      </c>
      <c r="AC173" s="1">
        <v>4</v>
      </c>
      <c r="AD173" s="1">
        <v>3</v>
      </c>
      <c r="AE173" s="1">
        <v>3</v>
      </c>
      <c r="AF173" s="1">
        <v>3</v>
      </c>
      <c r="AG173" s="1">
        <v>2</v>
      </c>
      <c r="AH173" s="1">
        <v>2</v>
      </c>
      <c r="AI173" s="1">
        <v>3</v>
      </c>
      <c r="AJ173" s="1">
        <v>3</v>
      </c>
      <c r="AK173" s="1">
        <v>4</v>
      </c>
      <c r="AL173" s="1">
        <v>4</v>
      </c>
      <c r="AM173" s="1">
        <v>4</v>
      </c>
      <c r="AN173" s="1">
        <v>3</v>
      </c>
      <c r="AO173" s="1">
        <v>4</v>
      </c>
      <c r="AP173" s="1">
        <v>3</v>
      </c>
      <c r="AQ173" s="1">
        <v>4</v>
      </c>
      <c r="AR173" s="1">
        <v>3</v>
      </c>
      <c r="AS173" s="1">
        <v>3</v>
      </c>
      <c r="AT173" s="1">
        <v>3</v>
      </c>
      <c r="AU173" s="1">
        <v>4</v>
      </c>
      <c r="AV173" s="1">
        <v>4</v>
      </c>
      <c r="AW173" s="1">
        <v>3</v>
      </c>
      <c r="AX173" s="1">
        <v>2</v>
      </c>
      <c r="AY173" s="1">
        <v>3</v>
      </c>
      <c r="AZ173" s="1">
        <v>4</v>
      </c>
      <c r="BA173" s="1">
        <v>5</v>
      </c>
      <c r="BB173" s="1">
        <v>3</v>
      </c>
      <c r="BC173" s="1">
        <v>4</v>
      </c>
    </row>
    <row r="174" spans="1:55">
      <c r="A174" s="1" t="s">
        <v>324</v>
      </c>
      <c r="B174" s="1" t="s">
        <v>66</v>
      </c>
      <c r="C174" s="1" t="s">
        <v>325</v>
      </c>
      <c r="D174" s="1">
        <v>1</v>
      </c>
      <c r="E174" s="1">
        <v>3</v>
      </c>
      <c r="F174" s="1">
        <v>3</v>
      </c>
      <c r="G174" s="1">
        <v>4</v>
      </c>
      <c r="H174" s="1">
        <v>3</v>
      </c>
      <c r="I174" s="1">
        <v>3</v>
      </c>
      <c r="J174" s="1">
        <v>3</v>
      </c>
      <c r="K174" s="1">
        <v>2</v>
      </c>
      <c r="L174" s="1">
        <v>2</v>
      </c>
      <c r="M174" s="1">
        <v>4</v>
      </c>
      <c r="N174" s="1">
        <v>3</v>
      </c>
      <c r="O174" s="1">
        <v>2</v>
      </c>
      <c r="P174" s="1">
        <v>2</v>
      </c>
      <c r="Q174" s="1">
        <v>2</v>
      </c>
      <c r="R174" s="1">
        <v>4</v>
      </c>
      <c r="S174" s="1">
        <v>3</v>
      </c>
      <c r="T174" s="1">
        <v>3</v>
      </c>
      <c r="U174" s="1">
        <v>3</v>
      </c>
      <c r="V174" s="1">
        <v>3</v>
      </c>
      <c r="W174" s="1">
        <v>1</v>
      </c>
      <c r="X174" s="1">
        <v>1</v>
      </c>
      <c r="Y174" s="1">
        <v>1</v>
      </c>
      <c r="Z174" s="1">
        <v>2</v>
      </c>
      <c r="AA174" s="1">
        <v>2</v>
      </c>
      <c r="AB174" s="1">
        <v>2</v>
      </c>
      <c r="AC174" s="1">
        <v>2</v>
      </c>
      <c r="AD174" s="1">
        <v>3</v>
      </c>
      <c r="AE174" s="1">
        <v>4</v>
      </c>
      <c r="AF174" s="1">
        <v>3</v>
      </c>
      <c r="AG174" s="1">
        <v>2</v>
      </c>
      <c r="AH174" s="1">
        <v>4</v>
      </c>
      <c r="AI174" s="1">
        <v>2</v>
      </c>
      <c r="AJ174" s="1">
        <v>5</v>
      </c>
      <c r="AK174" s="1">
        <v>2</v>
      </c>
      <c r="AL174" s="1">
        <v>2</v>
      </c>
      <c r="AM174" s="1">
        <v>4</v>
      </c>
      <c r="AN174" s="1">
        <v>3</v>
      </c>
      <c r="AO174" s="1">
        <v>2</v>
      </c>
      <c r="AP174" s="1">
        <v>3</v>
      </c>
      <c r="AQ174" s="1">
        <v>2</v>
      </c>
      <c r="AR174" s="1">
        <v>4</v>
      </c>
      <c r="AS174" s="1">
        <v>3</v>
      </c>
      <c r="AT174" s="1">
        <v>3</v>
      </c>
      <c r="AU174" s="1">
        <v>4</v>
      </c>
      <c r="AV174" s="1">
        <v>3</v>
      </c>
      <c r="AW174" s="1">
        <v>2</v>
      </c>
      <c r="AX174" s="1">
        <v>2</v>
      </c>
      <c r="AY174" s="1">
        <v>2</v>
      </c>
      <c r="AZ174" s="1">
        <v>2</v>
      </c>
      <c r="BA174" s="1">
        <v>2</v>
      </c>
      <c r="BB174" s="1">
        <v>3</v>
      </c>
      <c r="BC174" s="1">
        <v>2</v>
      </c>
    </row>
    <row r="175" spans="1:55">
      <c r="A175" s="1" t="s">
        <v>326</v>
      </c>
      <c r="B175" s="1" t="s">
        <v>66</v>
      </c>
      <c r="C175" s="1" t="s">
        <v>325</v>
      </c>
      <c r="D175" s="1">
        <v>3</v>
      </c>
      <c r="E175" s="1">
        <v>3</v>
      </c>
      <c r="F175" s="1">
        <v>3</v>
      </c>
      <c r="G175" s="1">
        <v>3</v>
      </c>
      <c r="H175" s="1">
        <v>4</v>
      </c>
      <c r="I175" s="1">
        <v>3</v>
      </c>
      <c r="J175" s="1">
        <v>4</v>
      </c>
      <c r="K175" s="1">
        <v>2</v>
      </c>
      <c r="L175" s="1">
        <v>3</v>
      </c>
      <c r="M175" s="1">
        <v>3</v>
      </c>
      <c r="N175" s="1">
        <v>4</v>
      </c>
      <c r="O175" s="1">
        <v>3</v>
      </c>
      <c r="P175" s="1">
        <v>2</v>
      </c>
      <c r="Q175" s="1">
        <v>3</v>
      </c>
      <c r="R175" s="1">
        <v>4</v>
      </c>
      <c r="S175" s="1">
        <v>4</v>
      </c>
      <c r="T175" s="1">
        <v>4</v>
      </c>
      <c r="U175" s="1">
        <v>3</v>
      </c>
      <c r="V175" s="1">
        <v>3</v>
      </c>
      <c r="W175" s="1">
        <v>3</v>
      </c>
      <c r="X175" s="1">
        <v>3</v>
      </c>
      <c r="Y175" s="1">
        <v>3</v>
      </c>
      <c r="Z175" s="1">
        <v>2</v>
      </c>
      <c r="AA175" s="1">
        <v>2</v>
      </c>
      <c r="AB175" s="1">
        <v>3</v>
      </c>
      <c r="AC175" s="1">
        <v>3</v>
      </c>
      <c r="AD175" s="1">
        <v>4</v>
      </c>
      <c r="AE175" s="1">
        <v>3</v>
      </c>
      <c r="AF175" s="1">
        <v>2</v>
      </c>
      <c r="AG175" s="1">
        <v>2</v>
      </c>
      <c r="AH175" s="1">
        <v>4</v>
      </c>
      <c r="AI175" s="1">
        <v>4</v>
      </c>
      <c r="AJ175" s="1">
        <v>4</v>
      </c>
      <c r="AK175" s="1">
        <v>3</v>
      </c>
      <c r="AL175" s="1">
        <v>4</v>
      </c>
      <c r="AM175" s="1">
        <v>3</v>
      </c>
      <c r="AN175" s="1">
        <v>4</v>
      </c>
      <c r="AO175" s="1">
        <v>4</v>
      </c>
      <c r="AP175" s="1">
        <v>3</v>
      </c>
      <c r="AQ175" s="1">
        <v>4</v>
      </c>
      <c r="AR175" s="1">
        <v>3</v>
      </c>
      <c r="AS175" s="1">
        <v>4</v>
      </c>
      <c r="AT175" s="1">
        <v>4</v>
      </c>
      <c r="AU175" s="1">
        <v>3</v>
      </c>
      <c r="AV175" s="1">
        <v>4</v>
      </c>
      <c r="AW175" s="1">
        <v>4</v>
      </c>
      <c r="AX175" s="1">
        <v>3</v>
      </c>
      <c r="AY175" s="1">
        <v>4</v>
      </c>
      <c r="AZ175" s="1">
        <v>3</v>
      </c>
      <c r="BA175" s="1">
        <v>3</v>
      </c>
      <c r="BB175" s="1">
        <v>4</v>
      </c>
      <c r="BC175" s="1">
        <v>1</v>
      </c>
    </row>
    <row r="176" spans="1:55">
      <c r="A176" s="1" t="s">
        <v>327</v>
      </c>
      <c r="B176" s="1" t="s">
        <v>66</v>
      </c>
      <c r="C176" s="1" t="s">
        <v>328</v>
      </c>
      <c r="D176" s="1">
        <v>4</v>
      </c>
      <c r="E176" s="1">
        <v>3</v>
      </c>
      <c r="F176" s="1">
        <v>4</v>
      </c>
      <c r="G176" s="1">
        <v>4</v>
      </c>
      <c r="H176" s="1">
        <v>3</v>
      </c>
      <c r="I176" s="1">
        <v>3</v>
      </c>
      <c r="J176" s="1">
        <v>3</v>
      </c>
      <c r="K176" s="1">
        <v>5</v>
      </c>
      <c r="L176" s="1">
        <v>5</v>
      </c>
      <c r="M176" s="1">
        <v>3</v>
      </c>
      <c r="N176" s="1">
        <v>2</v>
      </c>
      <c r="O176" s="1">
        <v>4</v>
      </c>
      <c r="P176" s="1">
        <v>4</v>
      </c>
      <c r="Q176" s="1">
        <v>4</v>
      </c>
      <c r="R176" s="1">
        <v>3</v>
      </c>
      <c r="S176" s="1">
        <v>4</v>
      </c>
      <c r="T176" s="1">
        <v>3</v>
      </c>
      <c r="U176" s="1">
        <v>4</v>
      </c>
      <c r="V176" s="1">
        <v>3</v>
      </c>
      <c r="W176" s="1">
        <v>3</v>
      </c>
      <c r="X176" s="1">
        <v>4</v>
      </c>
      <c r="Y176" s="1">
        <v>3</v>
      </c>
      <c r="Z176" s="1">
        <v>4</v>
      </c>
      <c r="AA176" s="1">
        <v>4</v>
      </c>
      <c r="AB176" s="1">
        <v>4</v>
      </c>
      <c r="AC176" s="1">
        <v>3</v>
      </c>
      <c r="AD176" s="1">
        <v>3</v>
      </c>
      <c r="AE176" s="1">
        <v>3</v>
      </c>
      <c r="AF176" s="1">
        <v>3</v>
      </c>
      <c r="AG176" s="1">
        <v>3</v>
      </c>
      <c r="AH176" s="1">
        <v>4</v>
      </c>
      <c r="AI176" s="1">
        <v>4</v>
      </c>
      <c r="AJ176" s="1">
        <v>4</v>
      </c>
      <c r="AK176" s="1">
        <v>5</v>
      </c>
      <c r="AL176" s="1">
        <v>4</v>
      </c>
      <c r="AM176" s="1">
        <v>4</v>
      </c>
      <c r="AN176" s="1">
        <v>4</v>
      </c>
      <c r="AO176" s="1">
        <v>5</v>
      </c>
      <c r="AP176" s="1">
        <v>5</v>
      </c>
      <c r="AQ176" s="1">
        <v>5</v>
      </c>
      <c r="AR176" s="1">
        <v>3</v>
      </c>
      <c r="AS176" s="1">
        <v>3</v>
      </c>
      <c r="AT176" s="1">
        <v>3</v>
      </c>
      <c r="AU176" s="1">
        <v>4</v>
      </c>
      <c r="AV176" s="1">
        <v>4</v>
      </c>
      <c r="AW176" s="1">
        <v>3</v>
      </c>
      <c r="AX176" s="1">
        <v>3</v>
      </c>
      <c r="AY176" s="1">
        <v>4</v>
      </c>
      <c r="AZ176" s="1">
        <v>4</v>
      </c>
      <c r="BA176" s="1">
        <v>5</v>
      </c>
      <c r="BB176" s="1">
        <v>4</v>
      </c>
      <c r="BC176" s="1">
        <v>2</v>
      </c>
    </row>
    <row r="177" spans="1:55">
      <c r="A177" s="1" t="s">
        <v>329</v>
      </c>
      <c r="B177" s="1" t="s">
        <v>66</v>
      </c>
      <c r="C177" s="1" t="s">
        <v>328</v>
      </c>
      <c r="D177" s="1">
        <v>3</v>
      </c>
      <c r="E177" s="1">
        <v>3</v>
      </c>
      <c r="F177" s="1">
        <v>2</v>
      </c>
      <c r="G177" s="1">
        <v>2</v>
      </c>
      <c r="H177" s="1">
        <v>3</v>
      </c>
      <c r="I177" s="1">
        <v>3</v>
      </c>
      <c r="J177" s="1">
        <v>2</v>
      </c>
      <c r="K177" s="1">
        <v>2</v>
      </c>
      <c r="L177" s="1">
        <v>2</v>
      </c>
      <c r="M177" s="1">
        <v>3</v>
      </c>
      <c r="N177" s="1">
        <v>3</v>
      </c>
      <c r="O177" s="1">
        <v>3</v>
      </c>
      <c r="P177" s="1">
        <v>2</v>
      </c>
      <c r="Q177" s="1">
        <v>2</v>
      </c>
      <c r="R177" s="1">
        <v>5</v>
      </c>
      <c r="S177" s="1">
        <v>4</v>
      </c>
      <c r="T177" s="1">
        <v>3</v>
      </c>
      <c r="U177" s="1">
        <v>4</v>
      </c>
      <c r="V177" s="1">
        <v>3</v>
      </c>
      <c r="W177" s="1">
        <v>3</v>
      </c>
      <c r="X177" s="1">
        <v>2</v>
      </c>
      <c r="Y177" s="1">
        <v>2</v>
      </c>
      <c r="Z177" s="1">
        <v>2</v>
      </c>
      <c r="AA177" s="1">
        <v>1</v>
      </c>
      <c r="AB177" s="1">
        <v>2</v>
      </c>
      <c r="AC177" s="1">
        <v>3</v>
      </c>
      <c r="AD177" s="1">
        <v>3</v>
      </c>
      <c r="AE177" s="1">
        <v>3</v>
      </c>
      <c r="AF177" s="1">
        <v>2</v>
      </c>
      <c r="AG177" s="1">
        <v>2</v>
      </c>
      <c r="AH177" s="1">
        <v>4</v>
      </c>
      <c r="AI177" s="1">
        <v>2</v>
      </c>
      <c r="AJ177" s="1">
        <v>3</v>
      </c>
      <c r="AK177" s="1">
        <v>3</v>
      </c>
      <c r="AL177" s="1">
        <v>3</v>
      </c>
      <c r="AM177" s="1">
        <v>3</v>
      </c>
      <c r="AN177" s="1">
        <v>3</v>
      </c>
      <c r="AO177" s="1">
        <v>3</v>
      </c>
      <c r="AP177" s="1">
        <v>3</v>
      </c>
      <c r="AQ177" s="1">
        <v>3</v>
      </c>
      <c r="AR177" s="1">
        <v>5</v>
      </c>
      <c r="AS177" s="1">
        <v>4</v>
      </c>
      <c r="AT177" s="1">
        <v>4</v>
      </c>
      <c r="AU177" s="1">
        <v>3</v>
      </c>
      <c r="AV177" s="1">
        <v>3</v>
      </c>
      <c r="AW177" s="1">
        <v>2</v>
      </c>
      <c r="AX177" s="1">
        <v>2</v>
      </c>
      <c r="AY177" s="1">
        <v>3</v>
      </c>
      <c r="AZ177" s="1">
        <v>3</v>
      </c>
      <c r="BA177" s="1">
        <v>3</v>
      </c>
      <c r="BB177" s="1">
        <v>2</v>
      </c>
      <c r="BC177" s="1">
        <v>1</v>
      </c>
    </row>
    <row r="178" spans="1:55">
      <c r="A178" s="1" t="s">
        <v>330</v>
      </c>
      <c r="B178" s="1" t="s">
        <v>66</v>
      </c>
      <c r="C178" s="1" t="s">
        <v>331</v>
      </c>
      <c r="D178" s="1">
        <v>3</v>
      </c>
      <c r="E178" s="1">
        <v>3</v>
      </c>
      <c r="F178" s="1">
        <v>2</v>
      </c>
      <c r="G178" s="1">
        <v>3</v>
      </c>
      <c r="H178" s="1">
        <v>3</v>
      </c>
      <c r="I178" s="1">
        <v>3</v>
      </c>
      <c r="J178" s="1">
        <v>3</v>
      </c>
      <c r="K178" s="1">
        <v>2</v>
      </c>
      <c r="L178" s="1">
        <v>2</v>
      </c>
      <c r="M178" s="1">
        <v>4</v>
      </c>
      <c r="N178" s="1">
        <v>2</v>
      </c>
      <c r="O178" s="1">
        <v>2</v>
      </c>
      <c r="P178" s="1">
        <v>2</v>
      </c>
      <c r="Q178" s="1">
        <v>2</v>
      </c>
      <c r="R178" s="1">
        <v>3</v>
      </c>
      <c r="S178" s="1">
        <v>3</v>
      </c>
      <c r="T178" s="1">
        <v>3</v>
      </c>
      <c r="U178" s="1">
        <v>4</v>
      </c>
      <c r="V178" s="1">
        <v>1</v>
      </c>
      <c r="W178" s="1">
        <v>2</v>
      </c>
      <c r="X178" s="1">
        <v>2</v>
      </c>
      <c r="Y178" s="1">
        <v>2</v>
      </c>
      <c r="Z178" s="1">
        <v>2</v>
      </c>
      <c r="AA178" s="1">
        <v>3</v>
      </c>
      <c r="AB178" s="1">
        <v>3</v>
      </c>
      <c r="AC178" s="1">
        <v>4</v>
      </c>
      <c r="AD178" s="1">
        <v>2</v>
      </c>
      <c r="AE178" s="1">
        <v>2</v>
      </c>
      <c r="AF178" s="1">
        <v>3</v>
      </c>
      <c r="AG178" s="1">
        <v>3</v>
      </c>
      <c r="AH178" s="1">
        <v>4</v>
      </c>
      <c r="AI178" s="1">
        <v>3</v>
      </c>
      <c r="AJ178" s="1">
        <v>3</v>
      </c>
      <c r="AK178" s="1">
        <v>3</v>
      </c>
      <c r="AL178" s="1">
        <v>4</v>
      </c>
      <c r="AM178" s="1">
        <v>3</v>
      </c>
      <c r="AN178" s="1">
        <v>4</v>
      </c>
      <c r="AO178" s="1">
        <v>2</v>
      </c>
      <c r="AP178" s="1">
        <v>2</v>
      </c>
      <c r="AQ178" s="1">
        <v>3</v>
      </c>
      <c r="AR178" s="1">
        <v>4</v>
      </c>
      <c r="AS178" s="1">
        <v>4</v>
      </c>
      <c r="AT178" s="1">
        <v>3</v>
      </c>
      <c r="AU178" s="1">
        <v>4</v>
      </c>
      <c r="AV178" s="1">
        <v>3</v>
      </c>
      <c r="AW178" s="1">
        <v>2</v>
      </c>
      <c r="AX178" s="1">
        <v>3</v>
      </c>
      <c r="AY178" s="1">
        <v>3</v>
      </c>
      <c r="AZ178" s="1">
        <v>2</v>
      </c>
      <c r="BA178" s="1">
        <v>3</v>
      </c>
      <c r="BB178" s="1">
        <v>3</v>
      </c>
      <c r="BC178" s="1">
        <v>2</v>
      </c>
    </row>
    <row r="179" spans="1:55">
      <c r="A179" s="1" t="s">
        <v>332</v>
      </c>
      <c r="B179" s="1" t="s">
        <v>66</v>
      </c>
      <c r="C179" s="1" t="s">
        <v>331</v>
      </c>
      <c r="D179" s="1">
        <v>4</v>
      </c>
      <c r="E179" s="1">
        <v>4</v>
      </c>
      <c r="F179" s="1">
        <v>3</v>
      </c>
      <c r="G179" s="1">
        <v>2</v>
      </c>
      <c r="H179" s="1">
        <v>3</v>
      </c>
      <c r="I179" s="1">
        <v>4</v>
      </c>
      <c r="J179" s="1">
        <v>3</v>
      </c>
      <c r="K179" s="1">
        <v>4</v>
      </c>
      <c r="L179" s="1">
        <v>3</v>
      </c>
      <c r="M179" s="1">
        <v>4</v>
      </c>
      <c r="N179" s="1">
        <v>3</v>
      </c>
      <c r="O179" s="1">
        <v>4</v>
      </c>
      <c r="P179" s="1">
        <v>4</v>
      </c>
      <c r="Q179" s="1">
        <v>4</v>
      </c>
      <c r="R179" s="1">
        <v>4</v>
      </c>
      <c r="S179" s="1">
        <v>3</v>
      </c>
      <c r="T179" s="1">
        <v>3</v>
      </c>
      <c r="U179" s="1">
        <v>4</v>
      </c>
      <c r="V179" s="1">
        <v>3</v>
      </c>
      <c r="W179" s="1">
        <v>3</v>
      </c>
      <c r="X179" s="1">
        <v>2</v>
      </c>
      <c r="Y179" s="1">
        <v>3</v>
      </c>
      <c r="Z179" s="1">
        <v>5</v>
      </c>
      <c r="AA179" s="1">
        <v>4</v>
      </c>
      <c r="AB179" s="1">
        <v>4</v>
      </c>
      <c r="AC179" s="1">
        <v>4</v>
      </c>
      <c r="AD179" s="1">
        <v>4</v>
      </c>
      <c r="AE179" s="1">
        <v>4</v>
      </c>
      <c r="AF179" s="1">
        <v>2</v>
      </c>
      <c r="AG179" s="1">
        <v>2</v>
      </c>
      <c r="AH179" s="1">
        <v>4</v>
      </c>
      <c r="AI179" s="1">
        <v>4</v>
      </c>
      <c r="AJ179" s="1">
        <v>4</v>
      </c>
      <c r="AK179" s="1">
        <v>4</v>
      </c>
      <c r="AL179" s="1">
        <v>4</v>
      </c>
      <c r="AM179" s="1">
        <v>3</v>
      </c>
      <c r="AN179" s="1">
        <v>3</v>
      </c>
      <c r="AO179" s="1">
        <v>3</v>
      </c>
      <c r="AP179" s="1">
        <v>5</v>
      </c>
      <c r="AQ179" s="1">
        <v>4</v>
      </c>
      <c r="AR179" s="1">
        <v>3</v>
      </c>
      <c r="AS179" s="1">
        <v>4</v>
      </c>
      <c r="AT179" s="1">
        <v>4</v>
      </c>
      <c r="AU179" s="1">
        <v>4</v>
      </c>
      <c r="AV179" s="1">
        <v>4</v>
      </c>
      <c r="AW179" s="1">
        <v>3</v>
      </c>
      <c r="AX179" s="1">
        <v>4</v>
      </c>
      <c r="AY179" s="1">
        <v>4</v>
      </c>
      <c r="AZ179" s="1">
        <v>3</v>
      </c>
      <c r="BA179" s="1">
        <v>3</v>
      </c>
      <c r="BB179" s="1">
        <v>4</v>
      </c>
      <c r="BC179" s="1">
        <v>4</v>
      </c>
    </row>
    <row r="180" spans="1:55">
      <c r="A180" s="1" t="s">
        <v>333</v>
      </c>
      <c r="B180" s="1" t="s">
        <v>66</v>
      </c>
      <c r="C180" s="1" t="s">
        <v>334</v>
      </c>
      <c r="D180" s="1">
        <v>3</v>
      </c>
      <c r="E180" s="1">
        <v>3</v>
      </c>
      <c r="F180" s="1">
        <v>3</v>
      </c>
      <c r="G180" s="1">
        <v>4</v>
      </c>
      <c r="H180" s="1">
        <v>3</v>
      </c>
      <c r="I180" s="1">
        <v>2</v>
      </c>
      <c r="J180" s="1">
        <v>3</v>
      </c>
      <c r="K180" s="1">
        <v>2</v>
      </c>
      <c r="L180" s="1">
        <v>2</v>
      </c>
      <c r="M180" s="1">
        <v>3</v>
      </c>
      <c r="N180" s="1">
        <v>3</v>
      </c>
      <c r="O180" s="1">
        <v>2</v>
      </c>
      <c r="P180" s="1">
        <v>2</v>
      </c>
      <c r="Q180" s="1">
        <v>2</v>
      </c>
      <c r="R180" s="1">
        <v>3</v>
      </c>
      <c r="S180" s="1">
        <v>3</v>
      </c>
      <c r="T180" s="1">
        <v>2</v>
      </c>
      <c r="U180" s="1">
        <v>3</v>
      </c>
      <c r="V180" s="1">
        <v>3</v>
      </c>
      <c r="W180" s="1">
        <v>3</v>
      </c>
      <c r="X180" s="1">
        <v>4</v>
      </c>
      <c r="Y180" s="1">
        <v>2</v>
      </c>
      <c r="Z180" s="1">
        <v>3</v>
      </c>
      <c r="AA180" s="1">
        <v>2</v>
      </c>
      <c r="AB180" s="1">
        <v>1</v>
      </c>
      <c r="AC180" s="1">
        <v>3</v>
      </c>
      <c r="AD180" s="1">
        <v>3</v>
      </c>
      <c r="AE180" s="1">
        <v>3</v>
      </c>
      <c r="AF180" s="1">
        <v>3</v>
      </c>
      <c r="AG180" s="1">
        <v>4</v>
      </c>
      <c r="AH180" s="1">
        <v>3</v>
      </c>
      <c r="AI180" s="1">
        <v>4</v>
      </c>
      <c r="AJ180" s="1">
        <v>3</v>
      </c>
      <c r="AK180" s="1">
        <v>3</v>
      </c>
      <c r="AL180" s="1">
        <v>4</v>
      </c>
      <c r="AM180" s="1">
        <v>3</v>
      </c>
      <c r="AN180" s="1">
        <v>3</v>
      </c>
      <c r="AO180" s="1">
        <v>3</v>
      </c>
      <c r="AP180" s="1">
        <v>3</v>
      </c>
      <c r="AQ180" s="1">
        <v>2</v>
      </c>
      <c r="AR180" s="1">
        <v>2</v>
      </c>
      <c r="AS180" s="1">
        <v>4</v>
      </c>
      <c r="AT180" s="1">
        <v>3</v>
      </c>
      <c r="AU180" s="1">
        <v>3</v>
      </c>
      <c r="AV180" s="1">
        <v>3</v>
      </c>
      <c r="AW180" s="1">
        <v>4</v>
      </c>
      <c r="AX180" s="1">
        <v>4</v>
      </c>
      <c r="AY180" s="1">
        <v>4</v>
      </c>
      <c r="AZ180" s="1">
        <v>2</v>
      </c>
      <c r="BA180" s="1">
        <v>3</v>
      </c>
      <c r="BB180" s="1">
        <v>4</v>
      </c>
      <c r="BC180" s="1">
        <v>3</v>
      </c>
    </row>
    <row r="181" spans="1:55">
      <c r="A181" s="1" t="s">
        <v>335</v>
      </c>
      <c r="B181" s="1" t="s">
        <v>66</v>
      </c>
      <c r="C181" s="1" t="s">
        <v>334</v>
      </c>
      <c r="D181" s="1">
        <v>4</v>
      </c>
      <c r="E181" s="1">
        <v>3</v>
      </c>
      <c r="F181" s="1">
        <v>1</v>
      </c>
      <c r="G181" s="1">
        <v>2</v>
      </c>
      <c r="H181" s="1">
        <v>3</v>
      </c>
      <c r="I181" s="1">
        <v>2</v>
      </c>
      <c r="J181" s="1">
        <v>3</v>
      </c>
      <c r="K181" s="1">
        <v>2</v>
      </c>
      <c r="L181" s="1">
        <v>3</v>
      </c>
      <c r="M181" s="1">
        <v>3</v>
      </c>
      <c r="N181" s="1">
        <v>2</v>
      </c>
      <c r="O181" s="1">
        <v>3</v>
      </c>
      <c r="P181" s="1">
        <v>3</v>
      </c>
      <c r="Q181" s="1">
        <v>3</v>
      </c>
      <c r="R181" s="1">
        <v>4</v>
      </c>
      <c r="S181" s="1">
        <v>3</v>
      </c>
      <c r="T181" s="1">
        <v>3</v>
      </c>
      <c r="U181" s="1">
        <v>4</v>
      </c>
      <c r="V181" s="1">
        <v>2</v>
      </c>
      <c r="W181" s="1">
        <v>3</v>
      </c>
      <c r="X181" s="1">
        <v>2</v>
      </c>
      <c r="Y181" s="1">
        <v>2</v>
      </c>
      <c r="Z181" s="1">
        <v>2</v>
      </c>
      <c r="AA181" s="1">
        <v>3</v>
      </c>
      <c r="AB181" s="1">
        <v>3</v>
      </c>
      <c r="AC181" s="1">
        <v>4</v>
      </c>
      <c r="AD181" s="1">
        <v>3</v>
      </c>
      <c r="AE181" s="1">
        <v>5</v>
      </c>
      <c r="AF181" s="1">
        <v>2</v>
      </c>
      <c r="AG181" s="1">
        <v>2</v>
      </c>
      <c r="AH181" s="1">
        <v>3</v>
      </c>
      <c r="AI181" s="1">
        <v>2</v>
      </c>
      <c r="AJ181" s="1">
        <v>3</v>
      </c>
      <c r="AK181" s="1">
        <v>4</v>
      </c>
      <c r="AL181" s="1">
        <v>3</v>
      </c>
      <c r="AM181" s="1">
        <v>4</v>
      </c>
      <c r="AN181" s="1">
        <v>3</v>
      </c>
      <c r="AO181" s="1">
        <v>3</v>
      </c>
      <c r="AP181" s="1">
        <v>4</v>
      </c>
      <c r="AQ181" s="1">
        <v>4</v>
      </c>
      <c r="AR181" s="1">
        <v>4</v>
      </c>
      <c r="AS181" s="1">
        <v>5</v>
      </c>
      <c r="AT181" s="1">
        <v>5</v>
      </c>
      <c r="AU181" s="1">
        <v>4</v>
      </c>
      <c r="AV181" s="1">
        <v>4</v>
      </c>
      <c r="AW181" s="1">
        <v>4</v>
      </c>
      <c r="AX181" s="1">
        <v>4</v>
      </c>
      <c r="AY181" s="1">
        <v>4</v>
      </c>
      <c r="AZ181" s="1">
        <v>4</v>
      </c>
      <c r="BA181" s="1">
        <v>3</v>
      </c>
      <c r="BB181" s="1">
        <v>3</v>
      </c>
      <c r="BC181" s="1">
        <v>4</v>
      </c>
    </row>
    <row r="182" spans="1:55">
      <c r="A182" s="1" t="s">
        <v>336</v>
      </c>
      <c r="B182" s="1" t="s">
        <v>66</v>
      </c>
      <c r="C182" s="1" t="s">
        <v>337</v>
      </c>
      <c r="D182" s="1">
        <v>4</v>
      </c>
      <c r="E182" s="1">
        <v>3</v>
      </c>
      <c r="F182" s="1">
        <v>3</v>
      </c>
      <c r="G182" s="1">
        <v>4</v>
      </c>
      <c r="H182" s="1">
        <v>3</v>
      </c>
      <c r="I182" s="1">
        <v>3</v>
      </c>
      <c r="J182" s="1">
        <v>3</v>
      </c>
      <c r="K182" s="1">
        <v>4</v>
      </c>
      <c r="L182" s="1">
        <v>3</v>
      </c>
      <c r="M182" s="1">
        <v>3</v>
      </c>
      <c r="N182" s="1">
        <v>3</v>
      </c>
      <c r="O182" s="1">
        <v>3</v>
      </c>
      <c r="P182" s="1">
        <v>3</v>
      </c>
      <c r="Q182" s="1">
        <v>3</v>
      </c>
      <c r="R182" s="1">
        <v>4</v>
      </c>
      <c r="S182" s="1">
        <v>4</v>
      </c>
      <c r="T182" s="1">
        <v>3</v>
      </c>
      <c r="U182" s="1">
        <v>3</v>
      </c>
      <c r="V182" s="1">
        <v>2</v>
      </c>
      <c r="W182" s="1">
        <v>3</v>
      </c>
      <c r="X182" s="1">
        <v>3</v>
      </c>
      <c r="Y182" s="1">
        <v>3</v>
      </c>
      <c r="Z182" s="1">
        <v>3</v>
      </c>
      <c r="AA182" s="1">
        <v>2</v>
      </c>
      <c r="AB182" s="1">
        <v>4</v>
      </c>
      <c r="AC182" s="1">
        <v>3</v>
      </c>
      <c r="AD182" s="1">
        <v>4</v>
      </c>
      <c r="AE182" s="1">
        <v>4</v>
      </c>
      <c r="AF182" s="1">
        <v>2</v>
      </c>
      <c r="AG182" s="1">
        <v>2</v>
      </c>
      <c r="AH182" s="1">
        <v>5</v>
      </c>
      <c r="AI182" s="1">
        <v>4</v>
      </c>
      <c r="AJ182" s="1">
        <v>4</v>
      </c>
      <c r="AK182" s="1">
        <v>3</v>
      </c>
      <c r="AL182" s="1">
        <v>3</v>
      </c>
      <c r="AM182" s="1">
        <v>4</v>
      </c>
      <c r="AN182" s="1">
        <v>4</v>
      </c>
      <c r="AO182" s="1">
        <v>3</v>
      </c>
      <c r="AP182" s="1">
        <v>4</v>
      </c>
      <c r="AQ182" s="1">
        <v>3</v>
      </c>
      <c r="AR182" s="1">
        <v>3</v>
      </c>
      <c r="AS182" s="1">
        <v>4</v>
      </c>
      <c r="AT182" s="1">
        <v>4</v>
      </c>
      <c r="AU182" s="1">
        <v>3</v>
      </c>
      <c r="AV182" s="1">
        <v>3</v>
      </c>
      <c r="AW182" s="1">
        <v>3</v>
      </c>
      <c r="AX182" s="1">
        <v>4</v>
      </c>
      <c r="AY182" s="1">
        <v>4</v>
      </c>
      <c r="AZ182" s="1">
        <v>3</v>
      </c>
      <c r="BA182" s="1">
        <v>3</v>
      </c>
      <c r="BB182" s="1">
        <v>3</v>
      </c>
      <c r="BC182" s="1">
        <v>3</v>
      </c>
    </row>
    <row r="183" spans="1:55">
      <c r="A183" s="1" t="s">
        <v>338</v>
      </c>
      <c r="B183" s="1" t="s">
        <v>66</v>
      </c>
      <c r="C183" s="1" t="s">
        <v>337</v>
      </c>
      <c r="D183" s="1">
        <v>3</v>
      </c>
      <c r="E183" s="1">
        <v>3</v>
      </c>
      <c r="F183" s="1">
        <v>2</v>
      </c>
      <c r="G183" s="1">
        <v>2</v>
      </c>
      <c r="H183" s="1">
        <v>4</v>
      </c>
      <c r="I183" s="1">
        <v>4</v>
      </c>
      <c r="J183" s="1">
        <v>4</v>
      </c>
      <c r="K183" s="1">
        <v>3</v>
      </c>
      <c r="L183" s="1">
        <v>4</v>
      </c>
      <c r="M183" s="1">
        <v>4</v>
      </c>
      <c r="N183" s="1">
        <v>4</v>
      </c>
      <c r="O183" s="1">
        <v>4</v>
      </c>
      <c r="P183" s="1">
        <v>3</v>
      </c>
      <c r="Q183" s="1">
        <v>3</v>
      </c>
      <c r="R183" s="1">
        <v>3</v>
      </c>
      <c r="S183" s="1">
        <v>4</v>
      </c>
      <c r="T183" s="1">
        <v>3</v>
      </c>
      <c r="U183" s="1">
        <v>4</v>
      </c>
      <c r="V183" s="1">
        <v>4</v>
      </c>
      <c r="W183" s="1">
        <v>3</v>
      </c>
      <c r="X183" s="1">
        <v>3</v>
      </c>
      <c r="Y183" s="1">
        <v>2</v>
      </c>
      <c r="Z183" s="1">
        <v>3</v>
      </c>
      <c r="AA183" s="1">
        <v>4</v>
      </c>
      <c r="AB183" s="1">
        <v>3</v>
      </c>
      <c r="AC183" s="1">
        <v>3</v>
      </c>
      <c r="AD183" s="1">
        <v>3</v>
      </c>
      <c r="AE183" s="1">
        <v>4</v>
      </c>
      <c r="AF183" s="1">
        <v>2</v>
      </c>
      <c r="AG183" s="1">
        <v>2</v>
      </c>
      <c r="AH183" s="1">
        <v>5</v>
      </c>
      <c r="AI183" s="1">
        <v>5</v>
      </c>
      <c r="AJ183" s="1">
        <v>5</v>
      </c>
      <c r="AK183" s="1">
        <v>4</v>
      </c>
      <c r="AL183" s="1">
        <v>4</v>
      </c>
      <c r="AM183" s="1">
        <v>4</v>
      </c>
      <c r="AN183" s="1">
        <v>5</v>
      </c>
      <c r="AO183" s="1">
        <v>4</v>
      </c>
      <c r="AP183" s="1">
        <v>4</v>
      </c>
      <c r="AQ183" s="1">
        <v>3</v>
      </c>
      <c r="AR183" s="1">
        <v>4</v>
      </c>
      <c r="AS183" s="1">
        <v>4</v>
      </c>
      <c r="AT183" s="1">
        <v>3</v>
      </c>
      <c r="AU183" s="1">
        <v>4</v>
      </c>
      <c r="AV183" s="1">
        <v>5</v>
      </c>
      <c r="AW183" s="1">
        <v>2</v>
      </c>
      <c r="AX183" s="1">
        <v>3</v>
      </c>
      <c r="AY183" s="1">
        <v>2</v>
      </c>
      <c r="AZ183" s="1">
        <v>4</v>
      </c>
      <c r="BA183" s="1">
        <v>4</v>
      </c>
      <c r="BB183" s="1">
        <v>4</v>
      </c>
      <c r="BC183" s="1">
        <v>2</v>
      </c>
    </row>
    <row r="184" spans="1:55">
      <c r="A184" s="1" t="s">
        <v>339</v>
      </c>
      <c r="B184" s="1" t="s">
        <v>66</v>
      </c>
      <c r="C184" s="1" t="s">
        <v>340</v>
      </c>
      <c r="D184" s="1">
        <v>3</v>
      </c>
      <c r="E184" s="1">
        <v>3</v>
      </c>
      <c r="F184" s="1">
        <v>3</v>
      </c>
      <c r="G184" s="1">
        <v>4</v>
      </c>
      <c r="H184" s="1">
        <v>4</v>
      </c>
      <c r="I184" s="1">
        <v>3</v>
      </c>
      <c r="J184" s="1">
        <v>3</v>
      </c>
      <c r="K184" s="1">
        <v>4</v>
      </c>
      <c r="L184" s="1">
        <v>3</v>
      </c>
      <c r="M184" s="1">
        <v>2</v>
      </c>
      <c r="N184" s="1">
        <v>3</v>
      </c>
      <c r="O184" s="1">
        <v>3</v>
      </c>
      <c r="P184" s="1">
        <v>4</v>
      </c>
      <c r="Q184" s="1">
        <v>2</v>
      </c>
      <c r="R184" s="1">
        <v>3</v>
      </c>
      <c r="S184" s="1">
        <v>1</v>
      </c>
      <c r="T184" s="1">
        <v>2</v>
      </c>
      <c r="U184" s="1">
        <v>2</v>
      </c>
      <c r="V184" s="1">
        <v>3</v>
      </c>
      <c r="W184" s="1">
        <v>4</v>
      </c>
      <c r="X184" s="1">
        <v>5</v>
      </c>
      <c r="Y184" s="1">
        <v>4</v>
      </c>
      <c r="Z184" s="1">
        <v>3</v>
      </c>
      <c r="AA184" s="1">
        <v>3</v>
      </c>
      <c r="AB184" s="1">
        <v>3</v>
      </c>
      <c r="AC184" s="1">
        <v>3</v>
      </c>
      <c r="AD184" s="1">
        <v>3</v>
      </c>
      <c r="AE184" s="1">
        <v>3</v>
      </c>
      <c r="AF184" s="1">
        <v>2</v>
      </c>
      <c r="AG184" s="1">
        <v>3</v>
      </c>
      <c r="AH184" s="1">
        <v>2</v>
      </c>
      <c r="AI184" s="1">
        <v>1</v>
      </c>
      <c r="AJ184" s="1">
        <v>4</v>
      </c>
      <c r="AK184" s="1">
        <v>3</v>
      </c>
      <c r="AL184" s="1">
        <v>3</v>
      </c>
      <c r="AM184" s="1">
        <v>3</v>
      </c>
      <c r="AN184" s="1">
        <v>3</v>
      </c>
      <c r="AO184" s="1">
        <v>3</v>
      </c>
      <c r="AP184" s="1">
        <v>3</v>
      </c>
      <c r="AQ184" s="1">
        <v>3</v>
      </c>
      <c r="AR184" s="1">
        <v>4</v>
      </c>
      <c r="AS184" s="1">
        <v>3</v>
      </c>
      <c r="AT184" s="1">
        <v>3</v>
      </c>
      <c r="AU184" s="1">
        <v>3</v>
      </c>
      <c r="AV184" s="1">
        <v>3</v>
      </c>
      <c r="AW184" s="1">
        <v>4</v>
      </c>
      <c r="AX184" s="1">
        <v>4</v>
      </c>
      <c r="AY184" s="1">
        <v>4</v>
      </c>
      <c r="AZ184" s="1">
        <v>4</v>
      </c>
      <c r="BA184" s="1">
        <v>4</v>
      </c>
      <c r="BB184" s="1">
        <v>4</v>
      </c>
      <c r="BC184" s="1">
        <v>4</v>
      </c>
    </row>
    <row r="185" spans="1:55">
      <c r="A185" s="1" t="s">
        <v>341</v>
      </c>
      <c r="B185" s="1" t="s">
        <v>66</v>
      </c>
      <c r="C185" s="1" t="s">
        <v>340</v>
      </c>
      <c r="D185" s="1">
        <v>2</v>
      </c>
      <c r="E185" s="1">
        <v>4</v>
      </c>
      <c r="F185" s="1">
        <v>2</v>
      </c>
      <c r="G185" s="1">
        <v>2</v>
      </c>
      <c r="H185" s="1">
        <v>3</v>
      </c>
      <c r="I185" s="1">
        <v>2</v>
      </c>
      <c r="J185" s="1">
        <v>2</v>
      </c>
      <c r="K185" s="1">
        <v>3</v>
      </c>
      <c r="L185" s="1">
        <v>3</v>
      </c>
      <c r="M185" s="1">
        <v>3</v>
      </c>
      <c r="N185" s="1">
        <v>3</v>
      </c>
      <c r="O185" s="1">
        <v>2</v>
      </c>
      <c r="P185" s="1">
        <v>2</v>
      </c>
      <c r="Q185" s="1">
        <v>2</v>
      </c>
      <c r="R185" s="1">
        <v>3</v>
      </c>
      <c r="S185" s="1">
        <v>3</v>
      </c>
      <c r="T185" s="1">
        <v>3</v>
      </c>
      <c r="U185" s="1">
        <v>4</v>
      </c>
      <c r="V185" s="1">
        <v>2</v>
      </c>
      <c r="W185" s="1">
        <v>2</v>
      </c>
      <c r="X185" s="1">
        <v>2</v>
      </c>
      <c r="Y185" s="1">
        <v>1</v>
      </c>
      <c r="Z185" s="1">
        <v>2</v>
      </c>
      <c r="AA185" s="1">
        <v>3</v>
      </c>
      <c r="AB185" s="1">
        <v>2</v>
      </c>
      <c r="AC185" s="1">
        <v>3</v>
      </c>
      <c r="AD185" s="1">
        <v>3</v>
      </c>
      <c r="AE185" s="1">
        <v>5</v>
      </c>
      <c r="AF185" s="1">
        <v>1</v>
      </c>
      <c r="AG185" s="1">
        <v>1</v>
      </c>
      <c r="AH185" s="1">
        <v>3</v>
      </c>
      <c r="AI185" s="1">
        <v>2</v>
      </c>
      <c r="AJ185" s="1">
        <v>3</v>
      </c>
      <c r="AK185" s="1">
        <v>3</v>
      </c>
      <c r="AL185" s="1">
        <v>3</v>
      </c>
      <c r="AM185" s="1">
        <v>5</v>
      </c>
      <c r="AN185" s="1">
        <v>3</v>
      </c>
      <c r="AO185" s="1">
        <v>3</v>
      </c>
      <c r="AP185" s="1">
        <v>4</v>
      </c>
      <c r="AQ185" s="1">
        <v>3</v>
      </c>
      <c r="AR185" s="1">
        <v>5</v>
      </c>
      <c r="AS185" s="1">
        <v>5</v>
      </c>
      <c r="AT185" s="1">
        <v>5</v>
      </c>
      <c r="AU185" s="1">
        <v>4</v>
      </c>
      <c r="AV185" s="1">
        <v>4</v>
      </c>
      <c r="AW185" s="1">
        <v>3</v>
      </c>
      <c r="AX185" s="1">
        <v>3</v>
      </c>
      <c r="AY185" s="1">
        <v>3</v>
      </c>
      <c r="AZ185" s="1">
        <v>4</v>
      </c>
      <c r="BA185" s="1">
        <v>3</v>
      </c>
      <c r="BB185" s="1">
        <v>3</v>
      </c>
      <c r="BC185" s="1">
        <v>3</v>
      </c>
    </row>
    <row r="186" spans="1:55">
      <c r="A186" s="1" t="s">
        <v>342</v>
      </c>
      <c r="B186" s="1" t="s">
        <v>66</v>
      </c>
      <c r="C186" s="1" t="s">
        <v>343</v>
      </c>
      <c r="D186" s="1">
        <v>3</v>
      </c>
      <c r="E186" s="1">
        <v>3</v>
      </c>
      <c r="F186" s="1">
        <v>2</v>
      </c>
      <c r="G186" s="1">
        <v>2</v>
      </c>
      <c r="H186" s="1">
        <v>2</v>
      </c>
      <c r="I186" s="1">
        <v>4</v>
      </c>
      <c r="J186" s="1">
        <v>4</v>
      </c>
      <c r="K186" s="1">
        <v>3</v>
      </c>
      <c r="L186" s="1">
        <v>3</v>
      </c>
      <c r="M186" s="1">
        <v>3</v>
      </c>
      <c r="N186" s="1">
        <v>3</v>
      </c>
      <c r="O186" s="1">
        <v>3</v>
      </c>
      <c r="P186" s="1">
        <v>3</v>
      </c>
      <c r="Q186" s="1">
        <v>4</v>
      </c>
      <c r="R186" s="1">
        <v>4</v>
      </c>
      <c r="S186" s="1">
        <v>3</v>
      </c>
      <c r="T186" s="1">
        <v>3</v>
      </c>
      <c r="U186" s="1">
        <v>4</v>
      </c>
      <c r="V186" s="1">
        <v>3</v>
      </c>
      <c r="W186" s="1">
        <v>3</v>
      </c>
      <c r="X186" s="1">
        <v>3</v>
      </c>
      <c r="Y186" s="1">
        <v>3</v>
      </c>
      <c r="Z186" s="1">
        <v>3</v>
      </c>
      <c r="AA186" s="1">
        <v>3</v>
      </c>
      <c r="AB186" s="1">
        <v>4</v>
      </c>
      <c r="AC186" s="1">
        <v>3</v>
      </c>
      <c r="AD186" s="1">
        <v>3</v>
      </c>
      <c r="AE186" s="1">
        <v>4</v>
      </c>
      <c r="AF186" s="1">
        <v>3</v>
      </c>
      <c r="AG186" s="1">
        <v>3</v>
      </c>
      <c r="AH186" s="1">
        <v>4</v>
      </c>
      <c r="AI186" s="1">
        <v>3</v>
      </c>
      <c r="AJ186" s="1">
        <v>3</v>
      </c>
      <c r="AK186" s="1">
        <v>4</v>
      </c>
      <c r="AL186" s="1">
        <v>3</v>
      </c>
      <c r="AM186" s="1">
        <v>4</v>
      </c>
      <c r="AN186" s="1">
        <v>3</v>
      </c>
      <c r="AO186" s="1">
        <v>4</v>
      </c>
      <c r="AP186" s="1">
        <v>4</v>
      </c>
      <c r="AQ186" s="1">
        <v>5</v>
      </c>
      <c r="AR186" s="1">
        <v>5</v>
      </c>
      <c r="AS186" s="1">
        <v>4</v>
      </c>
      <c r="AT186" s="1">
        <v>4</v>
      </c>
      <c r="AU186" s="1">
        <v>4</v>
      </c>
      <c r="AV186" s="1">
        <v>4</v>
      </c>
      <c r="AW186" s="1">
        <v>4</v>
      </c>
      <c r="AX186" s="1">
        <v>3</v>
      </c>
      <c r="AY186" s="1">
        <v>4</v>
      </c>
      <c r="AZ186" s="1">
        <v>3</v>
      </c>
      <c r="BA186" s="1">
        <v>4</v>
      </c>
      <c r="BB186" s="1">
        <v>5</v>
      </c>
      <c r="BC186" s="1">
        <v>3</v>
      </c>
    </row>
    <row r="187" spans="1:55">
      <c r="A187" s="1" t="s">
        <v>344</v>
      </c>
      <c r="B187" s="1" t="s">
        <v>66</v>
      </c>
      <c r="C187" s="1" t="s">
        <v>343</v>
      </c>
      <c r="D187" s="1">
        <v>3</v>
      </c>
      <c r="E187" s="1">
        <v>3</v>
      </c>
      <c r="F187" s="1">
        <v>3</v>
      </c>
      <c r="G187" s="1">
        <v>3</v>
      </c>
      <c r="H187" s="1">
        <v>3</v>
      </c>
      <c r="I187" s="1">
        <v>3</v>
      </c>
      <c r="J187" s="1">
        <v>2</v>
      </c>
      <c r="K187" s="1">
        <v>3</v>
      </c>
      <c r="L187" s="1">
        <v>3</v>
      </c>
      <c r="M187" s="1">
        <v>3</v>
      </c>
      <c r="N187" s="1">
        <v>3</v>
      </c>
      <c r="O187" s="1">
        <v>3</v>
      </c>
      <c r="P187" s="1">
        <v>3</v>
      </c>
      <c r="Q187" s="1">
        <v>4</v>
      </c>
      <c r="R187" s="1">
        <v>3</v>
      </c>
      <c r="S187" s="1">
        <v>3</v>
      </c>
      <c r="T187" s="1">
        <v>3</v>
      </c>
      <c r="U187" s="1">
        <v>2</v>
      </c>
      <c r="V187" s="1">
        <v>2</v>
      </c>
      <c r="W187" s="1">
        <v>2</v>
      </c>
      <c r="X187" s="1">
        <v>3</v>
      </c>
      <c r="Y187" s="1">
        <v>3</v>
      </c>
      <c r="Z187" s="1">
        <v>2</v>
      </c>
      <c r="AA187" s="1">
        <v>3</v>
      </c>
      <c r="AB187" s="1">
        <v>3</v>
      </c>
      <c r="AC187" s="1">
        <v>3</v>
      </c>
      <c r="AD187" s="1">
        <v>3</v>
      </c>
      <c r="AE187" s="1">
        <v>3</v>
      </c>
      <c r="AF187" s="1">
        <v>2</v>
      </c>
      <c r="AG187" s="1">
        <v>2</v>
      </c>
      <c r="AH187" s="1">
        <v>4</v>
      </c>
      <c r="AI187" s="1">
        <v>4</v>
      </c>
      <c r="AJ187" s="1">
        <v>4</v>
      </c>
      <c r="AK187" s="1">
        <v>3</v>
      </c>
      <c r="AL187" s="1">
        <v>3</v>
      </c>
      <c r="AM187" s="1">
        <v>4</v>
      </c>
      <c r="AN187" s="1">
        <v>3</v>
      </c>
      <c r="AO187" s="1">
        <v>4</v>
      </c>
      <c r="AP187" s="1">
        <v>4</v>
      </c>
      <c r="AQ187" s="1">
        <v>3</v>
      </c>
      <c r="AR187" s="1">
        <v>3</v>
      </c>
      <c r="AS187" s="1">
        <v>4</v>
      </c>
      <c r="AT187" s="1">
        <v>4</v>
      </c>
      <c r="AU187" s="1">
        <v>3</v>
      </c>
      <c r="AV187" s="1">
        <v>3</v>
      </c>
      <c r="AW187" s="1">
        <v>4</v>
      </c>
      <c r="AX187" s="1">
        <v>4</v>
      </c>
      <c r="AY187" s="1">
        <v>4</v>
      </c>
      <c r="AZ187" s="1">
        <v>3</v>
      </c>
      <c r="BA187" s="1">
        <v>4</v>
      </c>
      <c r="BB187" s="1">
        <v>4</v>
      </c>
      <c r="BC187" s="1">
        <v>3</v>
      </c>
    </row>
    <row r="188" spans="1:55">
      <c r="A188" s="1" t="s">
        <v>345</v>
      </c>
      <c r="B188" s="1" t="s">
        <v>66</v>
      </c>
      <c r="C188" s="1" t="s">
        <v>346</v>
      </c>
      <c r="D188" s="1">
        <v>3</v>
      </c>
      <c r="E188" s="1">
        <v>4</v>
      </c>
      <c r="F188" s="1">
        <v>3</v>
      </c>
      <c r="G188" s="1">
        <v>3</v>
      </c>
      <c r="H188" s="1">
        <v>2</v>
      </c>
      <c r="I188" s="1">
        <v>3</v>
      </c>
      <c r="J188" s="1">
        <v>3</v>
      </c>
      <c r="K188" s="1">
        <v>4</v>
      </c>
      <c r="L188" s="1">
        <v>3</v>
      </c>
      <c r="M188" s="1">
        <v>4</v>
      </c>
      <c r="N188" s="1">
        <v>3</v>
      </c>
      <c r="O188" s="1">
        <v>4</v>
      </c>
      <c r="P188" s="1">
        <v>3</v>
      </c>
      <c r="Q188" s="1">
        <v>3</v>
      </c>
      <c r="R188" s="1">
        <v>4</v>
      </c>
      <c r="S188" s="1">
        <v>4</v>
      </c>
      <c r="T188" s="1">
        <v>5</v>
      </c>
      <c r="U188" s="1">
        <v>2</v>
      </c>
      <c r="V188" s="1">
        <v>3</v>
      </c>
      <c r="W188" s="1">
        <v>3</v>
      </c>
      <c r="X188" s="1">
        <v>4</v>
      </c>
      <c r="Y188" s="1">
        <v>4</v>
      </c>
      <c r="Z188" s="1">
        <v>5</v>
      </c>
      <c r="AA188" s="1">
        <v>3</v>
      </c>
      <c r="AB188" s="1">
        <v>4</v>
      </c>
      <c r="AC188" s="1">
        <v>4</v>
      </c>
      <c r="AD188" s="1">
        <v>4</v>
      </c>
      <c r="AE188" s="1">
        <v>3</v>
      </c>
      <c r="AF188" s="1">
        <v>2</v>
      </c>
      <c r="AG188" s="1">
        <v>3</v>
      </c>
      <c r="AH188" s="1">
        <v>3</v>
      </c>
      <c r="AI188" s="1">
        <v>4</v>
      </c>
      <c r="AJ188" s="1">
        <v>3</v>
      </c>
      <c r="AK188" s="1">
        <v>3</v>
      </c>
      <c r="AL188" s="1">
        <v>3</v>
      </c>
      <c r="AM188" s="1">
        <v>4</v>
      </c>
      <c r="AN188" s="1">
        <v>4</v>
      </c>
      <c r="AO188" s="1">
        <v>4</v>
      </c>
      <c r="AP188" s="1">
        <v>3</v>
      </c>
      <c r="AQ188" s="1">
        <v>3</v>
      </c>
      <c r="AR188" s="1">
        <v>3</v>
      </c>
      <c r="AS188" s="1">
        <v>4</v>
      </c>
      <c r="AT188" s="1">
        <v>4</v>
      </c>
      <c r="AU188" s="1">
        <v>3</v>
      </c>
      <c r="AV188" s="1">
        <v>4</v>
      </c>
      <c r="AW188" s="1">
        <v>4</v>
      </c>
      <c r="AX188" s="1">
        <v>4</v>
      </c>
      <c r="AY188" s="1">
        <v>4</v>
      </c>
      <c r="AZ188" s="1">
        <v>3</v>
      </c>
      <c r="BA188" s="1">
        <v>4</v>
      </c>
      <c r="BB188" s="1">
        <v>3</v>
      </c>
      <c r="BC188" s="1">
        <v>3</v>
      </c>
    </row>
    <row r="189" spans="1:55">
      <c r="A189" s="1" t="s">
        <v>347</v>
      </c>
      <c r="B189" s="1" t="s">
        <v>66</v>
      </c>
      <c r="C189" s="1" t="s">
        <v>346</v>
      </c>
      <c r="D189" s="1">
        <v>3</v>
      </c>
      <c r="E189" s="1">
        <v>3</v>
      </c>
      <c r="F189" s="1">
        <v>3</v>
      </c>
      <c r="G189" s="1">
        <v>4</v>
      </c>
      <c r="H189" s="1">
        <v>4</v>
      </c>
      <c r="I189" s="1">
        <v>3</v>
      </c>
      <c r="J189" s="1">
        <v>4</v>
      </c>
      <c r="K189" s="1">
        <v>3</v>
      </c>
      <c r="L189" s="1">
        <v>5</v>
      </c>
      <c r="M189" s="1">
        <v>3</v>
      </c>
      <c r="N189" s="1">
        <v>4</v>
      </c>
      <c r="O189" s="1">
        <v>3</v>
      </c>
      <c r="P189" s="1">
        <v>2</v>
      </c>
      <c r="Q189" s="1">
        <v>3</v>
      </c>
      <c r="R189" s="1">
        <v>4</v>
      </c>
      <c r="S189" s="1">
        <v>4</v>
      </c>
      <c r="T189" s="1">
        <v>3</v>
      </c>
      <c r="U189" s="1">
        <v>3</v>
      </c>
      <c r="V189" s="1">
        <v>4</v>
      </c>
      <c r="W189" s="1">
        <v>3</v>
      </c>
      <c r="X189" s="1">
        <v>2</v>
      </c>
      <c r="Y189" s="1">
        <v>4</v>
      </c>
      <c r="Z189" s="1">
        <v>2</v>
      </c>
      <c r="AA189" s="1">
        <v>3</v>
      </c>
      <c r="AB189" s="1">
        <v>3</v>
      </c>
      <c r="AC189" s="1">
        <v>4</v>
      </c>
      <c r="AD189" s="1">
        <v>4</v>
      </c>
      <c r="AE189" s="1">
        <v>3</v>
      </c>
      <c r="AF189" s="1">
        <v>3</v>
      </c>
      <c r="AG189" s="1">
        <v>2</v>
      </c>
      <c r="AH189" s="1">
        <v>5</v>
      </c>
      <c r="AI189" s="1">
        <v>2</v>
      </c>
      <c r="AJ189" s="1">
        <v>3</v>
      </c>
      <c r="AK189" s="1">
        <v>3</v>
      </c>
      <c r="AL189" s="1">
        <v>4</v>
      </c>
      <c r="AM189" s="1">
        <v>4</v>
      </c>
      <c r="AN189" s="1">
        <v>3</v>
      </c>
      <c r="AO189" s="1">
        <v>2</v>
      </c>
      <c r="AP189" s="1">
        <v>3</v>
      </c>
      <c r="AQ189" s="1">
        <v>3</v>
      </c>
      <c r="AR189" s="1">
        <v>2</v>
      </c>
      <c r="AS189" s="1">
        <v>2</v>
      </c>
      <c r="AT189" s="1">
        <v>2</v>
      </c>
      <c r="AU189" s="1">
        <v>3</v>
      </c>
      <c r="AV189" s="1">
        <v>3</v>
      </c>
      <c r="AW189" s="1">
        <v>4</v>
      </c>
      <c r="AX189" s="1">
        <v>3</v>
      </c>
      <c r="AY189" s="1">
        <v>3</v>
      </c>
      <c r="AZ189" s="1">
        <v>3</v>
      </c>
      <c r="BA189" s="1">
        <v>3</v>
      </c>
      <c r="BB189" s="1">
        <v>3</v>
      </c>
      <c r="BC189" s="1">
        <v>3</v>
      </c>
    </row>
    <row r="190" spans="1:55">
      <c r="A190" s="1" t="s">
        <v>348</v>
      </c>
      <c r="B190" s="1" t="s">
        <v>66</v>
      </c>
      <c r="C190" s="1" t="s">
        <v>349</v>
      </c>
      <c r="D190" s="1">
        <v>4</v>
      </c>
      <c r="E190" s="1">
        <v>3</v>
      </c>
      <c r="F190" s="1">
        <v>2</v>
      </c>
      <c r="G190" s="1">
        <v>2</v>
      </c>
      <c r="H190" s="1">
        <v>3</v>
      </c>
      <c r="I190" s="1">
        <v>2</v>
      </c>
      <c r="J190" s="1">
        <v>2</v>
      </c>
      <c r="K190" s="1">
        <v>3</v>
      </c>
      <c r="L190" s="1">
        <v>3</v>
      </c>
      <c r="M190" s="1">
        <v>3</v>
      </c>
      <c r="N190" s="1">
        <v>2</v>
      </c>
      <c r="O190" s="1">
        <v>3</v>
      </c>
      <c r="P190" s="1">
        <v>3</v>
      </c>
      <c r="Q190" s="1">
        <v>3</v>
      </c>
      <c r="R190" s="1">
        <v>4</v>
      </c>
      <c r="S190" s="1">
        <v>3</v>
      </c>
      <c r="T190" s="1">
        <v>3</v>
      </c>
      <c r="U190" s="1">
        <v>4</v>
      </c>
      <c r="V190" s="1">
        <v>3</v>
      </c>
      <c r="W190" s="1">
        <v>3</v>
      </c>
      <c r="X190" s="1">
        <v>2</v>
      </c>
      <c r="Y190" s="1">
        <v>2</v>
      </c>
      <c r="Z190" s="1">
        <v>3</v>
      </c>
      <c r="AA190" s="1">
        <v>3</v>
      </c>
      <c r="AB190" s="1">
        <v>4</v>
      </c>
      <c r="AC190" s="1">
        <v>3</v>
      </c>
      <c r="AD190" s="1">
        <v>4</v>
      </c>
      <c r="AE190" s="1">
        <v>3</v>
      </c>
      <c r="AF190" s="1">
        <v>2</v>
      </c>
      <c r="AG190" s="1">
        <v>1</v>
      </c>
      <c r="AH190" s="1">
        <v>4</v>
      </c>
      <c r="AI190" s="1">
        <v>3</v>
      </c>
      <c r="AJ190" s="1">
        <v>4</v>
      </c>
      <c r="AK190" s="1">
        <v>4</v>
      </c>
      <c r="AL190" s="1">
        <v>5</v>
      </c>
      <c r="AM190" s="1">
        <v>4</v>
      </c>
      <c r="AN190" s="1">
        <v>3</v>
      </c>
      <c r="AO190" s="1">
        <v>4</v>
      </c>
      <c r="AP190" s="1">
        <v>3</v>
      </c>
      <c r="AQ190" s="1">
        <v>4</v>
      </c>
      <c r="AR190" s="1">
        <v>4</v>
      </c>
      <c r="AS190" s="1">
        <v>4</v>
      </c>
      <c r="AT190" s="1">
        <v>4</v>
      </c>
      <c r="AU190" s="1">
        <v>4</v>
      </c>
      <c r="AV190" s="1">
        <v>3</v>
      </c>
      <c r="AW190" s="1">
        <v>3</v>
      </c>
      <c r="AX190" s="1">
        <v>3</v>
      </c>
      <c r="AY190" s="1">
        <v>3</v>
      </c>
      <c r="AZ190" s="1">
        <v>5</v>
      </c>
      <c r="BA190" s="1">
        <v>4</v>
      </c>
      <c r="BB190" s="1">
        <v>5</v>
      </c>
      <c r="BC190" s="1">
        <v>4</v>
      </c>
    </row>
    <row r="191" spans="1:55">
      <c r="A191" s="1" t="s">
        <v>350</v>
      </c>
      <c r="B191" s="1" t="s">
        <v>66</v>
      </c>
      <c r="C191" s="1" t="s">
        <v>349</v>
      </c>
      <c r="D191" s="1">
        <v>3</v>
      </c>
      <c r="E191" s="1">
        <v>4</v>
      </c>
      <c r="F191" s="1">
        <v>3</v>
      </c>
      <c r="G191" s="1">
        <v>3</v>
      </c>
      <c r="H191" s="1">
        <v>4</v>
      </c>
      <c r="I191" s="1">
        <v>3</v>
      </c>
      <c r="J191" s="1">
        <v>3</v>
      </c>
      <c r="K191" s="1">
        <v>2</v>
      </c>
      <c r="L191" s="1">
        <v>3</v>
      </c>
      <c r="M191" s="1">
        <v>3</v>
      </c>
      <c r="N191" s="1">
        <v>3</v>
      </c>
      <c r="O191" s="1">
        <v>4</v>
      </c>
      <c r="P191" s="1">
        <v>3</v>
      </c>
      <c r="Q191" s="1">
        <v>3</v>
      </c>
      <c r="R191" s="1">
        <v>4</v>
      </c>
      <c r="S191" s="1">
        <v>4</v>
      </c>
      <c r="T191" s="1">
        <v>3</v>
      </c>
      <c r="U191" s="1">
        <v>4</v>
      </c>
      <c r="V191" s="1">
        <v>3</v>
      </c>
      <c r="W191" s="1">
        <v>2</v>
      </c>
      <c r="X191" s="1">
        <v>3</v>
      </c>
      <c r="Y191" s="1">
        <v>3</v>
      </c>
      <c r="Z191" s="1">
        <v>3</v>
      </c>
      <c r="AA191" s="1">
        <v>2</v>
      </c>
      <c r="AB191" s="1">
        <v>3</v>
      </c>
      <c r="AC191" s="1">
        <v>3</v>
      </c>
      <c r="AD191" s="1">
        <v>3</v>
      </c>
      <c r="AE191" s="1">
        <v>3</v>
      </c>
      <c r="AF191" s="1">
        <v>2</v>
      </c>
      <c r="AG191" s="1">
        <v>3</v>
      </c>
      <c r="AH191" s="1">
        <v>4</v>
      </c>
      <c r="AI191" s="1">
        <v>4</v>
      </c>
      <c r="AJ191" s="1">
        <v>3</v>
      </c>
      <c r="AK191" s="1">
        <v>3</v>
      </c>
      <c r="AL191" s="1">
        <v>3</v>
      </c>
      <c r="AM191" s="1">
        <v>3</v>
      </c>
      <c r="AN191" s="1">
        <v>5</v>
      </c>
      <c r="AO191" s="1">
        <v>3</v>
      </c>
      <c r="AP191" s="1">
        <v>2</v>
      </c>
      <c r="AQ191" s="1">
        <v>3</v>
      </c>
      <c r="AR191" s="1">
        <v>4</v>
      </c>
      <c r="AS191" s="1">
        <v>2</v>
      </c>
      <c r="AT191" s="1">
        <v>3</v>
      </c>
      <c r="AU191" s="1">
        <v>3</v>
      </c>
      <c r="AV191" s="1">
        <v>3</v>
      </c>
      <c r="AW191" s="1">
        <v>4</v>
      </c>
      <c r="AX191" s="1">
        <v>4</v>
      </c>
      <c r="AY191" s="1">
        <v>3</v>
      </c>
      <c r="AZ191" s="1">
        <v>3</v>
      </c>
      <c r="BA191" s="1">
        <v>3</v>
      </c>
      <c r="BB191" s="1">
        <v>3</v>
      </c>
      <c r="BC191" s="1">
        <v>3</v>
      </c>
    </row>
    <row r="192" spans="1:55">
      <c r="A192" s="1" t="s">
        <v>351</v>
      </c>
      <c r="B192" s="1" t="s">
        <v>66</v>
      </c>
      <c r="C192" s="1" t="s">
        <v>352</v>
      </c>
      <c r="D192" s="1">
        <v>3</v>
      </c>
      <c r="E192" s="1">
        <v>2</v>
      </c>
      <c r="F192" s="1">
        <v>2</v>
      </c>
      <c r="G192" s="1">
        <v>3</v>
      </c>
      <c r="H192" s="1">
        <v>3</v>
      </c>
      <c r="I192" s="1">
        <v>3</v>
      </c>
      <c r="J192" s="1">
        <v>3</v>
      </c>
      <c r="K192" s="1">
        <v>4</v>
      </c>
      <c r="L192" s="1">
        <v>5</v>
      </c>
      <c r="M192" s="1">
        <v>4</v>
      </c>
      <c r="N192" s="1">
        <v>3</v>
      </c>
      <c r="O192" s="1">
        <v>4</v>
      </c>
      <c r="P192" s="1">
        <v>4</v>
      </c>
      <c r="Q192" s="1">
        <v>4</v>
      </c>
      <c r="R192" s="1">
        <v>2</v>
      </c>
      <c r="S192" s="1">
        <v>4</v>
      </c>
      <c r="T192" s="1">
        <v>3</v>
      </c>
      <c r="U192" s="1">
        <v>3</v>
      </c>
      <c r="V192" s="1">
        <v>2</v>
      </c>
      <c r="W192" s="1">
        <v>3</v>
      </c>
      <c r="X192" s="1">
        <v>2</v>
      </c>
      <c r="Y192" s="1">
        <v>2</v>
      </c>
      <c r="Z192" s="1">
        <v>3</v>
      </c>
      <c r="AA192" s="1">
        <v>4</v>
      </c>
      <c r="AB192" s="1">
        <v>5</v>
      </c>
      <c r="AC192" s="1">
        <v>4</v>
      </c>
      <c r="AD192" s="1">
        <v>4</v>
      </c>
      <c r="AE192" s="1">
        <v>2</v>
      </c>
      <c r="AF192" s="1">
        <v>2</v>
      </c>
      <c r="AG192" s="1">
        <v>3</v>
      </c>
      <c r="AH192" s="1">
        <v>2</v>
      </c>
      <c r="AI192" s="1">
        <v>3</v>
      </c>
      <c r="AJ192" s="1">
        <v>3</v>
      </c>
      <c r="AK192" s="1">
        <v>5</v>
      </c>
      <c r="AL192" s="1">
        <v>5</v>
      </c>
      <c r="AM192" s="1">
        <v>4</v>
      </c>
      <c r="AN192" s="1">
        <v>3</v>
      </c>
      <c r="AO192" s="1">
        <v>5</v>
      </c>
      <c r="AP192" s="1">
        <v>5</v>
      </c>
      <c r="AQ192" s="1">
        <v>5</v>
      </c>
      <c r="AR192" s="1">
        <v>3</v>
      </c>
      <c r="AS192" s="1">
        <v>3</v>
      </c>
      <c r="AT192" s="1">
        <v>4</v>
      </c>
      <c r="AU192" s="1">
        <v>4</v>
      </c>
      <c r="AV192" s="1">
        <v>4</v>
      </c>
      <c r="AW192" s="1">
        <v>3</v>
      </c>
      <c r="AX192" s="1">
        <v>4</v>
      </c>
      <c r="AY192" s="1">
        <v>3</v>
      </c>
      <c r="AZ192" s="1">
        <v>4</v>
      </c>
      <c r="BA192" s="1">
        <v>5</v>
      </c>
      <c r="BB192" s="1">
        <v>4</v>
      </c>
      <c r="BC192" s="1">
        <v>3</v>
      </c>
    </row>
    <row r="193" spans="1:55">
      <c r="A193" s="1" t="s">
        <v>353</v>
      </c>
      <c r="B193" s="1" t="s">
        <v>66</v>
      </c>
      <c r="C193" s="1" t="s">
        <v>352</v>
      </c>
      <c r="D193" s="1">
        <v>3</v>
      </c>
      <c r="E193" s="1">
        <v>4</v>
      </c>
      <c r="F193" s="1">
        <v>1</v>
      </c>
      <c r="G193" s="1">
        <v>2</v>
      </c>
      <c r="H193" s="1">
        <v>2</v>
      </c>
      <c r="I193" s="1">
        <v>2</v>
      </c>
      <c r="J193" s="1">
        <v>2</v>
      </c>
      <c r="K193" s="1">
        <v>3</v>
      </c>
      <c r="L193" s="1">
        <v>5</v>
      </c>
      <c r="M193" s="1">
        <v>3</v>
      </c>
      <c r="N193" s="1">
        <v>2</v>
      </c>
      <c r="O193" s="1">
        <v>3</v>
      </c>
      <c r="P193" s="1">
        <v>4</v>
      </c>
      <c r="Q193" s="1">
        <v>4</v>
      </c>
      <c r="R193" s="1">
        <v>4</v>
      </c>
      <c r="S193" s="1">
        <v>4</v>
      </c>
      <c r="T193" s="1">
        <v>4</v>
      </c>
      <c r="U193" s="1">
        <v>4</v>
      </c>
      <c r="V193" s="1">
        <v>2</v>
      </c>
      <c r="W193" s="1">
        <v>4</v>
      </c>
      <c r="X193" s="1">
        <v>3</v>
      </c>
      <c r="Y193" s="1">
        <v>4</v>
      </c>
      <c r="Z193" s="1">
        <v>3</v>
      </c>
      <c r="AA193" s="1">
        <v>4</v>
      </c>
      <c r="AB193" s="1">
        <v>3</v>
      </c>
      <c r="AC193" s="1">
        <v>3</v>
      </c>
      <c r="AD193" s="1">
        <v>4</v>
      </c>
      <c r="AE193" s="1">
        <v>4</v>
      </c>
      <c r="AF193" s="1">
        <v>1</v>
      </c>
      <c r="AG193" s="1">
        <v>1</v>
      </c>
      <c r="AH193" s="1">
        <v>2</v>
      </c>
      <c r="AI193" s="1">
        <v>3</v>
      </c>
      <c r="AJ193" s="1">
        <v>3</v>
      </c>
      <c r="AK193" s="1">
        <v>4</v>
      </c>
      <c r="AL193" s="1">
        <v>4</v>
      </c>
      <c r="AM193" s="1">
        <v>4</v>
      </c>
      <c r="AN193" s="1">
        <v>3</v>
      </c>
      <c r="AO193" s="1">
        <v>5</v>
      </c>
      <c r="AP193" s="1">
        <v>4</v>
      </c>
      <c r="AQ193" s="1">
        <v>4</v>
      </c>
      <c r="AR193" s="1">
        <v>4</v>
      </c>
      <c r="AS193" s="1">
        <v>4</v>
      </c>
      <c r="AT193" s="1">
        <v>4</v>
      </c>
      <c r="AU193" s="1">
        <v>5</v>
      </c>
      <c r="AV193" s="1">
        <v>4</v>
      </c>
      <c r="AW193" s="1">
        <v>3</v>
      </c>
      <c r="AX193" s="1">
        <v>4</v>
      </c>
      <c r="AY193" s="1">
        <v>4</v>
      </c>
      <c r="AZ193" s="1">
        <v>5</v>
      </c>
      <c r="BA193" s="1">
        <v>5</v>
      </c>
      <c r="BB193" s="1">
        <v>5</v>
      </c>
      <c r="BC193" s="1">
        <v>3</v>
      </c>
    </row>
    <row r="194" spans="1:55">
      <c r="A194" s="1" t="s">
        <v>354</v>
      </c>
      <c r="B194" s="1" t="s">
        <v>66</v>
      </c>
      <c r="C194" s="1" t="s">
        <v>355</v>
      </c>
      <c r="D194" s="1">
        <v>2</v>
      </c>
      <c r="E194" s="1">
        <v>3</v>
      </c>
      <c r="F194" s="1">
        <v>3</v>
      </c>
      <c r="G194" s="1">
        <v>2</v>
      </c>
      <c r="H194" s="1">
        <v>2</v>
      </c>
      <c r="I194" s="1">
        <v>3</v>
      </c>
      <c r="J194" s="1">
        <v>2</v>
      </c>
      <c r="K194" s="1">
        <v>2</v>
      </c>
      <c r="L194" s="1">
        <v>2</v>
      </c>
      <c r="M194" s="1">
        <v>3</v>
      </c>
      <c r="N194" s="1">
        <v>3</v>
      </c>
      <c r="O194" s="1">
        <v>4</v>
      </c>
      <c r="P194" s="1">
        <v>4</v>
      </c>
      <c r="Q194" s="1">
        <v>4</v>
      </c>
      <c r="R194" s="1">
        <v>3</v>
      </c>
      <c r="S194" s="1">
        <v>2</v>
      </c>
      <c r="T194" s="1">
        <v>2</v>
      </c>
      <c r="U194" s="1">
        <v>2</v>
      </c>
      <c r="V194" s="1">
        <v>3</v>
      </c>
      <c r="W194" s="1">
        <v>2</v>
      </c>
      <c r="X194" s="1">
        <v>4</v>
      </c>
      <c r="Y194" s="1">
        <v>3</v>
      </c>
      <c r="Z194" s="1">
        <v>4</v>
      </c>
      <c r="AA194" s="1">
        <v>3</v>
      </c>
      <c r="AB194" s="1">
        <v>3</v>
      </c>
      <c r="AC194" s="1">
        <v>3</v>
      </c>
      <c r="AD194" s="1">
        <v>3</v>
      </c>
      <c r="AE194" s="1">
        <v>2</v>
      </c>
      <c r="AF194" s="1">
        <v>3</v>
      </c>
      <c r="AG194" s="1">
        <v>3</v>
      </c>
      <c r="AH194" s="1">
        <v>4</v>
      </c>
      <c r="AI194" s="1">
        <v>4</v>
      </c>
      <c r="AJ194" s="1">
        <v>4</v>
      </c>
      <c r="AK194" s="1">
        <v>4</v>
      </c>
      <c r="AL194" s="1">
        <v>3</v>
      </c>
      <c r="AM194" s="1">
        <v>3</v>
      </c>
      <c r="AN194" s="1">
        <v>3</v>
      </c>
      <c r="AO194" s="1">
        <v>4</v>
      </c>
      <c r="AP194" s="1">
        <v>3</v>
      </c>
      <c r="AQ194" s="1">
        <v>3</v>
      </c>
      <c r="AR194" s="1">
        <v>3</v>
      </c>
      <c r="AS194" s="1">
        <v>3</v>
      </c>
      <c r="AT194" s="1">
        <v>3</v>
      </c>
      <c r="AU194" s="1">
        <v>2</v>
      </c>
      <c r="AV194" s="1">
        <v>3</v>
      </c>
      <c r="AW194" s="1">
        <v>5</v>
      </c>
      <c r="AX194" s="1">
        <v>3</v>
      </c>
      <c r="AY194" s="1">
        <v>3</v>
      </c>
      <c r="AZ194" s="1">
        <v>3</v>
      </c>
      <c r="BA194" s="1">
        <v>5</v>
      </c>
      <c r="BB194" s="1">
        <v>5</v>
      </c>
      <c r="BC194" s="1">
        <v>2</v>
      </c>
    </row>
    <row r="195" spans="1:55">
      <c r="A195" s="1" t="s">
        <v>356</v>
      </c>
      <c r="B195" s="1" t="s">
        <v>66</v>
      </c>
      <c r="C195" s="1" t="s">
        <v>355</v>
      </c>
      <c r="D195" s="1">
        <v>3</v>
      </c>
      <c r="E195" s="1">
        <v>4</v>
      </c>
      <c r="F195" s="1">
        <v>3</v>
      </c>
      <c r="G195" s="1">
        <v>2</v>
      </c>
      <c r="H195" s="1">
        <v>2</v>
      </c>
      <c r="I195" s="1">
        <v>2</v>
      </c>
      <c r="J195" s="1">
        <v>2</v>
      </c>
      <c r="K195" s="1">
        <v>3</v>
      </c>
      <c r="L195" s="1">
        <v>3</v>
      </c>
      <c r="M195" s="1">
        <v>4</v>
      </c>
      <c r="N195" s="1">
        <v>2</v>
      </c>
      <c r="O195" s="1">
        <v>2</v>
      </c>
      <c r="P195" s="1">
        <v>3</v>
      </c>
      <c r="Q195" s="1">
        <v>2</v>
      </c>
      <c r="R195" s="1">
        <v>3</v>
      </c>
      <c r="S195" s="1">
        <v>4</v>
      </c>
      <c r="T195" s="1">
        <v>4</v>
      </c>
      <c r="U195" s="1">
        <v>4</v>
      </c>
      <c r="V195" s="1">
        <v>2</v>
      </c>
      <c r="W195" s="1">
        <v>3</v>
      </c>
      <c r="X195" s="1">
        <v>3</v>
      </c>
      <c r="Y195" s="1">
        <v>3</v>
      </c>
      <c r="Z195" s="1">
        <v>3</v>
      </c>
      <c r="AA195" s="1">
        <v>2</v>
      </c>
      <c r="AB195" s="1">
        <v>3</v>
      </c>
      <c r="AC195" s="1">
        <v>4</v>
      </c>
      <c r="AD195" s="1">
        <v>3</v>
      </c>
      <c r="AE195" s="1">
        <v>5</v>
      </c>
      <c r="AF195" s="1">
        <v>2</v>
      </c>
      <c r="AG195" s="1">
        <v>1</v>
      </c>
      <c r="AH195" s="1">
        <v>3</v>
      </c>
      <c r="AI195" s="1">
        <v>3</v>
      </c>
      <c r="AJ195" s="1">
        <v>3</v>
      </c>
      <c r="AK195" s="1">
        <v>2</v>
      </c>
      <c r="AL195" s="1">
        <v>3</v>
      </c>
      <c r="AM195" s="1">
        <v>4</v>
      </c>
      <c r="AN195" s="1">
        <v>3</v>
      </c>
      <c r="AO195" s="1">
        <v>4</v>
      </c>
      <c r="AP195" s="1">
        <v>4</v>
      </c>
      <c r="AQ195" s="1">
        <v>2</v>
      </c>
      <c r="AR195" s="1">
        <v>4</v>
      </c>
      <c r="AS195" s="1">
        <v>4</v>
      </c>
      <c r="AT195" s="1">
        <v>4</v>
      </c>
      <c r="AU195" s="1">
        <v>4</v>
      </c>
      <c r="AV195" s="1">
        <v>2</v>
      </c>
      <c r="AW195" s="1">
        <v>4</v>
      </c>
      <c r="AX195" s="1">
        <v>4</v>
      </c>
      <c r="AY195" s="1">
        <v>3</v>
      </c>
      <c r="AZ195" s="1">
        <v>2</v>
      </c>
      <c r="BA195" s="1">
        <v>2</v>
      </c>
      <c r="BB195" s="1">
        <v>3</v>
      </c>
      <c r="BC195" s="1">
        <v>3</v>
      </c>
    </row>
    <row r="196" spans="1:55">
      <c r="A196" s="1" t="s">
        <v>357</v>
      </c>
      <c r="B196" s="1" t="s">
        <v>66</v>
      </c>
      <c r="C196" s="1" t="s">
        <v>358</v>
      </c>
      <c r="D196" s="1">
        <v>3</v>
      </c>
      <c r="E196" s="1">
        <v>3</v>
      </c>
      <c r="F196" s="1">
        <v>3</v>
      </c>
      <c r="G196" s="1">
        <v>3</v>
      </c>
      <c r="H196" s="1">
        <v>3</v>
      </c>
      <c r="I196" s="1">
        <v>2</v>
      </c>
      <c r="J196" s="1">
        <v>4</v>
      </c>
      <c r="K196" s="1">
        <v>3</v>
      </c>
      <c r="L196" s="1">
        <v>4</v>
      </c>
      <c r="M196" s="1">
        <v>4</v>
      </c>
      <c r="N196" s="1">
        <v>3</v>
      </c>
      <c r="O196" s="1">
        <v>3</v>
      </c>
      <c r="P196" s="1">
        <v>4</v>
      </c>
      <c r="Q196" s="1">
        <v>3</v>
      </c>
      <c r="R196" s="1">
        <v>4</v>
      </c>
      <c r="S196" s="1">
        <v>4</v>
      </c>
      <c r="T196" s="1">
        <v>2</v>
      </c>
      <c r="U196" s="1">
        <v>3</v>
      </c>
      <c r="V196" s="1">
        <v>3</v>
      </c>
      <c r="W196" s="1">
        <v>3</v>
      </c>
      <c r="X196" s="1">
        <v>3</v>
      </c>
      <c r="Y196" s="1">
        <v>3</v>
      </c>
      <c r="Z196" s="1">
        <v>3</v>
      </c>
      <c r="AA196" s="1">
        <v>3</v>
      </c>
      <c r="AB196" s="1">
        <v>3</v>
      </c>
      <c r="AC196" s="1">
        <v>3</v>
      </c>
      <c r="AD196" s="1">
        <v>3</v>
      </c>
      <c r="AE196" s="1">
        <v>4</v>
      </c>
      <c r="AF196" s="1">
        <v>3</v>
      </c>
      <c r="AG196" s="1">
        <v>4</v>
      </c>
      <c r="AH196" s="1">
        <v>4</v>
      </c>
      <c r="AI196" s="1">
        <v>4</v>
      </c>
      <c r="AJ196" s="1">
        <v>4</v>
      </c>
      <c r="AK196" s="1">
        <v>3</v>
      </c>
      <c r="AL196" s="1">
        <v>3</v>
      </c>
      <c r="AM196" s="1">
        <v>2</v>
      </c>
      <c r="AN196" s="1">
        <v>4</v>
      </c>
      <c r="AO196" s="1">
        <v>3</v>
      </c>
      <c r="AP196" s="1">
        <v>4</v>
      </c>
      <c r="AQ196" s="1">
        <v>4</v>
      </c>
      <c r="AR196" s="1">
        <v>3</v>
      </c>
      <c r="AS196" s="1">
        <v>3</v>
      </c>
      <c r="AT196" s="1">
        <v>3</v>
      </c>
      <c r="AU196" s="1">
        <v>4</v>
      </c>
      <c r="AV196" s="1">
        <v>4</v>
      </c>
      <c r="AW196" s="1">
        <v>4</v>
      </c>
      <c r="AX196" s="1">
        <v>4</v>
      </c>
      <c r="AY196" s="1">
        <v>3</v>
      </c>
      <c r="AZ196" s="1">
        <v>4</v>
      </c>
      <c r="BA196" s="1">
        <v>3</v>
      </c>
      <c r="BB196" s="1">
        <v>4</v>
      </c>
      <c r="BC196" s="1">
        <v>3</v>
      </c>
    </row>
    <row r="197" spans="1:55">
      <c r="A197" s="1" t="s">
        <v>359</v>
      </c>
      <c r="B197" s="1" t="s">
        <v>66</v>
      </c>
      <c r="C197" s="1" t="s">
        <v>358</v>
      </c>
      <c r="D197" s="1">
        <v>4</v>
      </c>
      <c r="E197" s="1">
        <v>3</v>
      </c>
      <c r="F197" s="1">
        <v>3</v>
      </c>
      <c r="G197" s="1">
        <v>3</v>
      </c>
      <c r="H197" s="1">
        <v>2</v>
      </c>
      <c r="I197" s="1">
        <v>3</v>
      </c>
      <c r="J197" s="1">
        <v>2</v>
      </c>
      <c r="K197" s="1">
        <v>2</v>
      </c>
      <c r="L197" s="1">
        <v>2</v>
      </c>
      <c r="M197" s="1">
        <v>2</v>
      </c>
      <c r="N197" s="1">
        <v>3</v>
      </c>
      <c r="O197" s="1">
        <v>2</v>
      </c>
      <c r="P197" s="1">
        <v>2</v>
      </c>
      <c r="Q197" s="1">
        <v>1</v>
      </c>
      <c r="R197" s="1">
        <v>4</v>
      </c>
      <c r="S197" s="1">
        <v>3</v>
      </c>
      <c r="T197" s="1">
        <v>3</v>
      </c>
      <c r="U197" s="1">
        <v>3</v>
      </c>
      <c r="V197" s="1">
        <v>3</v>
      </c>
      <c r="W197" s="1">
        <v>4</v>
      </c>
      <c r="X197" s="1">
        <v>3</v>
      </c>
      <c r="Y197" s="1">
        <v>4</v>
      </c>
      <c r="Z197" s="1">
        <v>2</v>
      </c>
      <c r="AA197" s="1">
        <v>2</v>
      </c>
      <c r="AB197" s="1">
        <v>2</v>
      </c>
      <c r="AC197" s="1">
        <v>3</v>
      </c>
      <c r="AD197" s="1">
        <v>3</v>
      </c>
      <c r="AE197" s="1">
        <v>3</v>
      </c>
      <c r="AF197" s="1">
        <v>4</v>
      </c>
      <c r="AG197" s="1">
        <v>2</v>
      </c>
      <c r="AH197" s="1">
        <v>4</v>
      </c>
      <c r="AI197" s="1">
        <v>4</v>
      </c>
      <c r="AJ197" s="1">
        <v>3</v>
      </c>
      <c r="AK197" s="1">
        <v>3</v>
      </c>
      <c r="AL197" s="1">
        <v>1</v>
      </c>
      <c r="AM197" s="1">
        <v>5</v>
      </c>
      <c r="AN197" s="1">
        <v>3</v>
      </c>
      <c r="AO197" s="1">
        <v>3</v>
      </c>
      <c r="AP197" s="1">
        <v>3</v>
      </c>
      <c r="AQ197" s="1">
        <v>3</v>
      </c>
      <c r="AR197" s="1">
        <v>3</v>
      </c>
      <c r="AS197" s="1">
        <v>3</v>
      </c>
      <c r="AT197" s="1">
        <v>4</v>
      </c>
      <c r="AU197" s="1">
        <v>3</v>
      </c>
      <c r="AV197" s="1">
        <v>3</v>
      </c>
      <c r="AW197" s="1">
        <v>3</v>
      </c>
      <c r="AX197" s="1">
        <v>3</v>
      </c>
      <c r="AY197" s="1">
        <v>4</v>
      </c>
      <c r="AZ197" s="1">
        <v>2</v>
      </c>
      <c r="BA197" s="1">
        <v>2</v>
      </c>
      <c r="BB197" s="1">
        <v>2</v>
      </c>
      <c r="BC197" s="1">
        <v>3</v>
      </c>
    </row>
    <row r="198" spans="1:55">
      <c r="A198" s="1" t="s">
        <v>360</v>
      </c>
      <c r="B198" s="1" t="s">
        <v>66</v>
      </c>
      <c r="C198" s="1" t="s">
        <v>361</v>
      </c>
      <c r="D198" s="1">
        <v>3</v>
      </c>
      <c r="E198" s="1">
        <v>4</v>
      </c>
      <c r="F198" s="1">
        <v>2</v>
      </c>
      <c r="G198" s="1">
        <v>3</v>
      </c>
      <c r="H198" s="1">
        <v>3</v>
      </c>
      <c r="I198" s="1">
        <v>2</v>
      </c>
      <c r="J198" s="1">
        <v>3</v>
      </c>
      <c r="K198" s="1">
        <v>2</v>
      </c>
      <c r="L198" s="1">
        <v>4</v>
      </c>
      <c r="M198" s="1">
        <v>4</v>
      </c>
      <c r="N198" s="1">
        <v>2</v>
      </c>
      <c r="O198" s="1">
        <v>3</v>
      </c>
      <c r="P198" s="1">
        <v>3</v>
      </c>
      <c r="Q198" s="1">
        <v>3</v>
      </c>
      <c r="R198" s="1">
        <v>3</v>
      </c>
      <c r="S198" s="1">
        <v>4</v>
      </c>
      <c r="T198" s="1">
        <v>4</v>
      </c>
      <c r="U198" s="1">
        <v>2</v>
      </c>
      <c r="V198" s="1">
        <v>3</v>
      </c>
      <c r="W198" s="1">
        <v>3</v>
      </c>
      <c r="X198" s="1">
        <v>4</v>
      </c>
      <c r="Y198" s="1">
        <v>2</v>
      </c>
      <c r="Z198" s="1">
        <v>3</v>
      </c>
      <c r="AA198" s="1">
        <v>3</v>
      </c>
      <c r="AB198" s="1">
        <v>4</v>
      </c>
      <c r="AC198" s="1">
        <v>4</v>
      </c>
      <c r="AD198" s="1">
        <v>4</v>
      </c>
      <c r="AE198" s="1">
        <v>5</v>
      </c>
      <c r="AF198" s="1">
        <v>2</v>
      </c>
      <c r="AG198" s="1">
        <v>3</v>
      </c>
      <c r="AH198" s="1">
        <v>3</v>
      </c>
      <c r="AI198" s="1">
        <v>4</v>
      </c>
      <c r="AJ198" s="1">
        <v>3</v>
      </c>
      <c r="AK198" s="1">
        <v>4</v>
      </c>
      <c r="AL198" s="1">
        <v>3</v>
      </c>
      <c r="AM198" s="1">
        <v>4</v>
      </c>
      <c r="AN198" s="1">
        <v>4</v>
      </c>
      <c r="AO198" s="1">
        <v>3</v>
      </c>
      <c r="AP198" s="1">
        <v>3</v>
      </c>
      <c r="AQ198" s="1">
        <v>3</v>
      </c>
      <c r="AR198" s="1">
        <v>4</v>
      </c>
      <c r="AS198" s="1">
        <v>4</v>
      </c>
      <c r="AT198" s="1">
        <v>3</v>
      </c>
      <c r="AU198" s="1">
        <v>3</v>
      </c>
      <c r="AV198" s="1">
        <v>3</v>
      </c>
      <c r="AW198" s="1">
        <v>4</v>
      </c>
      <c r="AX198" s="1">
        <v>4</v>
      </c>
      <c r="AY198" s="1">
        <v>5</v>
      </c>
      <c r="AZ198" s="1">
        <v>3</v>
      </c>
      <c r="BA198" s="1">
        <v>3</v>
      </c>
      <c r="BB198" s="1">
        <v>4</v>
      </c>
      <c r="BC198" s="1">
        <v>2</v>
      </c>
    </row>
    <row r="199" spans="1:55">
      <c r="A199" s="1" t="s">
        <v>362</v>
      </c>
      <c r="B199" s="1" t="s">
        <v>66</v>
      </c>
      <c r="C199" s="1" t="s">
        <v>361</v>
      </c>
      <c r="D199" s="1">
        <v>3</v>
      </c>
      <c r="E199" s="1">
        <v>3</v>
      </c>
      <c r="F199" s="1">
        <v>3</v>
      </c>
      <c r="G199" s="1">
        <v>2</v>
      </c>
      <c r="H199" s="1">
        <v>5</v>
      </c>
      <c r="I199" s="1">
        <v>4</v>
      </c>
      <c r="J199" s="1">
        <v>3</v>
      </c>
      <c r="K199" s="1">
        <v>2</v>
      </c>
      <c r="L199" s="1">
        <v>3</v>
      </c>
      <c r="M199" s="1">
        <v>3</v>
      </c>
      <c r="N199" s="1">
        <v>3</v>
      </c>
      <c r="O199" s="1">
        <v>3</v>
      </c>
      <c r="P199" s="1">
        <v>4</v>
      </c>
      <c r="Q199" s="1">
        <v>2</v>
      </c>
      <c r="R199" s="1">
        <v>4</v>
      </c>
      <c r="S199" s="1">
        <v>3</v>
      </c>
      <c r="T199" s="1">
        <v>3</v>
      </c>
      <c r="U199" s="1">
        <v>4</v>
      </c>
      <c r="V199" s="1">
        <v>2</v>
      </c>
      <c r="W199" s="1">
        <v>3</v>
      </c>
      <c r="X199" s="1">
        <v>2</v>
      </c>
      <c r="Y199" s="1">
        <v>2</v>
      </c>
      <c r="Z199" s="1">
        <v>3</v>
      </c>
      <c r="AA199" s="1">
        <v>2</v>
      </c>
      <c r="AB199" s="1">
        <v>3</v>
      </c>
      <c r="AC199" s="1">
        <v>3</v>
      </c>
      <c r="AD199" s="1">
        <v>3</v>
      </c>
      <c r="AE199" s="1">
        <v>3</v>
      </c>
      <c r="AF199" s="1">
        <v>3</v>
      </c>
      <c r="AG199" s="1">
        <v>3</v>
      </c>
      <c r="AH199" s="1">
        <v>3</v>
      </c>
      <c r="AI199" s="1">
        <v>3</v>
      </c>
      <c r="AJ199" s="1">
        <v>3</v>
      </c>
      <c r="AK199" s="1">
        <v>3</v>
      </c>
      <c r="AL199" s="1">
        <v>3</v>
      </c>
      <c r="AM199" s="1">
        <v>3</v>
      </c>
      <c r="AN199" s="1">
        <v>3</v>
      </c>
      <c r="AO199" s="1">
        <v>3</v>
      </c>
      <c r="AP199" s="1">
        <v>3</v>
      </c>
      <c r="AQ199" s="1">
        <v>2</v>
      </c>
      <c r="AR199" s="1">
        <v>3</v>
      </c>
      <c r="AS199" s="1">
        <v>4</v>
      </c>
      <c r="AT199" s="1">
        <v>3</v>
      </c>
      <c r="AU199" s="1">
        <v>2</v>
      </c>
      <c r="AV199" s="1">
        <v>3</v>
      </c>
      <c r="AW199" s="1">
        <v>3</v>
      </c>
      <c r="AX199" s="1">
        <v>3</v>
      </c>
      <c r="AY199" s="1">
        <v>2</v>
      </c>
      <c r="AZ199" s="1">
        <v>3</v>
      </c>
      <c r="BA199" s="1">
        <v>4</v>
      </c>
      <c r="BB199" s="1">
        <v>3</v>
      </c>
      <c r="BC199" s="1">
        <v>3</v>
      </c>
    </row>
    <row r="200" spans="1:55">
      <c r="A200" s="1" t="s">
        <v>363</v>
      </c>
      <c r="B200" s="1" t="s">
        <v>66</v>
      </c>
      <c r="C200" s="1" t="s">
        <v>364</v>
      </c>
      <c r="D200" s="1">
        <v>3</v>
      </c>
      <c r="E200" s="1">
        <v>3</v>
      </c>
      <c r="F200" s="1">
        <v>2</v>
      </c>
      <c r="G200" s="1">
        <v>3</v>
      </c>
      <c r="H200" s="1">
        <v>2</v>
      </c>
      <c r="I200" s="1">
        <v>2</v>
      </c>
      <c r="J200" s="1">
        <v>3</v>
      </c>
      <c r="K200" s="1">
        <v>4</v>
      </c>
      <c r="L200" s="1">
        <v>3</v>
      </c>
      <c r="M200" s="1">
        <v>2</v>
      </c>
      <c r="N200" s="1">
        <v>3</v>
      </c>
      <c r="O200" s="1">
        <v>3</v>
      </c>
      <c r="P200" s="1">
        <v>4</v>
      </c>
      <c r="Q200" s="1">
        <v>3</v>
      </c>
      <c r="R200" s="1">
        <v>3</v>
      </c>
      <c r="S200" s="1">
        <v>3</v>
      </c>
      <c r="T200" s="1">
        <v>2</v>
      </c>
      <c r="U200" s="1">
        <v>3</v>
      </c>
      <c r="V200" s="1">
        <v>3</v>
      </c>
      <c r="W200" s="1">
        <v>4</v>
      </c>
      <c r="X200" s="1">
        <v>3</v>
      </c>
      <c r="Y200" s="1">
        <v>3</v>
      </c>
      <c r="Z200" s="1">
        <v>4</v>
      </c>
      <c r="AA200" s="1">
        <v>3</v>
      </c>
      <c r="AB200" s="1">
        <v>3</v>
      </c>
      <c r="AC200" s="1">
        <v>3</v>
      </c>
      <c r="AD200" s="1">
        <v>4</v>
      </c>
      <c r="AE200" s="1">
        <v>3</v>
      </c>
      <c r="AF200" s="1">
        <v>3</v>
      </c>
      <c r="AG200" s="1">
        <v>3</v>
      </c>
      <c r="AH200" s="1">
        <v>3</v>
      </c>
      <c r="AI200" s="1">
        <v>3</v>
      </c>
      <c r="AJ200" s="1">
        <v>3</v>
      </c>
      <c r="AK200" s="1">
        <v>3</v>
      </c>
      <c r="AL200" s="1">
        <v>3</v>
      </c>
      <c r="AM200" s="1">
        <v>2</v>
      </c>
      <c r="AN200" s="1">
        <v>3</v>
      </c>
      <c r="AO200" s="1">
        <v>4</v>
      </c>
      <c r="AP200" s="1">
        <v>3</v>
      </c>
      <c r="AQ200" s="1">
        <v>3</v>
      </c>
      <c r="AR200" s="1">
        <v>3</v>
      </c>
      <c r="AS200" s="1">
        <v>2</v>
      </c>
      <c r="AT200" s="1">
        <v>3</v>
      </c>
      <c r="AU200" s="1">
        <v>3</v>
      </c>
      <c r="AV200" s="1">
        <v>3</v>
      </c>
      <c r="AW200" s="1">
        <v>4</v>
      </c>
      <c r="AX200" s="1">
        <v>5</v>
      </c>
      <c r="AY200" s="1">
        <v>3</v>
      </c>
      <c r="AZ200" s="1">
        <v>3</v>
      </c>
      <c r="BA200" s="1">
        <v>3</v>
      </c>
      <c r="BB200" s="1">
        <v>3</v>
      </c>
      <c r="BC200" s="1">
        <v>4</v>
      </c>
    </row>
    <row r="201" spans="1:55">
      <c r="A201" s="1" t="s">
        <v>365</v>
      </c>
      <c r="B201" s="1" t="s">
        <v>66</v>
      </c>
      <c r="C201" s="1" t="s">
        <v>364</v>
      </c>
      <c r="D201" s="1">
        <v>3</v>
      </c>
      <c r="E201" s="1">
        <v>3</v>
      </c>
      <c r="F201" s="1">
        <v>4</v>
      </c>
      <c r="G201" s="1">
        <v>4</v>
      </c>
      <c r="H201" s="1">
        <v>2</v>
      </c>
      <c r="I201" s="1">
        <v>3</v>
      </c>
      <c r="J201" s="1">
        <v>3</v>
      </c>
      <c r="K201" s="1">
        <v>3</v>
      </c>
      <c r="L201" s="1">
        <v>2</v>
      </c>
      <c r="M201" s="1">
        <v>3</v>
      </c>
      <c r="N201" s="1">
        <v>3</v>
      </c>
      <c r="O201" s="1">
        <v>3</v>
      </c>
      <c r="P201" s="1">
        <v>3</v>
      </c>
      <c r="Q201" s="1">
        <v>3</v>
      </c>
      <c r="R201" s="1">
        <v>3</v>
      </c>
      <c r="S201" s="1">
        <v>3</v>
      </c>
      <c r="T201" s="1">
        <v>4</v>
      </c>
      <c r="U201" s="1">
        <v>2</v>
      </c>
      <c r="V201" s="1">
        <v>2</v>
      </c>
      <c r="W201" s="1">
        <v>4</v>
      </c>
      <c r="X201" s="1">
        <v>4</v>
      </c>
      <c r="Y201" s="1">
        <v>3</v>
      </c>
      <c r="Z201" s="1">
        <v>3</v>
      </c>
      <c r="AA201" s="1">
        <v>3</v>
      </c>
      <c r="AB201" s="1">
        <v>1</v>
      </c>
      <c r="AC201" s="1">
        <v>2</v>
      </c>
      <c r="AD201" s="1">
        <v>3</v>
      </c>
      <c r="AE201" s="1">
        <v>3</v>
      </c>
      <c r="AF201" s="1">
        <v>4</v>
      </c>
      <c r="AG201" s="1">
        <v>3</v>
      </c>
      <c r="AH201" s="1">
        <v>4</v>
      </c>
      <c r="AI201" s="1">
        <v>3</v>
      </c>
      <c r="AJ201" s="1">
        <v>4</v>
      </c>
      <c r="AK201" s="1">
        <v>4</v>
      </c>
      <c r="AL201" s="1">
        <v>3</v>
      </c>
      <c r="AM201" s="1">
        <v>4</v>
      </c>
      <c r="AN201" s="1">
        <v>4</v>
      </c>
      <c r="AO201" s="1">
        <v>3</v>
      </c>
      <c r="AP201" s="1">
        <v>2</v>
      </c>
      <c r="AQ201" s="1">
        <v>4</v>
      </c>
      <c r="AR201" s="1">
        <v>4</v>
      </c>
      <c r="AS201" s="1">
        <v>3</v>
      </c>
      <c r="AT201" s="1">
        <v>4</v>
      </c>
      <c r="AU201" s="1">
        <v>3</v>
      </c>
      <c r="AV201" s="1">
        <v>3</v>
      </c>
      <c r="AW201" s="1">
        <v>3</v>
      </c>
      <c r="AX201" s="1">
        <v>3</v>
      </c>
      <c r="AY201" s="1">
        <v>3</v>
      </c>
      <c r="AZ201" s="1">
        <v>3</v>
      </c>
      <c r="BA201" s="1">
        <v>4</v>
      </c>
      <c r="BB201" s="1">
        <v>4</v>
      </c>
      <c r="BC201" s="1">
        <v>2</v>
      </c>
    </row>
    <row r="202" spans="1:55">
      <c r="A202" s="1" t="s">
        <v>366</v>
      </c>
      <c r="B202" s="1" t="s">
        <v>66</v>
      </c>
      <c r="C202" s="1" t="s">
        <v>367</v>
      </c>
      <c r="D202" s="1">
        <v>4</v>
      </c>
      <c r="E202" s="1">
        <v>3</v>
      </c>
      <c r="F202" s="1">
        <v>4</v>
      </c>
      <c r="G202" s="1">
        <v>3</v>
      </c>
      <c r="H202" s="1">
        <v>3</v>
      </c>
      <c r="I202" s="1">
        <v>3</v>
      </c>
      <c r="J202" s="1">
        <v>3</v>
      </c>
      <c r="K202" s="1">
        <v>3</v>
      </c>
      <c r="L202" s="1">
        <v>3</v>
      </c>
      <c r="M202" s="1">
        <v>2</v>
      </c>
      <c r="N202" s="1">
        <v>3</v>
      </c>
      <c r="O202" s="1">
        <v>4</v>
      </c>
      <c r="P202" s="1">
        <v>4</v>
      </c>
      <c r="Q202" s="1">
        <v>3</v>
      </c>
      <c r="R202" s="1">
        <v>3</v>
      </c>
      <c r="S202" s="1">
        <v>3</v>
      </c>
      <c r="T202" s="1">
        <v>3</v>
      </c>
      <c r="U202" s="1">
        <v>3</v>
      </c>
      <c r="V202" s="1">
        <v>3</v>
      </c>
      <c r="W202" s="1">
        <v>2</v>
      </c>
      <c r="X202" s="1">
        <v>3</v>
      </c>
      <c r="Y202" s="1">
        <v>2</v>
      </c>
      <c r="Z202" s="1">
        <v>4</v>
      </c>
      <c r="AA202" s="1">
        <v>3</v>
      </c>
      <c r="AB202" s="1">
        <v>3</v>
      </c>
      <c r="AC202" s="1">
        <v>2</v>
      </c>
      <c r="AD202" s="1">
        <v>4</v>
      </c>
      <c r="AE202" s="1">
        <v>3</v>
      </c>
      <c r="AF202" s="1">
        <v>3</v>
      </c>
      <c r="AG202" s="1">
        <v>3</v>
      </c>
      <c r="AH202" s="1">
        <v>4</v>
      </c>
      <c r="AI202" s="1">
        <v>4</v>
      </c>
      <c r="AJ202" s="1">
        <v>4</v>
      </c>
      <c r="AK202" s="1">
        <v>4</v>
      </c>
      <c r="AL202" s="1">
        <v>3</v>
      </c>
      <c r="AM202" s="1">
        <v>3</v>
      </c>
      <c r="AN202" s="1">
        <v>3</v>
      </c>
      <c r="AO202" s="1">
        <v>3</v>
      </c>
      <c r="AP202" s="1">
        <v>4</v>
      </c>
      <c r="AQ202" s="1">
        <v>4</v>
      </c>
      <c r="AR202" s="1">
        <v>2</v>
      </c>
      <c r="AS202" s="1">
        <v>2</v>
      </c>
      <c r="AT202" s="1">
        <v>4</v>
      </c>
      <c r="AU202" s="1">
        <v>3</v>
      </c>
      <c r="AV202" s="1">
        <v>4</v>
      </c>
      <c r="AW202" s="1">
        <v>3</v>
      </c>
      <c r="AX202" s="1">
        <v>4</v>
      </c>
      <c r="AY202" s="1">
        <v>4</v>
      </c>
      <c r="AZ202" s="1">
        <v>3</v>
      </c>
      <c r="BA202" s="1">
        <v>3</v>
      </c>
      <c r="BB202" s="1">
        <v>4</v>
      </c>
      <c r="BC202" s="1">
        <v>2</v>
      </c>
    </row>
    <row r="203" spans="1:55">
      <c r="A203" s="1" t="s">
        <v>368</v>
      </c>
      <c r="B203" s="1" t="s">
        <v>66</v>
      </c>
      <c r="C203" s="1" t="s">
        <v>367</v>
      </c>
      <c r="D203" s="1">
        <v>3</v>
      </c>
      <c r="E203" s="1">
        <v>4</v>
      </c>
      <c r="F203" s="1">
        <v>2</v>
      </c>
      <c r="G203" s="1">
        <v>2</v>
      </c>
      <c r="H203" s="1">
        <v>4</v>
      </c>
      <c r="I203" s="1">
        <v>2</v>
      </c>
      <c r="J203" s="1">
        <v>3</v>
      </c>
      <c r="K203" s="1">
        <v>3</v>
      </c>
      <c r="L203" s="1">
        <v>3</v>
      </c>
      <c r="M203" s="1">
        <v>4</v>
      </c>
      <c r="N203" s="1">
        <v>3</v>
      </c>
      <c r="O203" s="1">
        <v>2</v>
      </c>
      <c r="P203" s="1">
        <v>4</v>
      </c>
      <c r="Q203" s="1">
        <v>3</v>
      </c>
      <c r="R203" s="1">
        <v>4</v>
      </c>
      <c r="S203" s="1">
        <v>4</v>
      </c>
      <c r="T203" s="1">
        <v>4</v>
      </c>
      <c r="U203" s="1">
        <v>4</v>
      </c>
      <c r="V203" s="1">
        <v>3</v>
      </c>
      <c r="W203" s="1">
        <v>4</v>
      </c>
      <c r="X203" s="1">
        <v>3</v>
      </c>
      <c r="Y203" s="1">
        <v>3</v>
      </c>
      <c r="Z203" s="1">
        <v>3</v>
      </c>
      <c r="AA203" s="1">
        <v>2</v>
      </c>
      <c r="AB203" s="1">
        <v>3</v>
      </c>
      <c r="AC203" s="1">
        <v>3</v>
      </c>
      <c r="AD203" s="1">
        <v>4</v>
      </c>
      <c r="AE203" s="1">
        <v>4</v>
      </c>
      <c r="AF203" s="1">
        <v>2</v>
      </c>
      <c r="AG203" s="1">
        <v>2</v>
      </c>
      <c r="AH203" s="1">
        <v>3</v>
      </c>
      <c r="AI203" s="1">
        <v>3</v>
      </c>
      <c r="AJ203" s="1">
        <v>4</v>
      </c>
      <c r="AK203" s="1">
        <v>3</v>
      </c>
      <c r="AL203" s="1">
        <v>3</v>
      </c>
      <c r="AM203" s="1">
        <v>3</v>
      </c>
      <c r="AN203" s="1">
        <v>4</v>
      </c>
      <c r="AO203" s="1">
        <v>3</v>
      </c>
      <c r="AP203" s="1">
        <v>3</v>
      </c>
      <c r="AQ203" s="1">
        <v>3</v>
      </c>
      <c r="AR203" s="1">
        <v>4</v>
      </c>
      <c r="AS203" s="1">
        <v>4</v>
      </c>
      <c r="AT203" s="1">
        <v>4</v>
      </c>
      <c r="AU203" s="1">
        <v>3</v>
      </c>
      <c r="AV203" s="1">
        <v>3</v>
      </c>
      <c r="AW203" s="1">
        <v>4</v>
      </c>
      <c r="AX203" s="1">
        <v>5</v>
      </c>
      <c r="AY203" s="1">
        <v>3</v>
      </c>
      <c r="AZ203" s="1">
        <v>3</v>
      </c>
      <c r="BA203" s="1">
        <v>3</v>
      </c>
      <c r="BB203" s="1">
        <v>3</v>
      </c>
      <c r="BC203" s="1">
        <v>3</v>
      </c>
    </row>
    <row r="204" spans="1:55">
      <c r="A204" s="1" t="s">
        <v>369</v>
      </c>
      <c r="B204" s="1" t="s">
        <v>66</v>
      </c>
      <c r="C204" s="1" t="s">
        <v>370</v>
      </c>
      <c r="D204" s="1">
        <v>2</v>
      </c>
      <c r="E204" s="1">
        <v>2</v>
      </c>
      <c r="F204" s="1">
        <v>4</v>
      </c>
      <c r="G204" s="1">
        <v>4</v>
      </c>
      <c r="H204" s="1">
        <v>3</v>
      </c>
      <c r="I204" s="1">
        <v>2</v>
      </c>
      <c r="J204" s="1">
        <v>3</v>
      </c>
      <c r="K204" s="1">
        <v>3</v>
      </c>
      <c r="L204" s="1">
        <v>2</v>
      </c>
      <c r="M204" s="1">
        <v>2</v>
      </c>
      <c r="N204" s="1">
        <v>2</v>
      </c>
      <c r="O204" s="1">
        <v>3</v>
      </c>
      <c r="P204" s="1">
        <v>3</v>
      </c>
      <c r="Q204" s="1">
        <v>4</v>
      </c>
      <c r="R204" s="1">
        <v>3</v>
      </c>
      <c r="S204" s="1">
        <v>3</v>
      </c>
      <c r="T204" s="1">
        <v>2</v>
      </c>
      <c r="U204" s="1">
        <v>2</v>
      </c>
      <c r="V204" s="1">
        <v>2</v>
      </c>
      <c r="W204" s="1">
        <v>3</v>
      </c>
      <c r="X204" s="1">
        <v>3</v>
      </c>
      <c r="Y204" s="1">
        <v>3</v>
      </c>
      <c r="Z204" s="1">
        <v>3</v>
      </c>
      <c r="AA204" s="1">
        <v>3</v>
      </c>
      <c r="AB204" s="1">
        <v>3</v>
      </c>
      <c r="AC204" s="1">
        <v>5</v>
      </c>
      <c r="AD204" s="1">
        <v>3</v>
      </c>
      <c r="AE204" s="1">
        <v>3</v>
      </c>
      <c r="AF204" s="1">
        <v>4</v>
      </c>
      <c r="AG204" s="1">
        <v>4</v>
      </c>
      <c r="AH204" s="1">
        <v>2</v>
      </c>
      <c r="AI204" s="1">
        <v>2</v>
      </c>
      <c r="AJ204" s="1">
        <v>3</v>
      </c>
      <c r="AK204" s="1">
        <v>4</v>
      </c>
      <c r="AL204" s="1">
        <v>3</v>
      </c>
      <c r="AM204" s="1">
        <v>3</v>
      </c>
      <c r="AN204" s="1">
        <v>3</v>
      </c>
      <c r="AO204" s="1">
        <v>3</v>
      </c>
      <c r="AP204" s="1">
        <v>4</v>
      </c>
      <c r="AQ204" s="1">
        <v>4</v>
      </c>
      <c r="AR204" s="1">
        <v>2</v>
      </c>
      <c r="AS204" s="1">
        <v>3</v>
      </c>
      <c r="AT204" s="1">
        <v>3</v>
      </c>
      <c r="AU204" s="1">
        <v>2</v>
      </c>
      <c r="AV204" s="1">
        <v>3</v>
      </c>
      <c r="AW204" s="1">
        <v>4</v>
      </c>
      <c r="AX204" s="1">
        <v>4</v>
      </c>
      <c r="AY204" s="1">
        <v>3</v>
      </c>
      <c r="AZ204" s="1">
        <v>3</v>
      </c>
      <c r="BA204" s="1">
        <v>3</v>
      </c>
      <c r="BB204" s="1">
        <v>4</v>
      </c>
      <c r="BC204" s="1">
        <v>3</v>
      </c>
    </row>
    <row r="205" spans="1:55">
      <c r="A205" s="1" t="s">
        <v>371</v>
      </c>
      <c r="B205" s="1" t="s">
        <v>66</v>
      </c>
      <c r="C205" s="1" t="s">
        <v>370</v>
      </c>
      <c r="D205" s="1">
        <v>3</v>
      </c>
      <c r="E205" s="1">
        <v>2</v>
      </c>
      <c r="F205" s="1">
        <v>3</v>
      </c>
      <c r="G205" s="1">
        <v>4</v>
      </c>
      <c r="H205" s="1">
        <v>3</v>
      </c>
      <c r="I205" s="1">
        <v>3</v>
      </c>
      <c r="J205" s="1">
        <v>3</v>
      </c>
      <c r="K205" s="1">
        <v>3</v>
      </c>
      <c r="L205" s="1">
        <v>2</v>
      </c>
      <c r="M205" s="1">
        <v>2</v>
      </c>
      <c r="N205" s="1">
        <v>3</v>
      </c>
      <c r="O205" s="1">
        <v>2</v>
      </c>
      <c r="P205" s="1">
        <v>2</v>
      </c>
      <c r="Q205" s="1">
        <v>2</v>
      </c>
      <c r="R205" s="1">
        <v>3</v>
      </c>
      <c r="S205" s="1">
        <v>3</v>
      </c>
      <c r="T205" s="1">
        <v>2</v>
      </c>
      <c r="U205" s="1">
        <v>3</v>
      </c>
      <c r="V205" s="1">
        <v>4</v>
      </c>
      <c r="W205" s="1">
        <v>2</v>
      </c>
      <c r="X205" s="1">
        <v>3</v>
      </c>
      <c r="Y205" s="1">
        <v>3</v>
      </c>
      <c r="Z205" s="1">
        <v>2</v>
      </c>
      <c r="AA205" s="1">
        <v>3</v>
      </c>
      <c r="AB205" s="1">
        <v>3</v>
      </c>
      <c r="AC205" s="1">
        <v>3</v>
      </c>
      <c r="AD205" s="1">
        <v>3</v>
      </c>
      <c r="AE205" s="1">
        <v>3</v>
      </c>
      <c r="AF205" s="1">
        <v>3</v>
      </c>
      <c r="AG205" s="1">
        <v>3</v>
      </c>
      <c r="AH205" s="1">
        <v>4</v>
      </c>
      <c r="AI205" s="1">
        <v>5</v>
      </c>
      <c r="AJ205" s="1">
        <v>4</v>
      </c>
      <c r="AK205" s="1">
        <v>3</v>
      </c>
      <c r="AL205" s="1">
        <v>3</v>
      </c>
      <c r="AM205" s="1">
        <v>2</v>
      </c>
      <c r="AN205" s="1">
        <v>5</v>
      </c>
      <c r="AO205" s="1">
        <v>3</v>
      </c>
      <c r="AP205" s="1">
        <v>4</v>
      </c>
      <c r="AQ205" s="1">
        <v>3</v>
      </c>
      <c r="AR205" s="1">
        <v>4</v>
      </c>
      <c r="AS205" s="1">
        <v>4</v>
      </c>
      <c r="AT205" s="1">
        <v>3</v>
      </c>
      <c r="AU205" s="1">
        <v>4</v>
      </c>
      <c r="AV205" s="1">
        <v>4</v>
      </c>
      <c r="AW205" s="1">
        <v>4</v>
      </c>
      <c r="AX205" s="1">
        <v>3</v>
      </c>
      <c r="AY205" s="1">
        <v>4</v>
      </c>
      <c r="AZ205" s="1">
        <v>3</v>
      </c>
      <c r="BA205" s="1">
        <v>2</v>
      </c>
      <c r="BB205" s="1">
        <v>3</v>
      </c>
      <c r="BC205" s="1">
        <v>1</v>
      </c>
    </row>
    <row r="206" spans="1:55">
      <c r="A206" s="1" t="s">
        <v>372</v>
      </c>
      <c r="B206" s="1" t="s">
        <v>66</v>
      </c>
      <c r="C206" s="1" t="s">
        <v>373</v>
      </c>
      <c r="D206" s="1">
        <v>3</v>
      </c>
      <c r="E206" s="1">
        <v>4</v>
      </c>
      <c r="F206" s="1">
        <v>1</v>
      </c>
      <c r="G206" s="1">
        <v>3</v>
      </c>
      <c r="H206" s="1">
        <v>4</v>
      </c>
      <c r="I206" s="1">
        <v>3</v>
      </c>
      <c r="J206" s="1">
        <v>3</v>
      </c>
      <c r="K206" s="1">
        <v>2</v>
      </c>
      <c r="L206" s="1">
        <v>3</v>
      </c>
      <c r="M206" s="1">
        <v>4</v>
      </c>
      <c r="N206" s="1">
        <v>2</v>
      </c>
      <c r="O206" s="1">
        <v>2</v>
      </c>
      <c r="P206" s="1">
        <v>5</v>
      </c>
      <c r="Q206" s="1">
        <v>3</v>
      </c>
      <c r="R206" s="1">
        <v>4</v>
      </c>
      <c r="S206" s="1">
        <v>4</v>
      </c>
      <c r="T206" s="1">
        <v>4</v>
      </c>
      <c r="U206" s="1">
        <v>4</v>
      </c>
      <c r="V206" s="1">
        <v>3</v>
      </c>
      <c r="W206" s="1">
        <v>2</v>
      </c>
      <c r="X206" s="1">
        <v>3</v>
      </c>
      <c r="Y206" s="1">
        <v>3</v>
      </c>
      <c r="Z206" s="1">
        <v>3</v>
      </c>
      <c r="AA206" s="1">
        <v>2</v>
      </c>
      <c r="AB206" s="1">
        <v>3</v>
      </c>
      <c r="AC206" s="1">
        <v>3</v>
      </c>
      <c r="AD206" s="1">
        <v>4</v>
      </c>
      <c r="AE206" s="1">
        <v>5</v>
      </c>
      <c r="AF206" s="1">
        <v>1</v>
      </c>
      <c r="AG206" s="1">
        <v>1</v>
      </c>
      <c r="AH206" s="1">
        <v>3</v>
      </c>
      <c r="AI206" s="1">
        <v>4</v>
      </c>
      <c r="AJ206" s="1">
        <v>3</v>
      </c>
      <c r="AK206" s="1">
        <v>2</v>
      </c>
      <c r="AL206" s="1">
        <v>2</v>
      </c>
      <c r="AM206" s="1">
        <v>4</v>
      </c>
      <c r="AN206" s="1">
        <v>3</v>
      </c>
      <c r="AO206" s="1">
        <v>3</v>
      </c>
      <c r="AP206" s="1">
        <v>2</v>
      </c>
      <c r="AQ206" s="1">
        <v>2</v>
      </c>
      <c r="AR206" s="1">
        <v>4</v>
      </c>
      <c r="AS206" s="1">
        <v>5</v>
      </c>
      <c r="AT206" s="1">
        <v>5</v>
      </c>
      <c r="AU206" s="1">
        <v>4</v>
      </c>
      <c r="AV206" s="1">
        <v>3</v>
      </c>
      <c r="AW206" s="1">
        <v>4</v>
      </c>
      <c r="AX206" s="1">
        <v>3</v>
      </c>
      <c r="AY206" s="1">
        <v>3</v>
      </c>
      <c r="AZ206" s="1">
        <v>3</v>
      </c>
      <c r="BA206" s="1">
        <v>3</v>
      </c>
      <c r="BB206" s="1">
        <v>2</v>
      </c>
      <c r="BC206" s="1">
        <v>3</v>
      </c>
    </row>
    <row r="207" spans="1:55">
      <c r="A207" s="1" t="s">
        <v>374</v>
      </c>
      <c r="B207" s="1" t="s">
        <v>66</v>
      </c>
      <c r="C207" s="1" t="s">
        <v>373</v>
      </c>
      <c r="D207" s="1">
        <v>4</v>
      </c>
      <c r="E207" s="1">
        <v>3</v>
      </c>
      <c r="F207" s="1">
        <v>3</v>
      </c>
      <c r="G207" s="1">
        <v>3</v>
      </c>
      <c r="H207" s="1">
        <v>3</v>
      </c>
      <c r="I207" s="1">
        <v>3</v>
      </c>
      <c r="J207" s="1">
        <v>3</v>
      </c>
      <c r="K207" s="1">
        <v>4</v>
      </c>
      <c r="L207" s="1">
        <v>4</v>
      </c>
      <c r="M207" s="1">
        <v>3</v>
      </c>
      <c r="N207" s="1">
        <v>2</v>
      </c>
      <c r="O207" s="1">
        <v>3</v>
      </c>
      <c r="P207" s="1">
        <v>4</v>
      </c>
      <c r="Q207" s="1">
        <v>3</v>
      </c>
      <c r="R207" s="1">
        <v>3</v>
      </c>
      <c r="S207" s="1">
        <v>3</v>
      </c>
      <c r="T207" s="1">
        <v>3</v>
      </c>
      <c r="U207" s="1">
        <v>3</v>
      </c>
      <c r="V207" s="1">
        <v>4</v>
      </c>
      <c r="W207" s="1">
        <v>3</v>
      </c>
      <c r="X207" s="1">
        <v>2</v>
      </c>
      <c r="Y207" s="1">
        <v>4</v>
      </c>
      <c r="Z207" s="1">
        <v>4</v>
      </c>
      <c r="AA207" s="1">
        <v>5</v>
      </c>
      <c r="AB207" s="1">
        <v>5</v>
      </c>
      <c r="AC207" s="1">
        <v>3</v>
      </c>
      <c r="AD207" s="1">
        <v>4</v>
      </c>
      <c r="AE207" s="1">
        <v>3</v>
      </c>
      <c r="AF207" s="1">
        <v>3</v>
      </c>
      <c r="AG207" s="1">
        <v>2</v>
      </c>
      <c r="AH207" s="1">
        <v>4</v>
      </c>
      <c r="AI207" s="1">
        <v>5</v>
      </c>
      <c r="AJ207" s="1">
        <v>4</v>
      </c>
      <c r="AK207" s="1">
        <v>4</v>
      </c>
      <c r="AL207" s="1">
        <v>4</v>
      </c>
      <c r="AM207" s="1">
        <v>4</v>
      </c>
      <c r="AN207" s="1">
        <v>4</v>
      </c>
      <c r="AO207" s="1">
        <v>5</v>
      </c>
      <c r="AP207" s="1">
        <v>5</v>
      </c>
      <c r="AQ207" s="1">
        <v>4</v>
      </c>
      <c r="AR207" s="1">
        <v>4</v>
      </c>
      <c r="AS207" s="1">
        <v>3</v>
      </c>
      <c r="AT207" s="1">
        <v>4</v>
      </c>
      <c r="AU207" s="1">
        <v>3</v>
      </c>
      <c r="AV207" s="1">
        <v>4</v>
      </c>
      <c r="AW207" s="1">
        <v>3</v>
      </c>
      <c r="AX207" s="1">
        <v>3</v>
      </c>
      <c r="AY207" s="1">
        <v>3</v>
      </c>
      <c r="AZ207" s="1">
        <v>4</v>
      </c>
      <c r="BA207" s="1">
        <v>5</v>
      </c>
      <c r="BB207" s="1">
        <v>5</v>
      </c>
      <c r="BC207" s="1">
        <v>3</v>
      </c>
    </row>
    <row r="208" spans="1:55">
      <c r="A208" s="1" t="s">
        <v>375</v>
      </c>
      <c r="B208" s="1" t="s">
        <v>66</v>
      </c>
      <c r="C208" s="1" t="s">
        <v>376</v>
      </c>
      <c r="D208" s="1">
        <v>4</v>
      </c>
      <c r="E208" s="1">
        <v>3</v>
      </c>
      <c r="F208" s="1">
        <v>3</v>
      </c>
      <c r="G208" s="1">
        <v>3</v>
      </c>
      <c r="H208" s="1">
        <v>3</v>
      </c>
      <c r="I208" s="1">
        <v>4</v>
      </c>
      <c r="J208" s="1">
        <v>4</v>
      </c>
      <c r="K208" s="1">
        <v>3</v>
      </c>
      <c r="L208" s="1">
        <v>4</v>
      </c>
      <c r="M208" s="1">
        <v>3</v>
      </c>
      <c r="N208" s="1">
        <v>3</v>
      </c>
      <c r="O208" s="1">
        <v>2</v>
      </c>
      <c r="P208" s="1">
        <v>3</v>
      </c>
      <c r="Q208" s="1">
        <v>3</v>
      </c>
      <c r="R208" s="1">
        <v>4</v>
      </c>
      <c r="S208" s="1">
        <v>4</v>
      </c>
      <c r="T208" s="1">
        <v>4</v>
      </c>
      <c r="U208" s="1">
        <v>4</v>
      </c>
      <c r="V208" s="1">
        <v>3</v>
      </c>
      <c r="W208" s="1">
        <v>2</v>
      </c>
      <c r="X208" s="1">
        <v>3</v>
      </c>
      <c r="Y208" s="1">
        <v>2</v>
      </c>
      <c r="Z208" s="1">
        <v>4</v>
      </c>
      <c r="AA208" s="1">
        <v>3</v>
      </c>
      <c r="AB208" s="1">
        <v>3</v>
      </c>
      <c r="AC208" s="1">
        <v>3</v>
      </c>
      <c r="AD208" s="1">
        <v>3</v>
      </c>
      <c r="AE208" s="1">
        <v>4</v>
      </c>
      <c r="AF208" s="1">
        <v>3</v>
      </c>
      <c r="AG208" s="1">
        <v>2</v>
      </c>
      <c r="AH208" s="1">
        <v>3</v>
      </c>
      <c r="AI208" s="1">
        <v>4</v>
      </c>
      <c r="AJ208" s="1">
        <v>4</v>
      </c>
      <c r="AK208" s="1">
        <v>3</v>
      </c>
      <c r="AL208" s="1">
        <v>3</v>
      </c>
      <c r="AM208" s="1">
        <v>4</v>
      </c>
      <c r="AN208" s="1">
        <v>3</v>
      </c>
      <c r="AO208" s="1">
        <v>3</v>
      </c>
      <c r="AP208" s="1">
        <v>4</v>
      </c>
      <c r="AQ208" s="1">
        <v>3</v>
      </c>
      <c r="AR208" s="1">
        <v>5</v>
      </c>
      <c r="AS208" s="1">
        <v>4</v>
      </c>
      <c r="AT208" s="1">
        <v>3</v>
      </c>
      <c r="AU208" s="1">
        <v>4</v>
      </c>
      <c r="AV208" s="1">
        <v>5</v>
      </c>
      <c r="AW208" s="1">
        <v>3</v>
      </c>
      <c r="AX208" s="1">
        <v>3</v>
      </c>
      <c r="AY208" s="1">
        <v>4</v>
      </c>
      <c r="AZ208" s="1">
        <v>4</v>
      </c>
      <c r="BA208" s="1">
        <v>3</v>
      </c>
      <c r="BB208" s="1">
        <v>3</v>
      </c>
      <c r="BC208" s="1">
        <v>3</v>
      </c>
    </row>
    <row r="209" spans="1:55">
      <c r="A209" s="1" t="s">
        <v>377</v>
      </c>
      <c r="B209" s="1" t="s">
        <v>66</v>
      </c>
      <c r="C209" s="1" t="s">
        <v>376</v>
      </c>
      <c r="D209" s="1">
        <v>4</v>
      </c>
      <c r="E209" s="1">
        <v>3</v>
      </c>
      <c r="F209" s="1">
        <v>3</v>
      </c>
      <c r="G209" s="1">
        <v>4</v>
      </c>
      <c r="H209" s="1">
        <v>3</v>
      </c>
      <c r="I209" s="1">
        <v>4</v>
      </c>
      <c r="J209" s="1">
        <v>3</v>
      </c>
      <c r="K209" s="1">
        <v>3</v>
      </c>
      <c r="L209" s="1">
        <v>3</v>
      </c>
      <c r="M209" s="1">
        <v>2</v>
      </c>
      <c r="N209" s="1">
        <v>3</v>
      </c>
      <c r="O209" s="1">
        <v>3</v>
      </c>
      <c r="P209" s="1">
        <v>3</v>
      </c>
      <c r="Q209" s="1">
        <v>4</v>
      </c>
      <c r="R209" s="1">
        <v>3</v>
      </c>
      <c r="S209" s="1">
        <v>3</v>
      </c>
      <c r="T209" s="1">
        <v>3</v>
      </c>
      <c r="U209" s="1">
        <v>3</v>
      </c>
      <c r="V209" s="1">
        <v>3</v>
      </c>
      <c r="W209" s="1">
        <v>4</v>
      </c>
      <c r="X209" s="1">
        <v>3</v>
      </c>
      <c r="Y209" s="1">
        <v>3</v>
      </c>
      <c r="Z209" s="1">
        <v>4</v>
      </c>
      <c r="AA209" s="1">
        <v>3</v>
      </c>
      <c r="AB209" s="1">
        <v>3</v>
      </c>
      <c r="AC209" s="1">
        <v>3</v>
      </c>
      <c r="AD209" s="1">
        <v>3</v>
      </c>
      <c r="AE209" s="1">
        <v>3</v>
      </c>
      <c r="AF209" s="1">
        <v>3</v>
      </c>
      <c r="AG209" s="1">
        <v>2</v>
      </c>
      <c r="AH209" s="1">
        <v>3</v>
      </c>
      <c r="AI209" s="1">
        <v>3</v>
      </c>
      <c r="AJ209" s="1">
        <v>4</v>
      </c>
      <c r="AK209" s="1">
        <v>4</v>
      </c>
      <c r="AL209" s="1">
        <v>3</v>
      </c>
      <c r="AM209" s="1">
        <v>3</v>
      </c>
      <c r="AN209" s="1">
        <v>4</v>
      </c>
      <c r="AO209" s="1">
        <v>4</v>
      </c>
      <c r="AP209" s="1">
        <v>3</v>
      </c>
      <c r="AQ209" s="1">
        <v>4</v>
      </c>
      <c r="AR209" s="1">
        <v>3</v>
      </c>
      <c r="AS209" s="1">
        <v>2</v>
      </c>
      <c r="AT209" s="1">
        <v>3</v>
      </c>
      <c r="AU209" s="1">
        <v>3</v>
      </c>
      <c r="AV209" s="1">
        <v>3</v>
      </c>
      <c r="AW209" s="1">
        <v>3</v>
      </c>
      <c r="AX209" s="1">
        <v>3</v>
      </c>
      <c r="AY209" s="1">
        <v>4</v>
      </c>
      <c r="AZ209" s="1">
        <v>4</v>
      </c>
      <c r="BA209" s="1">
        <v>3</v>
      </c>
      <c r="BB209" s="1">
        <v>4</v>
      </c>
      <c r="BC209" s="1">
        <v>2</v>
      </c>
    </row>
    <row r="210" spans="1:55">
      <c r="A210" s="1" t="s">
        <v>378</v>
      </c>
      <c r="B210" s="1" t="s">
        <v>66</v>
      </c>
      <c r="C210" s="1" t="s">
        <v>379</v>
      </c>
      <c r="D210" s="1">
        <v>3</v>
      </c>
      <c r="E210" s="1">
        <v>4</v>
      </c>
      <c r="F210" s="1">
        <v>3</v>
      </c>
      <c r="G210" s="1">
        <v>4</v>
      </c>
      <c r="H210" s="1">
        <v>3</v>
      </c>
      <c r="I210" s="1">
        <v>4</v>
      </c>
      <c r="J210" s="1">
        <v>3</v>
      </c>
      <c r="K210" s="1">
        <v>3</v>
      </c>
      <c r="L210" s="1">
        <v>2</v>
      </c>
      <c r="M210" s="1">
        <v>3</v>
      </c>
      <c r="N210" s="1">
        <v>4</v>
      </c>
      <c r="O210" s="1">
        <v>3</v>
      </c>
      <c r="P210" s="1">
        <v>2</v>
      </c>
      <c r="Q210" s="1">
        <v>2</v>
      </c>
      <c r="R210" s="1">
        <v>4</v>
      </c>
      <c r="S210" s="1">
        <v>4</v>
      </c>
      <c r="T210" s="1">
        <v>5</v>
      </c>
      <c r="U210" s="1">
        <v>3</v>
      </c>
      <c r="V210" s="1">
        <v>3</v>
      </c>
      <c r="W210" s="1">
        <v>3</v>
      </c>
      <c r="X210" s="1">
        <v>4</v>
      </c>
      <c r="Y210" s="1">
        <v>2</v>
      </c>
      <c r="Z210" s="1">
        <v>3</v>
      </c>
      <c r="AA210" s="1">
        <v>3</v>
      </c>
      <c r="AB210" s="1">
        <v>4</v>
      </c>
      <c r="AC210" s="1">
        <v>3</v>
      </c>
      <c r="AD210" s="1">
        <v>4</v>
      </c>
      <c r="AE210" s="1">
        <v>4</v>
      </c>
      <c r="AF210" s="1">
        <v>3</v>
      </c>
      <c r="AG210" s="1">
        <v>3</v>
      </c>
      <c r="AH210" s="1">
        <v>4</v>
      </c>
      <c r="AI210" s="1">
        <v>4</v>
      </c>
      <c r="AJ210" s="1">
        <v>4</v>
      </c>
      <c r="AK210" s="1">
        <v>4</v>
      </c>
      <c r="AL210" s="1">
        <v>3</v>
      </c>
      <c r="AM210" s="1">
        <v>3</v>
      </c>
      <c r="AN210" s="1">
        <v>4</v>
      </c>
      <c r="AO210" s="1">
        <v>3</v>
      </c>
      <c r="AP210" s="1">
        <v>4</v>
      </c>
      <c r="AQ210" s="1">
        <v>4</v>
      </c>
      <c r="AR210" s="1">
        <v>5</v>
      </c>
      <c r="AS210" s="1">
        <v>4</v>
      </c>
      <c r="AT210" s="1">
        <v>4</v>
      </c>
      <c r="AU210" s="1">
        <v>3</v>
      </c>
      <c r="AV210" s="1">
        <v>4</v>
      </c>
      <c r="AW210" s="1">
        <v>3</v>
      </c>
      <c r="AX210" s="1">
        <v>3</v>
      </c>
      <c r="AY210" s="1">
        <v>2</v>
      </c>
      <c r="AZ210" s="1">
        <v>3</v>
      </c>
      <c r="BA210" s="1">
        <v>3</v>
      </c>
      <c r="BB210" s="1">
        <v>2</v>
      </c>
      <c r="BC210" s="1">
        <v>2</v>
      </c>
    </row>
    <row r="211" spans="1:55">
      <c r="A211" s="1" t="s">
        <v>380</v>
      </c>
      <c r="B211" s="1" t="s">
        <v>66</v>
      </c>
      <c r="C211" s="1" t="s">
        <v>379</v>
      </c>
      <c r="D211" s="1">
        <v>3</v>
      </c>
      <c r="E211" s="1">
        <v>3</v>
      </c>
      <c r="F211" s="1">
        <v>2</v>
      </c>
      <c r="G211" s="1">
        <v>2</v>
      </c>
      <c r="H211" s="1">
        <v>4</v>
      </c>
      <c r="I211" s="1">
        <v>3</v>
      </c>
      <c r="J211" s="1">
        <v>4</v>
      </c>
      <c r="K211" s="1">
        <v>3</v>
      </c>
      <c r="L211" s="1">
        <v>3</v>
      </c>
      <c r="M211" s="1">
        <v>4</v>
      </c>
      <c r="N211" s="1">
        <v>4</v>
      </c>
      <c r="O211" s="1">
        <v>3</v>
      </c>
      <c r="P211" s="1">
        <v>3</v>
      </c>
      <c r="Q211" s="1">
        <v>3</v>
      </c>
      <c r="R211" s="1">
        <v>4</v>
      </c>
      <c r="S211" s="1">
        <v>4</v>
      </c>
      <c r="T211" s="1">
        <v>4</v>
      </c>
      <c r="U211" s="1">
        <v>3</v>
      </c>
      <c r="V211" s="1">
        <v>4</v>
      </c>
      <c r="W211" s="1">
        <v>3</v>
      </c>
      <c r="X211" s="1">
        <v>2</v>
      </c>
      <c r="Y211" s="1">
        <v>3</v>
      </c>
      <c r="Z211" s="1">
        <v>3</v>
      </c>
      <c r="AA211" s="1">
        <v>3</v>
      </c>
      <c r="AB211" s="1">
        <v>3</v>
      </c>
      <c r="AC211" s="1">
        <v>4</v>
      </c>
      <c r="AD211" s="1">
        <v>4</v>
      </c>
      <c r="AE211" s="1">
        <v>4</v>
      </c>
      <c r="AF211" s="1">
        <v>2</v>
      </c>
      <c r="AG211" s="1">
        <v>3</v>
      </c>
      <c r="AH211" s="1">
        <v>4</v>
      </c>
      <c r="AI211" s="1">
        <v>3</v>
      </c>
      <c r="AJ211" s="1">
        <v>5</v>
      </c>
      <c r="AK211" s="1">
        <v>5</v>
      </c>
      <c r="AL211" s="1">
        <v>3</v>
      </c>
      <c r="AM211" s="1">
        <v>4</v>
      </c>
      <c r="AN211" s="1">
        <v>5</v>
      </c>
      <c r="AO211" s="1">
        <v>5</v>
      </c>
      <c r="AP211" s="1">
        <v>2</v>
      </c>
      <c r="AQ211" s="1">
        <v>4</v>
      </c>
      <c r="AR211" s="1">
        <v>5</v>
      </c>
      <c r="AS211" s="1">
        <v>5</v>
      </c>
      <c r="AT211" s="1">
        <v>5</v>
      </c>
      <c r="AU211" s="1">
        <v>4</v>
      </c>
      <c r="AV211" s="1">
        <v>5</v>
      </c>
      <c r="AW211" s="1">
        <v>2</v>
      </c>
      <c r="AX211" s="1">
        <v>4</v>
      </c>
      <c r="AY211" s="1">
        <v>4</v>
      </c>
      <c r="AZ211" s="1">
        <v>4</v>
      </c>
      <c r="BA211" s="1">
        <v>4</v>
      </c>
      <c r="BB211" s="1">
        <v>4</v>
      </c>
      <c r="BC211" s="1">
        <v>1</v>
      </c>
    </row>
    <row r="212" spans="1:55">
      <c r="A212" s="1" t="s">
        <v>381</v>
      </c>
      <c r="B212" s="1" t="s">
        <v>66</v>
      </c>
      <c r="C212" s="1" t="s">
        <v>382</v>
      </c>
      <c r="D212" s="1">
        <v>3</v>
      </c>
      <c r="E212" s="1">
        <v>3</v>
      </c>
      <c r="F212" s="1">
        <v>3</v>
      </c>
      <c r="G212" s="1">
        <v>3</v>
      </c>
      <c r="H212" s="1">
        <v>4</v>
      </c>
      <c r="I212" s="1">
        <v>3</v>
      </c>
      <c r="J212" s="1">
        <v>4</v>
      </c>
      <c r="K212" s="1">
        <v>4</v>
      </c>
      <c r="L212" s="1">
        <v>4</v>
      </c>
      <c r="M212" s="1">
        <v>3</v>
      </c>
      <c r="N212" s="1">
        <v>4</v>
      </c>
      <c r="O212" s="1">
        <v>5</v>
      </c>
      <c r="P212" s="1">
        <v>3</v>
      </c>
      <c r="Q212" s="1">
        <v>4</v>
      </c>
      <c r="R212" s="1">
        <v>3</v>
      </c>
      <c r="S212" s="1">
        <v>3</v>
      </c>
      <c r="T212" s="1">
        <v>3</v>
      </c>
      <c r="U212" s="1">
        <v>3</v>
      </c>
      <c r="V212" s="1">
        <v>3</v>
      </c>
      <c r="W212" s="1">
        <v>1</v>
      </c>
      <c r="X212" s="1">
        <v>2</v>
      </c>
      <c r="Y212" s="1">
        <v>2</v>
      </c>
      <c r="Z212" s="1">
        <v>5</v>
      </c>
      <c r="AA212" s="1">
        <v>4</v>
      </c>
      <c r="AB212" s="1">
        <v>4</v>
      </c>
      <c r="AC212" s="1">
        <v>3</v>
      </c>
      <c r="AD212" s="1">
        <v>3</v>
      </c>
      <c r="AE212" s="1">
        <v>4</v>
      </c>
      <c r="AF212" s="1">
        <v>2</v>
      </c>
      <c r="AG212" s="1">
        <v>3</v>
      </c>
      <c r="AH212" s="1">
        <v>4</v>
      </c>
      <c r="AI212" s="1">
        <v>3</v>
      </c>
      <c r="AJ212" s="1">
        <v>4</v>
      </c>
      <c r="AK212" s="1">
        <v>4</v>
      </c>
      <c r="AL212" s="1">
        <v>3</v>
      </c>
      <c r="AM212" s="1">
        <v>4</v>
      </c>
      <c r="AN212" s="1">
        <v>3</v>
      </c>
      <c r="AO212" s="1">
        <v>3</v>
      </c>
      <c r="AP212" s="1">
        <v>3</v>
      </c>
      <c r="AQ212" s="1">
        <v>4</v>
      </c>
      <c r="AR212" s="1">
        <v>4</v>
      </c>
      <c r="AS212" s="1">
        <v>3</v>
      </c>
      <c r="AT212" s="1">
        <v>3</v>
      </c>
      <c r="AU212" s="1">
        <v>4</v>
      </c>
      <c r="AV212" s="1">
        <v>4</v>
      </c>
      <c r="AW212" s="1">
        <v>3</v>
      </c>
      <c r="AX212" s="1">
        <v>4</v>
      </c>
      <c r="AY212" s="1">
        <v>3</v>
      </c>
      <c r="AZ212" s="1">
        <v>4</v>
      </c>
      <c r="BA212" s="1">
        <v>4</v>
      </c>
      <c r="BB212" s="1">
        <v>4</v>
      </c>
      <c r="BC212" s="1">
        <v>2</v>
      </c>
    </row>
    <row r="213" spans="1:55">
      <c r="A213" s="1" t="s">
        <v>383</v>
      </c>
      <c r="B213" s="1" t="s">
        <v>66</v>
      </c>
      <c r="C213" s="1" t="s">
        <v>382</v>
      </c>
      <c r="D213" s="1">
        <v>3</v>
      </c>
      <c r="E213" s="1">
        <v>4</v>
      </c>
      <c r="F213" s="1">
        <v>2</v>
      </c>
      <c r="G213" s="1">
        <v>3</v>
      </c>
      <c r="H213" s="1">
        <v>3</v>
      </c>
      <c r="I213" s="1">
        <v>2</v>
      </c>
      <c r="J213" s="1">
        <v>2</v>
      </c>
      <c r="K213" s="1">
        <v>3</v>
      </c>
      <c r="L213" s="1">
        <v>4</v>
      </c>
      <c r="M213" s="1">
        <v>4</v>
      </c>
      <c r="N213" s="1">
        <v>3</v>
      </c>
      <c r="O213" s="1">
        <v>4</v>
      </c>
      <c r="P213" s="1">
        <v>1</v>
      </c>
      <c r="Q213" s="1">
        <v>3</v>
      </c>
      <c r="R213" s="1">
        <v>4</v>
      </c>
      <c r="S213" s="1">
        <v>3</v>
      </c>
      <c r="T213" s="1">
        <v>3</v>
      </c>
      <c r="U213" s="1">
        <v>5</v>
      </c>
      <c r="V213" s="1">
        <v>3</v>
      </c>
      <c r="W213" s="1">
        <v>3</v>
      </c>
      <c r="X213" s="1">
        <v>3</v>
      </c>
      <c r="Y213" s="1">
        <v>3</v>
      </c>
      <c r="Z213" s="1">
        <v>2</v>
      </c>
      <c r="AA213" s="1">
        <v>2</v>
      </c>
      <c r="AB213" s="1">
        <v>3</v>
      </c>
      <c r="AC213" s="1">
        <v>2</v>
      </c>
      <c r="AD213" s="1">
        <v>3</v>
      </c>
      <c r="AE213" s="1">
        <v>4</v>
      </c>
      <c r="AF213" s="1">
        <v>2</v>
      </c>
      <c r="AG213" s="1">
        <v>2</v>
      </c>
      <c r="AH213" s="1">
        <v>4</v>
      </c>
      <c r="AI213" s="1">
        <v>3</v>
      </c>
      <c r="AJ213" s="1">
        <v>4</v>
      </c>
      <c r="AK213" s="1">
        <v>3</v>
      </c>
      <c r="AL213" s="1">
        <v>3</v>
      </c>
      <c r="AM213" s="1">
        <v>4</v>
      </c>
      <c r="AN213" s="1">
        <v>3</v>
      </c>
      <c r="AO213" s="1">
        <v>2</v>
      </c>
      <c r="AP213" s="1">
        <v>2</v>
      </c>
      <c r="AQ213" s="1">
        <v>2</v>
      </c>
      <c r="AR213" s="1">
        <v>5</v>
      </c>
      <c r="AS213" s="1">
        <v>4</v>
      </c>
      <c r="AT213" s="1">
        <v>4</v>
      </c>
      <c r="AU213" s="1">
        <v>4</v>
      </c>
      <c r="AV213" s="1">
        <v>3</v>
      </c>
      <c r="AW213" s="1">
        <v>3</v>
      </c>
      <c r="AX213" s="1">
        <v>5</v>
      </c>
      <c r="AY213" s="1">
        <v>3</v>
      </c>
      <c r="AZ213" s="1">
        <v>3</v>
      </c>
      <c r="BA213" s="1">
        <v>2</v>
      </c>
      <c r="BB213" s="1">
        <v>3</v>
      </c>
      <c r="BC213" s="1">
        <v>2</v>
      </c>
    </row>
    <row r="214" spans="1:55">
      <c r="A214" s="1" t="s">
        <v>384</v>
      </c>
      <c r="B214" s="1" t="s">
        <v>66</v>
      </c>
      <c r="C214" s="1" t="s">
        <v>385</v>
      </c>
      <c r="D214" s="1">
        <v>2</v>
      </c>
      <c r="E214" s="1">
        <v>4</v>
      </c>
      <c r="F214" s="1">
        <v>2</v>
      </c>
      <c r="G214" s="1">
        <v>3</v>
      </c>
      <c r="H214" s="1">
        <v>3</v>
      </c>
      <c r="I214" s="1">
        <v>3</v>
      </c>
      <c r="J214" s="1">
        <v>3</v>
      </c>
      <c r="K214" s="1">
        <v>2</v>
      </c>
      <c r="L214" s="1">
        <v>3</v>
      </c>
      <c r="M214" s="1">
        <v>3</v>
      </c>
      <c r="N214" s="1">
        <v>3</v>
      </c>
      <c r="O214" s="1">
        <v>3</v>
      </c>
      <c r="P214" s="1">
        <v>2</v>
      </c>
      <c r="Q214" s="1">
        <v>4</v>
      </c>
      <c r="R214" s="1">
        <v>3</v>
      </c>
      <c r="S214" s="1">
        <v>4</v>
      </c>
      <c r="T214" s="1">
        <v>4</v>
      </c>
      <c r="U214" s="1">
        <v>4</v>
      </c>
      <c r="V214" s="1">
        <v>3</v>
      </c>
      <c r="W214" s="1">
        <v>2</v>
      </c>
      <c r="X214" s="1">
        <v>2</v>
      </c>
      <c r="Y214" s="1">
        <v>2</v>
      </c>
      <c r="Z214" s="1">
        <v>3</v>
      </c>
      <c r="AA214" s="1">
        <v>4</v>
      </c>
      <c r="AB214" s="1">
        <v>4</v>
      </c>
      <c r="AC214" s="1">
        <v>2</v>
      </c>
      <c r="AD214" s="1">
        <v>4</v>
      </c>
      <c r="AE214" s="1">
        <v>4</v>
      </c>
      <c r="AF214" s="1">
        <v>3</v>
      </c>
      <c r="AG214" s="1">
        <v>2</v>
      </c>
      <c r="AH214" s="1">
        <v>4</v>
      </c>
      <c r="AI214" s="1">
        <v>4</v>
      </c>
      <c r="AJ214" s="1">
        <v>3</v>
      </c>
      <c r="AK214" s="1">
        <v>3</v>
      </c>
      <c r="AL214" s="1">
        <v>4</v>
      </c>
      <c r="AM214" s="1">
        <v>4</v>
      </c>
      <c r="AN214" s="1">
        <v>4</v>
      </c>
      <c r="AO214" s="1">
        <v>2</v>
      </c>
      <c r="AP214" s="1">
        <v>3</v>
      </c>
      <c r="AQ214" s="1">
        <v>2</v>
      </c>
      <c r="AR214" s="1">
        <v>5</v>
      </c>
      <c r="AS214" s="1">
        <v>3</v>
      </c>
      <c r="AT214" s="1">
        <v>4</v>
      </c>
      <c r="AU214" s="1">
        <v>4</v>
      </c>
      <c r="AV214" s="1">
        <v>3</v>
      </c>
      <c r="AW214" s="1">
        <v>3</v>
      </c>
      <c r="AX214" s="1">
        <v>3</v>
      </c>
      <c r="AY214" s="1">
        <v>3</v>
      </c>
      <c r="AZ214" s="1">
        <v>2</v>
      </c>
      <c r="BA214" s="1">
        <v>4</v>
      </c>
      <c r="BB214" s="1">
        <v>4</v>
      </c>
      <c r="BC214" s="1">
        <v>3</v>
      </c>
    </row>
    <row r="215" spans="1:55">
      <c r="A215" s="1" t="s">
        <v>386</v>
      </c>
      <c r="B215" s="1" t="s">
        <v>66</v>
      </c>
      <c r="C215" s="1" t="s">
        <v>385</v>
      </c>
      <c r="D215" s="1">
        <v>3</v>
      </c>
      <c r="E215" s="1">
        <v>4</v>
      </c>
      <c r="F215" s="1">
        <v>3</v>
      </c>
      <c r="G215" s="1">
        <v>3</v>
      </c>
      <c r="H215" s="1">
        <v>3</v>
      </c>
      <c r="I215" s="1">
        <v>3</v>
      </c>
      <c r="J215" s="1">
        <v>2</v>
      </c>
      <c r="K215" s="1">
        <v>3</v>
      </c>
      <c r="L215" s="1">
        <v>3</v>
      </c>
      <c r="M215" s="1">
        <v>3</v>
      </c>
      <c r="N215" s="1">
        <v>4</v>
      </c>
      <c r="O215" s="1">
        <v>3</v>
      </c>
      <c r="P215" s="1">
        <v>4</v>
      </c>
      <c r="Q215" s="1">
        <v>4</v>
      </c>
      <c r="R215" s="1">
        <v>3</v>
      </c>
      <c r="S215" s="1">
        <v>4</v>
      </c>
      <c r="T215" s="1">
        <v>3</v>
      </c>
      <c r="U215" s="1">
        <v>3</v>
      </c>
      <c r="V215" s="1">
        <v>2</v>
      </c>
      <c r="W215" s="1">
        <v>2</v>
      </c>
      <c r="X215" s="1">
        <v>2</v>
      </c>
      <c r="Y215" s="1">
        <v>2</v>
      </c>
      <c r="Z215" s="1">
        <v>3</v>
      </c>
      <c r="AA215" s="1">
        <v>4</v>
      </c>
      <c r="AB215" s="1">
        <v>3</v>
      </c>
      <c r="AC215" s="1">
        <v>3</v>
      </c>
      <c r="AD215" s="1">
        <v>3</v>
      </c>
      <c r="AE215" s="1">
        <v>3</v>
      </c>
      <c r="AF215" s="1">
        <v>2</v>
      </c>
      <c r="AG215" s="1">
        <v>3</v>
      </c>
      <c r="AH215" s="1">
        <v>4</v>
      </c>
      <c r="AI215" s="1">
        <v>4</v>
      </c>
      <c r="AJ215" s="1">
        <v>3</v>
      </c>
      <c r="AK215" s="1">
        <v>4</v>
      </c>
      <c r="AL215" s="1">
        <v>4</v>
      </c>
      <c r="AM215" s="1">
        <v>3</v>
      </c>
      <c r="AN215" s="1">
        <v>4</v>
      </c>
      <c r="AO215" s="1">
        <v>5</v>
      </c>
      <c r="AP215" s="1">
        <v>4</v>
      </c>
      <c r="AQ215" s="1">
        <v>3</v>
      </c>
      <c r="AR215" s="1">
        <v>3</v>
      </c>
      <c r="AS215" s="1">
        <v>3</v>
      </c>
      <c r="AT215" s="1">
        <v>3</v>
      </c>
      <c r="AU215" s="1">
        <v>3</v>
      </c>
      <c r="AV215" s="1">
        <v>4</v>
      </c>
      <c r="AW215" s="1">
        <v>3</v>
      </c>
      <c r="AX215" s="1">
        <v>3</v>
      </c>
      <c r="AY215" s="1">
        <v>4</v>
      </c>
      <c r="AZ215" s="1">
        <v>4</v>
      </c>
      <c r="BA215" s="1">
        <v>4</v>
      </c>
      <c r="BB215" s="1">
        <v>4</v>
      </c>
      <c r="BC215" s="1">
        <v>2</v>
      </c>
    </row>
    <row r="216" spans="1:55">
      <c r="A216" s="1" t="s">
        <v>387</v>
      </c>
      <c r="B216" s="1" t="s">
        <v>66</v>
      </c>
      <c r="C216" s="1" t="s">
        <v>388</v>
      </c>
      <c r="D216" s="1">
        <v>3</v>
      </c>
      <c r="E216" s="1">
        <v>3</v>
      </c>
      <c r="F216" s="1">
        <v>2</v>
      </c>
      <c r="G216" s="1">
        <v>3</v>
      </c>
      <c r="H216" s="1">
        <v>3</v>
      </c>
      <c r="I216" s="1">
        <v>3</v>
      </c>
      <c r="J216" s="1">
        <v>3</v>
      </c>
      <c r="K216" s="1">
        <v>3</v>
      </c>
      <c r="L216" s="1">
        <v>4</v>
      </c>
      <c r="M216" s="1">
        <v>4</v>
      </c>
      <c r="N216" s="1">
        <v>2</v>
      </c>
      <c r="O216" s="1">
        <v>3</v>
      </c>
      <c r="P216" s="1">
        <v>3</v>
      </c>
      <c r="Q216" s="1">
        <v>4</v>
      </c>
      <c r="R216" s="1">
        <v>4</v>
      </c>
      <c r="S216" s="1">
        <v>4</v>
      </c>
      <c r="T216" s="1">
        <v>4</v>
      </c>
      <c r="U216" s="1">
        <v>4</v>
      </c>
      <c r="V216" s="1">
        <v>4</v>
      </c>
      <c r="W216" s="1">
        <v>4</v>
      </c>
      <c r="X216" s="1">
        <v>2</v>
      </c>
      <c r="Y216" s="1">
        <v>4</v>
      </c>
      <c r="Z216" s="1">
        <v>3</v>
      </c>
      <c r="AA216" s="1">
        <v>2</v>
      </c>
      <c r="AB216" s="1">
        <v>4</v>
      </c>
      <c r="AC216" s="1">
        <v>3</v>
      </c>
      <c r="AD216" s="1">
        <v>4</v>
      </c>
      <c r="AE216" s="1">
        <v>4</v>
      </c>
      <c r="AF216" s="1">
        <v>3</v>
      </c>
      <c r="AG216" s="1">
        <v>2</v>
      </c>
      <c r="AH216" s="1">
        <v>4</v>
      </c>
      <c r="AI216" s="1">
        <v>4</v>
      </c>
      <c r="AJ216" s="1">
        <v>3</v>
      </c>
      <c r="AK216" s="1">
        <v>3</v>
      </c>
      <c r="AL216" s="1">
        <v>4</v>
      </c>
      <c r="AM216" s="1">
        <v>4</v>
      </c>
      <c r="AN216" s="1">
        <v>3</v>
      </c>
      <c r="AO216" s="1">
        <v>3</v>
      </c>
      <c r="AP216" s="1">
        <v>4</v>
      </c>
      <c r="AQ216" s="1">
        <v>4</v>
      </c>
      <c r="AR216" s="1">
        <v>5</v>
      </c>
      <c r="AS216" s="1">
        <v>3</v>
      </c>
      <c r="AT216" s="1">
        <v>4</v>
      </c>
      <c r="AU216" s="1">
        <v>3</v>
      </c>
      <c r="AV216" s="1">
        <v>3</v>
      </c>
      <c r="AW216" s="1">
        <v>4</v>
      </c>
      <c r="AX216" s="1">
        <v>3</v>
      </c>
      <c r="AY216" s="1">
        <v>3</v>
      </c>
      <c r="AZ216" s="1">
        <v>4</v>
      </c>
      <c r="BA216" s="1">
        <v>4</v>
      </c>
      <c r="BB216" s="1">
        <v>4</v>
      </c>
      <c r="BC216" s="1">
        <v>3</v>
      </c>
    </row>
    <row r="217" spans="1:55">
      <c r="A217" s="1" t="s">
        <v>389</v>
      </c>
      <c r="B217" s="1" t="s">
        <v>66</v>
      </c>
      <c r="C217" s="1" t="s">
        <v>388</v>
      </c>
      <c r="D217" s="1">
        <v>3</v>
      </c>
      <c r="E217" s="1">
        <v>3</v>
      </c>
      <c r="F217" s="1">
        <v>3</v>
      </c>
      <c r="G217" s="1">
        <v>2</v>
      </c>
      <c r="H217" s="1">
        <v>4</v>
      </c>
      <c r="I217" s="1">
        <v>3</v>
      </c>
      <c r="J217" s="1">
        <v>3</v>
      </c>
      <c r="K217" s="1">
        <v>4</v>
      </c>
      <c r="L217" s="1">
        <v>4</v>
      </c>
      <c r="M217" s="1">
        <v>3</v>
      </c>
      <c r="N217" s="1">
        <v>3</v>
      </c>
      <c r="O217" s="1">
        <v>4</v>
      </c>
      <c r="P217" s="1">
        <v>4</v>
      </c>
      <c r="Q217" s="1">
        <v>3</v>
      </c>
      <c r="R217" s="1">
        <v>3</v>
      </c>
      <c r="S217" s="1">
        <v>3</v>
      </c>
      <c r="T217" s="1">
        <v>3</v>
      </c>
      <c r="U217" s="1">
        <v>3</v>
      </c>
      <c r="V217" s="1">
        <v>3</v>
      </c>
      <c r="W217" s="1">
        <v>3</v>
      </c>
      <c r="X217" s="1">
        <v>3</v>
      </c>
      <c r="Y217" s="1">
        <v>3</v>
      </c>
      <c r="Z217" s="1">
        <v>3</v>
      </c>
      <c r="AA217" s="1">
        <v>4</v>
      </c>
      <c r="AB217" s="1">
        <v>3</v>
      </c>
      <c r="AC217" s="1">
        <v>3</v>
      </c>
      <c r="AD217" s="1">
        <v>3</v>
      </c>
      <c r="AE217" s="1">
        <v>4</v>
      </c>
      <c r="AF217" s="1">
        <v>3</v>
      </c>
      <c r="AG217" s="1">
        <v>3</v>
      </c>
      <c r="AH217" s="1">
        <v>3</v>
      </c>
      <c r="AI217" s="1">
        <v>4</v>
      </c>
      <c r="AJ217" s="1">
        <v>3</v>
      </c>
      <c r="AK217" s="1">
        <v>3</v>
      </c>
      <c r="AL217" s="1">
        <v>3</v>
      </c>
      <c r="AM217" s="1">
        <v>2</v>
      </c>
      <c r="AN217" s="1">
        <v>3</v>
      </c>
      <c r="AO217" s="1">
        <v>3</v>
      </c>
      <c r="AP217" s="1">
        <v>3</v>
      </c>
      <c r="AQ217" s="1">
        <v>3</v>
      </c>
      <c r="AR217" s="1">
        <v>4</v>
      </c>
      <c r="AS217" s="1">
        <v>4</v>
      </c>
      <c r="AT217" s="1">
        <v>3</v>
      </c>
      <c r="AU217" s="1">
        <v>4</v>
      </c>
      <c r="AV217" s="1">
        <v>4</v>
      </c>
      <c r="AW217" s="1">
        <v>4</v>
      </c>
      <c r="AX217" s="1">
        <v>3</v>
      </c>
      <c r="AY217" s="1">
        <v>4</v>
      </c>
      <c r="AZ217" s="1">
        <v>4</v>
      </c>
      <c r="BA217" s="1">
        <v>2</v>
      </c>
      <c r="BB217" s="1">
        <v>3</v>
      </c>
      <c r="BC217" s="1">
        <v>2</v>
      </c>
    </row>
    <row r="218" spans="1:55">
      <c r="A218" s="1" t="s">
        <v>390</v>
      </c>
      <c r="B218" s="1" t="s">
        <v>66</v>
      </c>
      <c r="C218" s="1" t="s">
        <v>391</v>
      </c>
      <c r="D218" s="1">
        <v>3</v>
      </c>
      <c r="E218" s="1">
        <v>4</v>
      </c>
      <c r="F218" s="1">
        <v>1</v>
      </c>
      <c r="G218" s="1">
        <v>2</v>
      </c>
      <c r="H218" s="1">
        <v>2</v>
      </c>
      <c r="I218" s="1">
        <v>4</v>
      </c>
      <c r="J218" s="1">
        <v>2</v>
      </c>
      <c r="K218" s="1">
        <v>3</v>
      </c>
      <c r="L218" s="1">
        <v>3</v>
      </c>
      <c r="M218" s="1">
        <v>4</v>
      </c>
      <c r="N218" s="1">
        <v>3</v>
      </c>
      <c r="O218" s="1">
        <v>3</v>
      </c>
      <c r="P218" s="1">
        <v>4</v>
      </c>
      <c r="Q218" s="1">
        <v>3</v>
      </c>
      <c r="R218" s="1">
        <v>4</v>
      </c>
      <c r="S218" s="1">
        <v>3</v>
      </c>
      <c r="T218" s="1">
        <v>4</v>
      </c>
      <c r="U218" s="1">
        <v>5</v>
      </c>
      <c r="V218" s="1">
        <v>3</v>
      </c>
      <c r="W218" s="1">
        <v>3</v>
      </c>
      <c r="X218" s="1">
        <v>3</v>
      </c>
      <c r="Y218" s="1">
        <v>3</v>
      </c>
      <c r="Z218" s="1">
        <v>3</v>
      </c>
      <c r="AA218" s="1">
        <v>4</v>
      </c>
      <c r="AB218" s="1">
        <v>4</v>
      </c>
      <c r="AC218" s="1">
        <v>3</v>
      </c>
      <c r="AD218" s="1">
        <v>4</v>
      </c>
      <c r="AE218" s="1">
        <v>4</v>
      </c>
      <c r="AF218" s="1">
        <v>2</v>
      </c>
      <c r="AG218" s="1">
        <v>2</v>
      </c>
      <c r="AH218" s="1">
        <v>3</v>
      </c>
      <c r="AI218" s="1">
        <v>3</v>
      </c>
      <c r="AJ218" s="1">
        <v>4</v>
      </c>
      <c r="AK218" s="1">
        <v>4</v>
      </c>
      <c r="AL218" s="1">
        <v>3</v>
      </c>
      <c r="AM218" s="1">
        <v>5</v>
      </c>
      <c r="AN218" s="1">
        <v>3</v>
      </c>
      <c r="AO218" s="1">
        <v>3</v>
      </c>
      <c r="AP218" s="1">
        <v>2</v>
      </c>
      <c r="AQ218" s="1">
        <v>3</v>
      </c>
      <c r="AR218" s="1">
        <v>3</v>
      </c>
      <c r="AS218" s="1">
        <v>5</v>
      </c>
      <c r="AT218" s="1">
        <v>5</v>
      </c>
      <c r="AU218" s="1">
        <v>4</v>
      </c>
      <c r="AV218" s="1">
        <v>4</v>
      </c>
      <c r="AW218" s="1">
        <v>4</v>
      </c>
      <c r="AX218" s="1">
        <v>4</v>
      </c>
      <c r="AY218" s="1">
        <v>3</v>
      </c>
      <c r="AZ218" s="1">
        <v>4</v>
      </c>
      <c r="BA218" s="1">
        <v>4</v>
      </c>
      <c r="BB218" s="1">
        <v>3</v>
      </c>
      <c r="BC218" s="1">
        <v>3</v>
      </c>
    </row>
    <row r="219" spans="1:55">
      <c r="A219" s="1" t="s">
        <v>392</v>
      </c>
      <c r="B219" s="1" t="s">
        <v>66</v>
      </c>
      <c r="C219" s="1" t="s">
        <v>391</v>
      </c>
      <c r="D219" s="1">
        <v>4</v>
      </c>
      <c r="E219" s="1">
        <v>3</v>
      </c>
      <c r="F219" s="1">
        <v>3</v>
      </c>
      <c r="G219" s="1">
        <v>3</v>
      </c>
      <c r="H219" s="1">
        <v>2</v>
      </c>
      <c r="I219" s="1">
        <v>2</v>
      </c>
      <c r="J219" s="1">
        <v>2</v>
      </c>
      <c r="K219" s="1">
        <v>3</v>
      </c>
      <c r="L219" s="1">
        <v>3</v>
      </c>
      <c r="M219" s="1">
        <v>3</v>
      </c>
      <c r="N219" s="1">
        <v>3</v>
      </c>
      <c r="O219" s="1">
        <v>4</v>
      </c>
      <c r="P219" s="1">
        <v>3</v>
      </c>
      <c r="Q219" s="1">
        <v>4</v>
      </c>
      <c r="R219" s="1">
        <v>3</v>
      </c>
      <c r="S219" s="1">
        <v>3</v>
      </c>
      <c r="T219" s="1">
        <v>4</v>
      </c>
      <c r="U219" s="1">
        <v>2</v>
      </c>
      <c r="V219" s="1">
        <v>2</v>
      </c>
      <c r="W219" s="1">
        <v>3</v>
      </c>
      <c r="X219" s="1">
        <v>3</v>
      </c>
      <c r="Y219" s="1">
        <v>3</v>
      </c>
      <c r="Z219" s="1">
        <v>3</v>
      </c>
      <c r="AA219" s="1">
        <v>3</v>
      </c>
      <c r="AB219" s="1">
        <v>4</v>
      </c>
      <c r="AC219" s="1">
        <v>4</v>
      </c>
      <c r="AD219" s="1">
        <v>4</v>
      </c>
      <c r="AE219" s="1">
        <v>4</v>
      </c>
      <c r="AF219" s="1">
        <v>3</v>
      </c>
      <c r="AG219" s="1">
        <v>3</v>
      </c>
      <c r="AH219" s="1">
        <v>3</v>
      </c>
      <c r="AI219" s="1">
        <v>3</v>
      </c>
      <c r="AJ219" s="1">
        <v>3</v>
      </c>
      <c r="AK219" s="1">
        <v>3</v>
      </c>
      <c r="AL219" s="1">
        <v>4</v>
      </c>
      <c r="AM219" s="1">
        <v>5</v>
      </c>
      <c r="AN219" s="1">
        <v>2</v>
      </c>
      <c r="AO219" s="1">
        <v>4</v>
      </c>
      <c r="AP219" s="1">
        <v>3</v>
      </c>
      <c r="AQ219" s="1">
        <v>5</v>
      </c>
      <c r="AR219" s="1">
        <v>3</v>
      </c>
      <c r="AS219" s="1">
        <v>4</v>
      </c>
      <c r="AT219" s="1">
        <v>4</v>
      </c>
      <c r="AU219" s="1">
        <v>3</v>
      </c>
      <c r="AV219" s="1">
        <v>4</v>
      </c>
      <c r="AW219" s="1">
        <v>3</v>
      </c>
      <c r="AX219" s="1">
        <v>4</v>
      </c>
      <c r="AY219" s="1">
        <v>4</v>
      </c>
      <c r="AZ219" s="1">
        <v>5</v>
      </c>
      <c r="BA219" s="1">
        <v>4</v>
      </c>
      <c r="BB219" s="1">
        <v>4</v>
      </c>
      <c r="BC219" s="1">
        <v>3</v>
      </c>
    </row>
    <row r="220" spans="1:55">
      <c r="A220" s="1" t="s">
        <v>393</v>
      </c>
      <c r="B220" s="1" t="s">
        <v>66</v>
      </c>
      <c r="C220" s="1" t="s">
        <v>394</v>
      </c>
      <c r="D220" s="1">
        <v>2</v>
      </c>
      <c r="E220" s="1">
        <v>3</v>
      </c>
      <c r="F220" s="1">
        <v>3</v>
      </c>
      <c r="G220" s="1">
        <v>4</v>
      </c>
      <c r="H220" s="1">
        <v>1</v>
      </c>
      <c r="I220" s="1">
        <v>3</v>
      </c>
      <c r="J220" s="1">
        <v>3</v>
      </c>
      <c r="K220" s="1">
        <v>2</v>
      </c>
      <c r="L220" s="1">
        <v>3</v>
      </c>
      <c r="M220" s="1">
        <v>2</v>
      </c>
      <c r="N220" s="1">
        <v>2</v>
      </c>
      <c r="O220" s="1">
        <v>2</v>
      </c>
      <c r="P220" s="1">
        <v>2</v>
      </c>
      <c r="Q220" s="1">
        <v>3</v>
      </c>
      <c r="R220" s="1">
        <v>3</v>
      </c>
      <c r="S220" s="1">
        <v>3</v>
      </c>
      <c r="T220" s="1">
        <v>3</v>
      </c>
      <c r="U220" s="1">
        <v>2</v>
      </c>
      <c r="V220" s="1">
        <v>3</v>
      </c>
      <c r="W220" s="1">
        <v>3</v>
      </c>
      <c r="X220" s="1">
        <v>3</v>
      </c>
      <c r="Y220" s="1">
        <v>2</v>
      </c>
      <c r="Z220" s="1">
        <v>3</v>
      </c>
      <c r="AA220" s="1">
        <v>3</v>
      </c>
      <c r="AB220" s="1">
        <v>4</v>
      </c>
      <c r="AC220" s="1">
        <v>3</v>
      </c>
      <c r="AD220" s="1">
        <v>3</v>
      </c>
      <c r="AE220" s="1">
        <v>4</v>
      </c>
      <c r="AF220" s="1">
        <v>3</v>
      </c>
      <c r="AG220" s="1">
        <v>2</v>
      </c>
      <c r="AH220" s="1">
        <v>4</v>
      </c>
      <c r="AI220" s="1">
        <v>3</v>
      </c>
      <c r="AJ220" s="1">
        <v>3</v>
      </c>
      <c r="AK220" s="1">
        <v>3</v>
      </c>
      <c r="AL220" s="1">
        <v>3</v>
      </c>
      <c r="AM220" s="1">
        <v>3</v>
      </c>
      <c r="AN220" s="1">
        <v>2</v>
      </c>
      <c r="AO220" s="1">
        <v>3</v>
      </c>
      <c r="AP220" s="1">
        <v>3</v>
      </c>
      <c r="AQ220" s="1">
        <v>3</v>
      </c>
      <c r="AR220" s="1">
        <v>2</v>
      </c>
      <c r="AS220" s="1">
        <v>4</v>
      </c>
      <c r="AT220" s="1">
        <v>3</v>
      </c>
      <c r="AU220" s="1">
        <v>2</v>
      </c>
      <c r="AV220" s="1">
        <v>3</v>
      </c>
      <c r="AW220" s="1">
        <v>3</v>
      </c>
      <c r="AX220" s="1">
        <v>3</v>
      </c>
      <c r="AY220" s="1">
        <v>2</v>
      </c>
      <c r="AZ220" s="1">
        <v>3</v>
      </c>
      <c r="BA220" s="1">
        <v>4</v>
      </c>
      <c r="BB220" s="1">
        <v>3</v>
      </c>
      <c r="BC220" s="1">
        <v>3</v>
      </c>
    </row>
    <row r="221" spans="1:55">
      <c r="A221" s="1" t="s">
        <v>395</v>
      </c>
      <c r="B221" s="1" t="s">
        <v>66</v>
      </c>
      <c r="C221" s="1" t="s">
        <v>394</v>
      </c>
      <c r="D221" s="1">
        <v>3</v>
      </c>
      <c r="E221" s="1">
        <v>3</v>
      </c>
      <c r="F221" s="1">
        <v>2</v>
      </c>
      <c r="G221" s="1">
        <v>3</v>
      </c>
      <c r="H221" s="1">
        <v>2</v>
      </c>
      <c r="I221" s="1">
        <v>3</v>
      </c>
      <c r="J221" s="1">
        <v>2</v>
      </c>
      <c r="K221" s="1">
        <v>3</v>
      </c>
      <c r="L221" s="1">
        <v>2</v>
      </c>
      <c r="M221" s="1">
        <v>3</v>
      </c>
      <c r="N221" s="1">
        <v>2</v>
      </c>
      <c r="O221" s="1">
        <v>3</v>
      </c>
      <c r="P221" s="1">
        <v>2</v>
      </c>
      <c r="Q221" s="1">
        <v>3</v>
      </c>
      <c r="R221" s="1">
        <v>2</v>
      </c>
      <c r="S221" s="1">
        <v>4</v>
      </c>
      <c r="T221" s="1">
        <v>3</v>
      </c>
      <c r="U221" s="1">
        <v>4</v>
      </c>
      <c r="V221" s="1">
        <v>3</v>
      </c>
      <c r="W221" s="1">
        <v>3</v>
      </c>
      <c r="X221" s="1">
        <v>4</v>
      </c>
      <c r="Y221" s="1">
        <v>3</v>
      </c>
      <c r="Z221" s="1">
        <v>2</v>
      </c>
      <c r="AA221" s="1">
        <v>3</v>
      </c>
      <c r="AB221" s="1">
        <v>3</v>
      </c>
      <c r="AC221" s="1">
        <v>3</v>
      </c>
      <c r="AD221" s="1">
        <v>4</v>
      </c>
      <c r="AE221" s="1">
        <v>3</v>
      </c>
      <c r="AF221" s="1">
        <v>3</v>
      </c>
      <c r="AG221" s="1">
        <v>2</v>
      </c>
      <c r="AH221" s="1">
        <v>3</v>
      </c>
      <c r="AI221" s="1">
        <v>3</v>
      </c>
      <c r="AJ221" s="1">
        <v>2</v>
      </c>
      <c r="AK221" s="1">
        <v>3</v>
      </c>
      <c r="AL221" s="1">
        <v>3</v>
      </c>
      <c r="AM221" s="1">
        <v>3</v>
      </c>
      <c r="AN221" s="1">
        <v>3</v>
      </c>
      <c r="AO221" s="1">
        <v>3</v>
      </c>
      <c r="AP221" s="1">
        <v>2</v>
      </c>
      <c r="AQ221" s="1">
        <v>3</v>
      </c>
      <c r="AR221" s="1">
        <v>4</v>
      </c>
      <c r="AS221" s="1">
        <v>3</v>
      </c>
      <c r="AT221" s="1">
        <v>3</v>
      </c>
      <c r="AU221" s="1">
        <v>3</v>
      </c>
      <c r="AV221" s="1">
        <v>3</v>
      </c>
      <c r="AW221" s="1">
        <v>4</v>
      </c>
      <c r="AX221" s="1">
        <v>4</v>
      </c>
      <c r="AY221" s="1">
        <v>4</v>
      </c>
      <c r="AZ221" s="1">
        <v>2</v>
      </c>
      <c r="BA221" s="1">
        <v>2</v>
      </c>
      <c r="BB221" s="1">
        <v>3</v>
      </c>
      <c r="BC221" s="1">
        <v>3</v>
      </c>
    </row>
    <row r="222" spans="1:55">
      <c r="A222" s="1" t="s">
        <v>396</v>
      </c>
      <c r="B222" s="1" t="s">
        <v>66</v>
      </c>
      <c r="C222" s="1" t="s">
        <v>397</v>
      </c>
      <c r="D222" s="1">
        <v>2</v>
      </c>
      <c r="E222" s="1">
        <v>3</v>
      </c>
      <c r="F222" s="1">
        <v>3</v>
      </c>
      <c r="G222" s="1">
        <v>2</v>
      </c>
      <c r="H222" s="1">
        <v>3</v>
      </c>
      <c r="I222" s="1">
        <v>3</v>
      </c>
      <c r="J222" s="1">
        <v>3</v>
      </c>
      <c r="K222" s="1">
        <v>3</v>
      </c>
      <c r="L222" s="1">
        <v>3</v>
      </c>
      <c r="M222" s="1">
        <v>4</v>
      </c>
      <c r="N222" s="1">
        <v>3</v>
      </c>
      <c r="O222" s="1">
        <v>3</v>
      </c>
      <c r="P222" s="1">
        <v>3</v>
      </c>
      <c r="Q222" s="1">
        <v>3</v>
      </c>
      <c r="R222" s="1">
        <v>3</v>
      </c>
      <c r="S222" s="1">
        <v>3</v>
      </c>
      <c r="T222" s="1">
        <v>3</v>
      </c>
      <c r="U222" s="1">
        <v>2</v>
      </c>
      <c r="V222" s="1">
        <v>2</v>
      </c>
      <c r="W222" s="1">
        <v>2</v>
      </c>
      <c r="X222" s="1">
        <v>2</v>
      </c>
      <c r="Y222" s="1">
        <v>3</v>
      </c>
      <c r="Z222" s="1">
        <v>2</v>
      </c>
      <c r="AA222" s="1">
        <v>3</v>
      </c>
      <c r="AB222" s="1">
        <v>3</v>
      </c>
      <c r="AC222" s="1">
        <v>3</v>
      </c>
      <c r="AD222" s="1">
        <v>3</v>
      </c>
      <c r="AE222" s="1">
        <v>4</v>
      </c>
      <c r="AF222" s="1">
        <v>3</v>
      </c>
      <c r="AG222" s="1">
        <v>2</v>
      </c>
      <c r="AH222" s="1">
        <v>3</v>
      </c>
      <c r="AI222" s="1">
        <v>2</v>
      </c>
      <c r="AJ222" s="1">
        <v>3</v>
      </c>
      <c r="AK222" s="1">
        <v>3</v>
      </c>
      <c r="AL222" s="1">
        <v>3</v>
      </c>
      <c r="AM222" s="1">
        <v>4</v>
      </c>
      <c r="AN222" s="1">
        <v>3</v>
      </c>
      <c r="AO222" s="1">
        <v>3</v>
      </c>
      <c r="AP222" s="1">
        <v>4</v>
      </c>
      <c r="AQ222" s="1">
        <v>4</v>
      </c>
      <c r="AR222" s="1">
        <v>3</v>
      </c>
      <c r="AS222" s="1">
        <v>3</v>
      </c>
      <c r="AT222" s="1">
        <v>4</v>
      </c>
      <c r="AU222" s="1">
        <v>3</v>
      </c>
      <c r="AV222" s="1">
        <v>2</v>
      </c>
      <c r="AW222" s="1">
        <v>3</v>
      </c>
      <c r="AX222" s="1">
        <v>3</v>
      </c>
      <c r="AY222" s="1">
        <v>3</v>
      </c>
      <c r="AZ222" s="1">
        <v>4</v>
      </c>
      <c r="BA222" s="1">
        <v>4</v>
      </c>
      <c r="BB222" s="1">
        <v>3</v>
      </c>
      <c r="BC222" s="1">
        <v>3</v>
      </c>
    </row>
    <row r="223" spans="1:55">
      <c r="A223" s="1" t="s">
        <v>398</v>
      </c>
      <c r="B223" s="1" t="s">
        <v>66</v>
      </c>
      <c r="C223" s="1" t="s">
        <v>397</v>
      </c>
      <c r="D223" s="1">
        <v>4</v>
      </c>
      <c r="E223" s="1">
        <v>3</v>
      </c>
      <c r="F223" s="1">
        <v>3</v>
      </c>
      <c r="G223" s="1">
        <v>3</v>
      </c>
      <c r="H223" s="1">
        <v>4</v>
      </c>
      <c r="I223" s="1">
        <v>3</v>
      </c>
      <c r="J223" s="1">
        <v>3</v>
      </c>
      <c r="K223" s="1">
        <v>2</v>
      </c>
      <c r="L223" s="1">
        <v>3</v>
      </c>
      <c r="M223" s="1">
        <v>1</v>
      </c>
      <c r="N223" s="1">
        <v>4</v>
      </c>
      <c r="O223" s="1">
        <v>3</v>
      </c>
      <c r="P223" s="1">
        <v>3</v>
      </c>
      <c r="Q223" s="1">
        <v>4</v>
      </c>
      <c r="R223" s="1">
        <v>3</v>
      </c>
      <c r="S223" s="1">
        <v>4</v>
      </c>
      <c r="T223" s="1">
        <v>3</v>
      </c>
      <c r="U223" s="1">
        <v>2</v>
      </c>
      <c r="V223" s="1">
        <v>4</v>
      </c>
      <c r="W223" s="1">
        <v>3</v>
      </c>
      <c r="X223" s="1">
        <v>3</v>
      </c>
      <c r="Y223" s="1">
        <v>2</v>
      </c>
      <c r="Z223" s="1">
        <v>3</v>
      </c>
      <c r="AA223" s="1">
        <v>3</v>
      </c>
      <c r="AB223" s="1">
        <v>3</v>
      </c>
      <c r="AC223" s="1">
        <v>2</v>
      </c>
      <c r="AD223" s="1">
        <v>4</v>
      </c>
      <c r="AE223" s="1">
        <v>4</v>
      </c>
      <c r="AF223" s="1">
        <v>3</v>
      </c>
      <c r="AG223" s="1">
        <v>3</v>
      </c>
      <c r="AH223" s="1">
        <v>3</v>
      </c>
      <c r="AI223" s="1">
        <v>4</v>
      </c>
      <c r="AJ223" s="1">
        <v>4</v>
      </c>
      <c r="AK223" s="1">
        <v>3</v>
      </c>
      <c r="AL223" s="1">
        <v>3</v>
      </c>
      <c r="AM223" s="1">
        <v>4</v>
      </c>
      <c r="AN223" s="1">
        <v>5</v>
      </c>
      <c r="AO223" s="1">
        <v>3</v>
      </c>
      <c r="AP223" s="1">
        <v>4</v>
      </c>
      <c r="AQ223" s="1">
        <v>3</v>
      </c>
      <c r="AR223" s="1">
        <v>3</v>
      </c>
      <c r="AS223" s="1">
        <v>4</v>
      </c>
      <c r="AT223" s="1">
        <v>3</v>
      </c>
      <c r="AU223" s="1">
        <v>4</v>
      </c>
      <c r="AV223" s="1">
        <v>5</v>
      </c>
      <c r="AW223" s="1">
        <v>2</v>
      </c>
      <c r="AX223" s="1">
        <v>3</v>
      </c>
      <c r="AY223" s="1">
        <v>4</v>
      </c>
      <c r="AZ223" s="1">
        <v>3</v>
      </c>
      <c r="BA223" s="1">
        <v>3</v>
      </c>
      <c r="BB223" s="1">
        <v>3</v>
      </c>
      <c r="BC223" s="1">
        <v>2</v>
      </c>
    </row>
    <row r="224" spans="1:55">
      <c r="A224" s="1" t="s">
        <v>399</v>
      </c>
      <c r="B224" s="1" t="s">
        <v>66</v>
      </c>
      <c r="C224" s="1" t="s">
        <v>400</v>
      </c>
      <c r="D224" s="1">
        <v>3</v>
      </c>
      <c r="E224" s="1">
        <v>3</v>
      </c>
      <c r="F224" s="1">
        <v>3</v>
      </c>
      <c r="G224" s="1">
        <v>3</v>
      </c>
      <c r="H224" s="1">
        <v>2</v>
      </c>
      <c r="I224" s="1">
        <v>2</v>
      </c>
      <c r="J224" s="1">
        <v>3</v>
      </c>
      <c r="K224" s="1">
        <v>3</v>
      </c>
      <c r="L224" s="1">
        <v>4</v>
      </c>
      <c r="M224" s="1">
        <v>4</v>
      </c>
      <c r="N224" s="1">
        <v>3</v>
      </c>
      <c r="O224" s="1">
        <v>3</v>
      </c>
      <c r="P224" s="1">
        <v>4</v>
      </c>
      <c r="Q224" s="1">
        <v>4</v>
      </c>
      <c r="R224" s="1">
        <v>3</v>
      </c>
      <c r="S224" s="1">
        <v>3</v>
      </c>
      <c r="T224" s="1">
        <v>3</v>
      </c>
      <c r="U224" s="1">
        <v>4</v>
      </c>
      <c r="V224" s="1">
        <v>2</v>
      </c>
      <c r="W224" s="1">
        <v>4</v>
      </c>
      <c r="X224" s="1">
        <v>2</v>
      </c>
      <c r="Y224" s="1">
        <v>2</v>
      </c>
      <c r="Z224" s="1">
        <v>4</v>
      </c>
      <c r="AA224" s="1">
        <v>3</v>
      </c>
      <c r="AB224" s="1">
        <v>3</v>
      </c>
      <c r="AC224" s="1">
        <v>4</v>
      </c>
      <c r="AD224" s="1">
        <v>4</v>
      </c>
      <c r="AE224" s="1">
        <v>3</v>
      </c>
      <c r="AF224" s="1">
        <v>2</v>
      </c>
      <c r="AG224" s="1">
        <v>4</v>
      </c>
      <c r="AH224" s="1">
        <v>3</v>
      </c>
      <c r="AI224" s="1">
        <v>4</v>
      </c>
      <c r="AJ224" s="1">
        <v>2</v>
      </c>
      <c r="AK224" s="1">
        <v>4</v>
      </c>
      <c r="AL224" s="1">
        <v>4</v>
      </c>
      <c r="AM224" s="1">
        <v>3</v>
      </c>
      <c r="AN224" s="1">
        <v>4</v>
      </c>
      <c r="AO224" s="1">
        <v>5</v>
      </c>
      <c r="AP224" s="1">
        <v>4</v>
      </c>
      <c r="AQ224" s="1">
        <v>4</v>
      </c>
      <c r="AR224" s="1">
        <v>4</v>
      </c>
      <c r="AS224" s="1">
        <v>4</v>
      </c>
      <c r="AT224" s="1">
        <v>4</v>
      </c>
      <c r="AU224" s="1">
        <v>4</v>
      </c>
      <c r="AV224" s="1">
        <v>5</v>
      </c>
      <c r="AW224" s="1">
        <v>2</v>
      </c>
      <c r="AX224" s="1">
        <v>2</v>
      </c>
      <c r="AY224" s="1">
        <v>3</v>
      </c>
      <c r="AZ224" s="1">
        <v>4</v>
      </c>
      <c r="BA224" s="1">
        <v>4</v>
      </c>
      <c r="BB224" s="1">
        <v>4</v>
      </c>
      <c r="BC224" s="1">
        <v>2</v>
      </c>
    </row>
    <row r="225" spans="1:55">
      <c r="A225" s="1" t="s">
        <v>401</v>
      </c>
      <c r="B225" s="1" t="s">
        <v>66</v>
      </c>
      <c r="C225" s="1" t="s">
        <v>400</v>
      </c>
      <c r="D225" s="1">
        <v>2</v>
      </c>
      <c r="E225" s="1">
        <v>3</v>
      </c>
      <c r="F225" s="1">
        <v>4</v>
      </c>
      <c r="G225" s="1">
        <v>3</v>
      </c>
      <c r="H225" s="1">
        <v>3</v>
      </c>
      <c r="I225" s="1">
        <v>3</v>
      </c>
      <c r="J225" s="1">
        <v>3</v>
      </c>
      <c r="K225" s="1">
        <v>4</v>
      </c>
      <c r="L225" s="1">
        <v>2</v>
      </c>
      <c r="M225" s="1">
        <v>2</v>
      </c>
      <c r="N225" s="1">
        <v>2</v>
      </c>
      <c r="O225" s="1">
        <v>2</v>
      </c>
      <c r="P225" s="1">
        <v>3</v>
      </c>
      <c r="Q225" s="1">
        <v>3</v>
      </c>
      <c r="R225" s="1">
        <v>3</v>
      </c>
      <c r="S225" s="1">
        <v>2</v>
      </c>
      <c r="T225" s="1">
        <v>3</v>
      </c>
      <c r="U225" s="1">
        <v>3</v>
      </c>
      <c r="V225" s="1">
        <v>2</v>
      </c>
      <c r="W225" s="1">
        <v>2</v>
      </c>
      <c r="X225" s="1">
        <v>2</v>
      </c>
      <c r="Y225" s="1">
        <v>3</v>
      </c>
      <c r="Z225" s="1">
        <v>3</v>
      </c>
      <c r="AA225" s="1">
        <v>3</v>
      </c>
      <c r="AB225" s="1">
        <v>4</v>
      </c>
      <c r="AC225" s="1">
        <v>3</v>
      </c>
      <c r="AD225" s="1">
        <v>4</v>
      </c>
      <c r="AE225" s="1">
        <v>2</v>
      </c>
      <c r="AF225" s="1">
        <v>4</v>
      </c>
      <c r="AG225" s="1">
        <v>4</v>
      </c>
      <c r="AH225" s="1">
        <v>3</v>
      </c>
      <c r="AI225" s="1">
        <v>3</v>
      </c>
      <c r="AJ225" s="1">
        <v>3</v>
      </c>
      <c r="AK225" s="1">
        <v>4</v>
      </c>
      <c r="AL225" s="1">
        <v>3</v>
      </c>
      <c r="AM225" s="1">
        <v>2</v>
      </c>
      <c r="AN225" s="1">
        <v>4</v>
      </c>
      <c r="AO225" s="1">
        <v>4</v>
      </c>
      <c r="AP225" s="1">
        <v>4</v>
      </c>
      <c r="AQ225" s="1">
        <v>4</v>
      </c>
      <c r="AR225" s="1">
        <v>3</v>
      </c>
      <c r="AS225" s="1">
        <v>2</v>
      </c>
      <c r="AT225" s="1">
        <v>3</v>
      </c>
      <c r="AU225" s="1">
        <v>2</v>
      </c>
      <c r="AV225" s="1">
        <v>5</v>
      </c>
      <c r="AW225" s="1">
        <v>3</v>
      </c>
      <c r="AX225" s="1">
        <v>4</v>
      </c>
      <c r="AY225" s="1">
        <v>4</v>
      </c>
      <c r="AZ225" s="1">
        <v>3</v>
      </c>
      <c r="BA225" s="1">
        <v>2</v>
      </c>
      <c r="BB225" s="1">
        <v>2</v>
      </c>
      <c r="BC225" s="1">
        <v>2</v>
      </c>
    </row>
    <row r="226" spans="1:55">
      <c r="A226" s="1" t="s">
        <v>402</v>
      </c>
      <c r="B226" s="1" t="s">
        <v>66</v>
      </c>
      <c r="C226" s="1" t="s">
        <v>403</v>
      </c>
      <c r="D226" s="1">
        <v>4</v>
      </c>
      <c r="E226" s="1">
        <v>4</v>
      </c>
      <c r="F226" s="1">
        <v>2</v>
      </c>
      <c r="G226" s="1">
        <v>2</v>
      </c>
      <c r="H226" s="1">
        <v>4</v>
      </c>
      <c r="I226" s="1">
        <v>4</v>
      </c>
      <c r="J226" s="1">
        <v>4</v>
      </c>
      <c r="K226" s="1">
        <v>2</v>
      </c>
      <c r="L226" s="1">
        <v>3</v>
      </c>
      <c r="M226" s="1">
        <v>2</v>
      </c>
      <c r="N226" s="1">
        <v>3</v>
      </c>
      <c r="O226" s="1">
        <v>4</v>
      </c>
      <c r="P226" s="1">
        <v>4</v>
      </c>
      <c r="Q226" s="1">
        <v>4</v>
      </c>
      <c r="R226" s="1">
        <v>4</v>
      </c>
      <c r="S226" s="1">
        <v>4</v>
      </c>
      <c r="T226" s="1">
        <v>3</v>
      </c>
      <c r="U226" s="1">
        <v>4</v>
      </c>
      <c r="V226" s="1">
        <v>4</v>
      </c>
      <c r="W226" s="1">
        <v>3</v>
      </c>
      <c r="X226" s="1">
        <v>4</v>
      </c>
      <c r="Y226" s="1">
        <v>4</v>
      </c>
      <c r="Z226" s="1">
        <v>3</v>
      </c>
      <c r="AA226" s="1">
        <v>3</v>
      </c>
      <c r="AB226" s="1">
        <v>3</v>
      </c>
      <c r="AC226" s="1">
        <v>3</v>
      </c>
      <c r="AD226" s="1">
        <v>4</v>
      </c>
      <c r="AE226" s="1">
        <v>4</v>
      </c>
      <c r="AF226" s="1">
        <v>2</v>
      </c>
      <c r="AG226" s="1">
        <v>2</v>
      </c>
      <c r="AH226" s="1">
        <v>4</v>
      </c>
      <c r="AI226" s="1">
        <v>3</v>
      </c>
      <c r="AJ226" s="1">
        <v>4</v>
      </c>
      <c r="AK226" s="1">
        <v>4</v>
      </c>
      <c r="AL226" s="1">
        <v>5</v>
      </c>
      <c r="AM226" s="1">
        <v>4</v>
      </c>
      <c r="AN226" s="1">
        <v>3</v>
      </c>
      <c r="AO226" s="1">
        <v>4</v>
      </c>
      <c r="AP226" s="1">
        <v>3</v>
      </c>
      <c r="AQ226" s="1">
        <v>4</v>
      </c>
      <c r="AR226" s="1">
        <v>3</v>
      </c>
      <c r="AS226" s="1">
        <v>4</v>
      </c>
      <c r="AT226" s="1">
        <v>4</v>
      </c>
      <c r="AU226" s="1">
        <v>4</v>
      </c>
      <c r="AV226" s="1">
        <v>4</v>
      </c>
      <c r="AW226" s="1">
        <v>4</v>
      </c>
      <c r="AX226" s="1">
        <v>4</v>
      </c>
      <c r="AY226" s="1">
        <v>3</v>
      </c>
      <c r="AZ226" s="1">
        <v>3</v>
      </c>
      <c r="BA226" s="1">
        <v>4</v>
      </c>
      <c r="BB226" s="1">
        <v>4</v>
      </c>
      <c r="BC226" s="1">
        <v>2</v>
      </c>
    </row>
    <row r="227" spans="1:55">
      <c r="A227" s="1" t="s">
        <v>404</v>
      </c>
      <c r="B227" s="1" t="s">
        <v>66</v>
      </c>
      <c r="C227" s="1" t="s">
        <v>403</v>
      </c>
      <c r="D227" s="1">
        <v>3</v>
      </c>
      <c r="E227" s="1">
        <v>3</v>
      </c>
      <c r="F227" s="1">
        <v>3</v>
      </c>
      <c r="G227" s="1">
        <v>2</v>
      </c>
      <c r="H227" s="1">
        <v>3</v>
      </c>
      <c r="I227" s="1">
        <v>2</v>
      </c>
      <c r="J227" s="1">
        <v>3</v>
      </c>
      <c r="K227" s="1">
        <v>4</v>
      </c>
      <c r="L227" s="1">
        <v>5</v>
      </c>
      <c r="M227" s="1">
        <v>4</v>
      </c>
      <c r="N227" s="1">
        <v>4</v>
      </c>
      <c r="O227" s="1">
        <v>4</v>
      </c>
      <c r="P227" s="1">
        <v>4</v>
      </c>
      <c r="Q227" s="1">
        <v>4</v>
      </c>
      <c r="R227" s="1">
        <v>4</v>
      </c>
      <c r="S227" s="1">
        <v>4</v>
      </c>
      <c r="T227" s="1">
        <v>3</v>
      </c>
      <c r="U227" s="1">
        <v>3</v>
      </c>
      <c r="V227" s="1">
        <v>3</v>
      </c>
      <c r="W227" s="1">
        <v>2</v>
      </c>
      <c r="X227" s="1">
        <v>3</v>
      </c>
      <c r="Y227" s="1">
        <v>3</v>
      </c>
      <c r="Z227" s="1">
        <v>3</v>
      </c>
      <c r="AA227" s="1">
        <v>4</v>
      </c>
      <c r="AB227" s="1">
        <v>4</v>
      </c>
      <c r="AC227" s="1">
        <v>3</v>
      </c>
      <c r="AD227" s="1">
        <v>3</v>
      </c>
      <c r="AE227" s="1">
        <v>3</v>
      </c>
      <c r="AF227" s="1">
        <v>2</v>
      </c>
      <c r="AG227" s="1">
        <v>3</v>
      </c>
      <c r="AH227" s="1">
        <v>3</v>
      </c>
      <c r="AI227" s="1">
        <v>4</v>
      </c>
      <c r="AJ227" s="1">
        <v>3</v>
      </c>
      <c r="AK227" s="1">
        <v>5</v>
      </c>
      <c r="AL227" s="1">
        <v>4</v>
      </c>
      <c r="AM227" s="1">
        <v>2</v>
      </c>
      <c r="AN227" s="1">
        <v>3</v>
      </c>
      <c r="AO227" s="1">
        <v>5</v>
      </c>
      <c r="AP227" s="1">
        <v>4</v>
      </c>
      <c r="AQ227" s="1">
        <v>5</v>
      </c>
      <c r="AR227" s="1">
        <v>4</v>
      </c>
      <c r="AS227" s="1">
        <v>3</v>
      </c>
      <c r="AT227" s="1">
        <v>4</v>
      </c>
      <c r="AU227" s="1">
        <v>4</v>
      </c>
      <c r="AV227" s="1">
        <v>3</v>
      </c>
      <c r="AW227" s="1">
        <v>3</v>
      </c>
      <c r="AX227" s="1">
        <v>3</v>
      </c>
      <c r="AY227" s="1">
        <v>3</v>
      </c>
      <c r="AZ227" s="1">
        <v>4</v>
      </c>
      <c r="BA227" s="1">
        <v>4</v>
      </c>
      <c r="BB227" s="1">
        <v>4</v>
      </c>
      <c r="BC227" s="1">
        <v>2</v>
      </c>
    </row>
    <row r="228" spans="1:55">
      <c r="A228" s="1" t="s">
        <v>405</v>
      </c>
      <c r="B228" s="1" t="s">
        <v>66</v>
      </c>
      <c r="C228" s="1" t="s">
        <v>406</v>
      </c>
      <c r="D228" s="1">
        <v>4</v>
      </c>
      <c r="E228" s="1">
        <v>4</v>
      </c>
      <c r="F228" s="1">
        <v>2</v>
      </c>
      <c r="G228" s="1">
        <v>2</v>
      </c>
      <c r="H228" s="1">
        <v>3</v>
      </c>
      <c r="I228" s="1">
        <v>4</v>
      </c>
      <c r="J228" s="1">
        <v>3</v>
      </c>
      <c r="K228" s="1">
        <v>3</v>
      </c>
      <c r="L228" s="1">
        <v>2</v>
      </c>
      <c r="M228" s="1">
        <v>5</v>
      </c>
      <c r="N228" s="1">
        <v>4</v>
      </c>
      <c r="O228" s="1">
        <v>2</v>
      </c>
      <c r="P228" s="1">
        <v>2</v>
      </c>
      <c r="Q228" s="1">
        <v>2</v>
      </c>
      <c r="R228" s="1">
        <v>4</v>
      </c>
      <c r="S228" s="1">
        <v>4</v>
      </c>
      <c r="T228" s="1">
        <v>4</v>
      </c>
      <c r="U228" s="1">
        <v>4</v>
      </c>
      <c r="V228" s="1">
        <v>3</v>
      </c>
      <c r="W228" s="1">
        <v>3</v>
      </c>
      <c r="X228" s="1">
        <v>4</v>
      </c>
      <c r="Y228" s="1">
        <v>3</v>
      </c>
      <c r="Z228" s="1">
        <v>3</v>
      </c>
      <c r="AA228" s="1">
        <v>3</v>
      </c>
      <c r="AB228" s="1">
        <v>3</v>
      </c>
      <c r="AC228" s="1">
        <v>3</v>
      </c>
      <c r="AD228" s="1">
        <v>4</v>
      </c>
      <c r="AE228" s="1">
        <v>3</v>
      </c>
      <c r="AF228" s="1">
        <v>2</v>
      </c>
      <c r="AG228" s="1">
        <v>1</v>
      </c>
      <c r="AH228" s="1">
        <v>4</v>
      </c>
      <c r="AI228" s="1">
        <v>4</v>
      </c>
      <c r="AJ228" s="1">
        <v>4</v>
      </c>
      <c r="AK228" s="1">
        <v>4</v>
      </c>
      <c r="AL228" s="1">
        <v>4</v>
      </c>
      <c r="AM228" s="1">
        <v>4</v>
      </c>
      <c r="AN228" s="1">
        <v>3</v>
      </c>
      <c r="AO228" s="1">
        <v>4</v>
      </c>
      <c r="AP228" s="1">
        <v>3</v>
      </c>
      <c r="AQ228" s="1">
        <v>2</v>
      </c>
      <c r="AR228" s="1">
        <v>5</v>
      </c>
      <c r="AS228" s="1">
        <v>5</v>
      </c>
      <c r="AT228" s="1">
        <v>4</v>
      </c>
      <c r="AU228" s="1">
        <v>4</v>
      </c>
      <c r="AV228" s="1">
        <v>4</v>
      </c>
      <c r="AW228" s="1">
        <v>4</v>
      </c>
      <c r="AX228" s="1">
        <v>4</v>
      </c>
      <c r="AY228" s="1">
        <v>4</v>
      </c>
      <c r="AZ228" s="1">
        <v>4</v>
      </c>
      <c r="BA228" s="1">
        <v>3</v>
      </c>
      <c r="BB228" s="1">
        <v>4</v>
      </c>
      <c r="BC228" s="1">
        <v>1</v>
      </c>
    </row>
    <row r="229" spans="1:55">
      <c r="A229" s="1" t="s">
        <v>407</v>
      </c>
      <c r="B229" s="1" t="s">
        <v>66</v>
      </c>
      <c r="C229" s="1" t="s">
        <v>406</v>
      </c>
      <c r="D229" s="1">
        <v>4</v>
      </c>
      <c r="E229" s="1">
        <v>3</v>
      </c>
      <c r="F229" s="1">
        <v>3</v>
      </c>
      <c r="G229" s="1">
        <v>3</v>
      </c>
      <c r="H229" s="1">
        <v>2</v>
      </c>
      <c r="I229" s="1">
        <v>3</v>
      </c>
      <c r="J229" s="1">
        <v>3</v>
      </c>
      <c r="K229" s="1">
        <v>3</v>
      </c>
      <c r="L229" s="1">
        <v>4</v>
      </c>
      <c r="M229" s="1">
        <v>3</v>
      </c>
      <c r="N229" s="1">
        <v>3</v>
      </c>
      <c r="O229" s="1">
        <v>3</v>
      </c>
      <c r="P229" s="1">
        <v>2</v>
      </c>
      <c r="Q229" s="1">
        <v>4</v>
      </c>
      <c r="R229" s="1">
        <v>4</v>
      </c>
      <c r="S229" s="1">
        <v>4</v>
      </c>
      <c r="T229" s="1">
        <v>3</v>
      </c>
      <c r="U229" s="1">
        <v>4</v>
      </c>
      <c r="V229" s="1">
        <v>3</v>
      </c>
      <c r="W229" s="1">
        <v>4</v>
      </c>
      <c r="X229" s="1">
        <v>3</v>
      </c>
      <c r="Y229" s="1">
        <v>3</v>
      </c>
      <c r="Z229" s="1">
        <v>3</v>
      </c>
      <c r="AA229" s="1">
        <v>4</v>
      </c>
      <c r="AB229" s="1">
        <v>4</v>
      </c>
      <c r="AC229" s="1">
        <v>4</v>
      </c>
      <c r="AD229" s="1">
        <v>4</v>
      </c>
      <c r="AE229" s="1">
        <v>3</v>
      </c>
      <c r="AF229" s="1">
        <v>3</v>
      </c>
      <c r="AG229" s="1">
        <v>2</v>
      </c>
      <c r="AH229" s="1">
        <v>4</v>
      </c>
      <c r="AI229" s="1">
        <v>3</v>
      </c>
      <c r="AJ229" s="1">
        <v>4</v>
      </c>
      <c r="AK229" s="1">
        <v>4</v>
      </c>
      <c r="AL229" s="1">
        <v>4</v>
      </c>
      <c r="AM229" s="1">
        <v>3</v>
      </c>
      <c r="AN229" s="1">
        <v>3</v>
      </c>
      <c r="AO229" s="1">
        <v>4</v>
      </c>
      <c r="AP229" s="1">
        <v>4</v>
      </c>
      <c r="AQ229" s="1">
        <v>3</v>
      </c>
      <c r="AR229" s="1">
        <v>4</v>
      </c>
      <c r="AS229" s="1">
        <v>3</v>
      </c>
      <c r="AT229" s="1">
        <v>4</v>
      </c>
      <c r="AU229" s="1">
        <v>4</v>
      </c>
      <c r="AV229" s="1">
        <v>4</v>
      </c>
      <c r="AW229" s="1">
        <v>5</v>
      </c>
      <c r="AX229" s="1">
        <v>4</v>
      </c>
      <c r="AY229" s="1">
        <v>4</v>
      </c>
      <c r="AZ229" s="1">
        <v>4</v>
      </c>
      <c r="BA229" s="1">
        <v>3</v>
      </c>
      <c r="BB229" s="1">
        <v>5</v>
      </c>
      <c r="BC229" s="1">
        <v>2</v>
      </c>
    </row>
    <row r="230" spans="1:55">
      <c r="A230" s="1" t="s">
        <v>408</v>
      </c>
      <c r="B230" s="1" t="s">
        <v>66</v>
      </c>
      <c r="C230" s="1" t="s">
        <v>409</v>
      </c>
      <c r="D230" s="1">
        <v>4</v>
      </c>
      <c r="E230" s="1">
        <v>4</v>
      </c>
      <c r="F230" s="1">
        <v>2</v>
      </c>
      <c r="G230" s="1">
        <v>2</v>
      </c>
      <c r="H230" s="1">
        <v>4</v>
      </c>
      <c r="I230" s="1">
        <v>5</v>
      </c>
      <c r="J230" s="1">
        <v>4</v>
      </c>
      <c r="K230" s="1">
        <v>4</v>
      </c>
      <c r="L230" s="1">
        <v>4</v>
      </c>
      <c r="M230" s="1">
        <v>3</v>
      </c>
      <c r="N230" s="1">
        <v>3</v>
      </c>
      <c r="O230" s="1">
        <v>5</v>
      </c>
      <c r="P230" s="1">
        <v>4</v>
      </c>
      <c r="Q230" s="1">
        <v>4</v>
      </c>
      <c r="R230" s="1">
        <v>2</v>
      </c>
      <c r="S230" s="1">
        <v>4</v>
      </c>
      <c r="T230" s="1">
        <v>3</v>
      </c>
      <c r="U230" s="1">
        <v>4</v>
      </c>
      <c r="V230" s="1">
        <v>4</v>
      </c>
      <c r="W230" s="1">
        <v>2</v>
      </c>
      <c r="X230" s="1">
        <v>2</v>
      </c>
      <c r="Y230" s="1">
        <v>3</v>
      </c>
      <c r="Z230" s="1">
        <v>4</v>
      </c>
      <c r="AA230" s="1">
        <v>3</v>
      </c>
      <c r="AB230" s="1">
        <v>4</v>
      </c>
      <c r="AC230" s="1">
        <v>3</v>
      </c>
      <c r="AD230" s="1">
        <v>4</v>
      </c>
      <c r="AE230" s="1">
        <v>4</v>
      </c>
      <c r="AF230" s="1">
        <v>2</v>
      </c>
      <c r="AG230" s="1">
        <v>2</v>
      </c>
      <c r="AH230" s="1">
        <v>5</v>
      </c>
      <c r="AI230" s="1">
        <v>5</v>
      </c>
      <c r="AJ230" s="1">
        <v>5</v>
      </c>
      <c r="AK230" s="1">
        <v>3</v>
      </c>
      <c r="AL230" s="1">
        <v>5</v>
      </c>
      <c r="AM230" s="1">
        <v>3</v>
      </c>
      <c r="AN230" s="1">
        <v>5</v>
      </c>
      <c r="AO230" s="1">
        <v>4</v>
      </c>
      <c r="AP230" s="1">
        <v>5</v>
      </c>
      <c r="AQ230" s="1">
        <v>5</v>
      </c>
      <c r="AR230" s="1">
        <v>4</v>
      </c>
      <c r="AS230" s="1">
        <v>3</v>
      </c>
      <c r="AT230" s="1">
        <v>3</v>
      </c>
      <c r="AU230" s="1">
        <v>4</v>
      </c>
      <c r="AV230" s="1">
        <v>4</v>
      </c>
      <c r="AW230" s="1">
        <v>3</v>
      </c>
      <c r="AX230" s="1">
        <v>3</v>
      </c>
      <c r="AY230" s="1">
        <v>2</v>
      </c>
      <c r="AZ230" s="1">
        <v>4</v>
      </c>
      <c r="BA230" s="1">
        <v>4</v>
      </c>
      <c r="BB230" s="1">
        <v>4</v>
      </c>
      <c r="BC230" s="1">
        <v>2</v>
      </c>
    </row>
    <row r="231" spans="1:55">
      <c r="A231" s="1" t="s">
        <v>410</v>
      </c>
      <c r="B231" s="1" t="s">
        <v>66</v>
      </c>
      <c r="C231" s="1" t="s">
        <v>409</v>
      </c>
      <c r="D231" s="1">
        <v>3</v>
      </c>
      <c r="E231" s="1">
        <v>4</v>
      </c>
      <c r="F231" s="1">
        <v>2</v>
      </c>
      <c r="G231" s="1">
        <v>3</v>
      </c>
      <c r="H231" s="1">
        <v>2</v>
      </c>
      <c r="I231" s="1">
        <v>2</v>
      </c>
      <c r="J231" s="1">
        <v>2</v>
      </c>
      <c r="K231" s="1">
        <v>3</v>
      </c>
      <c r="L231" s="1">
        <v>4</v>
      </c>
      <c r="M231" s="1">
        <v>3</v>
      </c>
      <c r="N231" s="1">
        <v>2</v>
      </c>
      <c r="O231" s="1">
        <v>2</v>
      </c>
      <c r="P231" s="1">
        <v>3</v>
      </c>
      <c r="Q231" s="1">
        <v>3</v>
      </c>
      <c r="R231" s="1">
        <v>3</v>
      </c>
      <c r="S231" s="1">
        <v>4</v>
      </c>
      <c r="T231" s="1">
        <v>3</v>
      </c>
      <c r="U231" s="1">
        <v>3</v>
      </c>
      <c r="V231" s="1">
        <v>1</v>
      </c>
      <c r="W231" s="1">
        <v>2</v>
      </c>
      <c r="X231" s="1">
        <v>2</v>
      </c>
      <c r="Y231" s="1">
        <v>1</v>
      </c>
      <c r="Z231" s="1">
        <v>4</v>
      </c>
      <c r="AA231" s="1">
        <v>3</v>
      </c>
      <c r="AB231" s="1">
        <v>3</v>
      </c>
      <c r="AC231" s="1">
        <v>4</v>
      </c>
      <c r="AD231" s="1">
        <v>4</v>
      </c>
      <c r="AE231" s="1">
        <v>3</v>
      </c>
      <c r="AF231" s="1">
        <v>3</v>
      </c>
      <c r="AG231" s="1">
        <v>4</v>
      </c>
      <c r="AH231" s="1">
        <v>3</v>
      </c>
      <c r="AI231" s="1">
        <v>3</v>
      </c>
      <c r="AJ231" s="1">
        <v>2</v>
      </c>
      <c r="AK231" s="1">
        <v>4</v>
      </c>
      <c r="AL231" s="1">
        <v>5</v>
      </c>
      <c r="AM231" s="1">
        <v>3</v>
      </c>
      <c r="AN231" s="1">
        <v>3</v>
      </c>
      <c r="AO231" s="1">
        <v>4</v>
      </c>
      <c r="AP231" s="1">
        <v>4</v>
      </c>
      <c r="AQ231" s="1">
        <v>4</v>
      </c>
      <c r="AR231" s="1">
        <v>4</v>
      </c>
      <c r="AS231" s="1">
        <v>2</v>
      </c>
      <c r="AT231" s="1">
        <v>4</v>
      </c>
      <c r="AU231" s="1">
        <v>3</v>
      </c>
      <c r="AV231" s="1">
        <v>3</v>
      </c>
      <c r="AW231" s="1">
        <v>3</v>
      </c>
      <c r="AX231" s="1">
        <v>3</v>
      </c>
      <c r="AY231" s="1">
        <v>4</v>
      </c>
      <c r="AZ231" s="1">
        <v>4</v>
      </c>
      <c r="BA231" s="1">
        <v>4</v>
      </c>
      <c r="BB231" s="1">
        <v>4</v>
      </c>
      <c r="BC231" s="1">
        <v>5</v>
      </c>
    </row>
    <row r="232" spans="1:55">
      <c r="A232" s="1" t="s">
        <v>411</v>
      </c>
      <c r="B232" s="1" t="s">
        <v>66</v>
      </c>
      <c r="C232" s="1" t="s">
        <v>412</v>
      </c>
      <c r="D232" s="1">
        <v>4</v>
      </c>
      <c r="E232" s="1">
        <v>3</v>
      </c>
      <c r="F232" s="1">
        <v>3</v>
      </c>
      <c r="G232" s="1">
        <v>3</v>
      </c>
      <c r="H232" s="1">
        <v>2</v>
      </c>
      <c r="I232" s="1">
        <v>3</v>
      </c>
      <c r="J232" s="1">
        <v>2</v>
      </c>
      <c r="K232" s="1">
        <v>4</v>
      </c>
      <c r="L232" s="1">
        <v>4</v>
      </c>
      <c r="M232" s="1">
        <v>3</v>
      </c>
      <c r="N232" s="1">
        <v>3</v>
      </c>
      <c r="O232" s="1">
        <v>3</v>
      </c>
      <c r="P232" s="1">
        <v>4</v>
      </c>
      <c r="Q232" s="1">
        <v>4</v>
      </c>
      <c r="R232" s="1">
        <v>2</v>
      </c>
      <c r="S232" s="1">
        <v>3</v>
      </c>
      <c r="T232" s="1">
        <v>2</v>
      </c>
      <c r="U232" s="1">
        <v>3</v>
      </c>
      <c r="V232" s="1">
        <v>2</v>
      </c>
      <c r="W232" s="1">
        <v>2</v>
      </c>
      <c r="X232" s="1">
        <v>3</v>
      </c>
      <c r="Y232" s="1">
        <v>2</v>
      </c>
      <c r="Z232" s="1">
        <v>3</v>
      </c>
      <c r="AA232" s="1">
        <v>3</v>
      </c>
      <c r="AB232" s="1">
        <v>3</v>
      </c>
      <c r="AC232" s="1">
        <v>4</v>
      </c>
      <c r="AD232" s="1">
        <v>2</v>
      </c>
      <c r="AE232" s="1">
        <v>3</v>
      </c>
      <c r="AF232" s="1">
        <v>3</v>
      </c>
      <c r="AG232" s="1">
        <v>3</v>
      </c>
      <c r="AH232" s="1">
        <v>2</v>
      </c>
      <c r="AI232" s="1">
        <v>2</v>
      </c>
      <c r="AJ232" s="1">
        <v>3</v>
      </c>
      <c r="AK232" s="1">
        <v>4</v>
      </c>
      <c r="AL232" s="1">
        <v>4</v>
      </c>
      <c r="AM232" s="1">
        <v>3</v>
      </c>
      <c r="AN232" s="1">
        <v>2</v>
      </c>
      <c r="AO232" s="1">
        <v>4</v>
      </c>
      <c r="AP232" s="1">
        <v>3</v>
      </c>
      <c r="AQ232" s="1">
        <v>3</v>
      </c>
      <c r="AR232" s="1">
        <v>2</v>
      </c>
      <c r="AS232" s="1">
        <v>4</v>
      </c>
      <c r="AT232" s="1">
        <v>3</v>
      </c>
      <c r="AU232" s="1">
        <v>2</v>
      </c>
      <c r="AV232" s="1">
        <v>3</v>
      </c>
      <c r="AW232" s="1">
        <v>3</v>
      </c>
      <c r="AX232" s="1">
        <v>4</v>
      </c>
      <c r="AY232" s="1">
        <v>3</v>
      </c>
      <c r="AZ232" s="1">
        <v>5</v>
      </c>
      <c r="BA232" s="1">
        <v>5</v>
      </c>
      <c r="BB232" s="1">
        <v>4</v>
      </c>
      <c r="BC232" s="1">
        <v>4</v>
      </c>
    </row>
    <row r="233" spans="1:55">
      <c r="A233" s="1" t="s">
        <v>413</v>
      </c>
      <c r="B233" s="1" t="s">
        <v>66</v>
      </c>
      <c r="C233" s="1" t="s">
        <v>412</v>
      </c>
      <c r="D233" s="1">
        <v>3</v>
      </c>
      <c r="E233" s="1">
        <v>3</v>
      </c>
      <c r="F233" s="1">
        <v>3</v>
      </c>
      <c r="G233" s="1">
        <v>2</v>
      </c>
      <c r="H233" s="1">
        <v>4</v>
      </c>
      <c r="I233" s="1">
        <v>4</v>
      </c>
      <c r="J233" s="1">
        <v>3</v>
      </c>
      <c r="K233" s="1">
        <v>3</v>
      </c>
      <c r="L233" s="1">
        <v>3</v>
      </c>
      <c r="M233" s="1">
        <v>4</v>
      </c>
      <c r="N233" s="1">
        <v>3</v>
      </c>
      <c r="O233" s="1">
        <v>3</v>
      </c>
      <c r="P233" s="1">
        <v>4</v>
      </c>
      <c r="Q233" s="1">
        <v>2</v>
      </c>
      <c r="R233" s="1">
        <v>4</v>
      </c>
      <c r="S233" s="1">
        <v>4</v>
      </c>
      <c r="T233" s="1">
        <v>3</v>
      </c>
      <c r="U233" s="1">
        <v>4</v>
      </c>
      <c r="V233" s="1">
        <v>3</v>
      </c>
      <c r="W233" s="1">
        <v>2</v>
      </c>
      <c r="X233" s="1">
        <v>3</v>
      </c>
      <c r="Y233" s="1">
        <v>3</v>
      </c>
      <c r="Z233" s="1">
        <v>3</v>
      </c>
      <c r="AA233" s="1">
        <v>2</v>
      </c>
      <c r="AB233" s="1">
        <v>3</v>
      </c>
      <c r="AC233" s="1">
        <v>2</v>
      </c>
      <c r="AD233" s="1">
        <v>4</v>
      </c>
      <c r="AE233" s="1">
        <v>4</v>
      </c>
      <c r="AF233" s="1">
        <v>3</v>
      </c>
      <c r="AG233" s="1">
        <v>1</v>
      </c>
      <c r="AH233" s="1">
        <v>4</v>
      </c>
      <c r="AI233" s="1">
        <v>3</v>
      </c>
      <c r="AJ233" s="1">
        <v>4</v>
      </c>
      <c r="AK233" s="1">
        <v>3</v>
      </c>
      <c r="AL233" s="1">
        <v>3</v>
      </c>
      <c r="AM233" s="1">
        <v>4</v>
      </c>
      <c r="AN233" s="1">
        <v>3</v>
      </c>
      <c r="AO233" s="1">
        <v>4</v>
      </c>
      <c r="AP233" s="1">
        <v>3</v>
      </c>
      <c r="AQ233" s="1">
        <v>2</v>
      </c>
      <c r="AR233" s="1">
        <v>4</v>
      </c>
      <c r="AS233" s="1">
        <v>4</v>
      </c>
      <c r="AT233" s="1">
        <v>4</v>
      </c>
      <c r="AU233" s="1">
        <v>4</v>
      </c>
      <c r="AV233" s="1">
        <v>4</v>
      </c>
      <c r="AW233" s="1">
        <v>3</v>
      </c>
      <c r="AX233" s="1">
        <v>4</v>
      </c>
      <c r="AY233" s="1">
        <v>3</v>
      </c>
      <c r="AZ233" s="1">
        <v>3</v>
      </c>
      <c r="BA233" s="1">
        <v>3</v>
      </c>
      <c r="BB233" s="1">
        <v>3</v>
      </c>
      <c r="BC233" s="1">
        <v>3</v>
      </c>
    </row>
    <row r="234" spans="1:55">
      <c r="A234" s="1" t="s">
        <v>414</v>
      </c>
      <c r="B234" s="1" t="s">
        <v>66</v>
      </c>
      <c r="C234" s="1" t="s">
        <v>415</v>
      </c>
      <c r="D234" s="1">
        <v>3</v>
      </c>
      <c r="E234" s="1">
        <v>5</v>
      </c>
      <c r="F234" s="1">
        <v>2</v>
      </c>
      <c r="G234" s="1">
        <v>2</v>
      </c>
      <c r="H234" s="1">
        <v>3</v>
      </c>
      <c r="I234" s="1">
        <v>4</v>
      </c>
      <c r="J234" s="1">
        <v>4</v>
      </c>
      <c r="K234" s="1">
        <v>3</v>
      </c>
      <c r="L234" s="1">
        <v>2</v>
      </c>
      <c r="M234" s="1">
        <v>5</v>
      </c>
      <c r="N234" s="1">
        <v>4</v>
      </c>
      <c r="O234" s="1">
        <v>3</v>
      </c>
      <c r="P234" s="1">
        <v>3</v>
      </c>
      <c r="Q234" s="1">
        <v>3</v>
      </c>
      <c r="R234" s="1">
        <v>3</v>
      </c>
      <c r="S234" s="1">
        <v>2</v>
      </c>
      <c r="T234" s="1">
        <v>4</v>
      </c>
      <c r="U234" s="1">
        <v>3</v>
      </c>
      <c r="V234" s="1">
        <v>4</v>
      </c>
      <c r="W234" s="1">
        <v>4</v>
      </c>
      <c r="X234" s="1">
        <v>3</v>
      </c>
      <c r="Y234" s="1">
        <v>3</v>
      </c>
      <c r="Z234" s="1">
        <v>4</v>
      </c>
      <c r="AA234" s="1">
        <v>3</v>
      </c>
      <c r="AB234" s="1">
        <v>3</v>
      </c>
      <c r="AC234" s="1">
        <v>2</v>
      </c>
      <c r="AD234" s="1">
        <v>4</v>
      </c>
      <c r="AE234" s="1">
        <v>4</v>
      </c>
      <c r="AF234" s="1">
        <v>2</v>
      </c>
      <c r="AG234" s="1">
        <v>2</v>
      </c>
      <c r="AH234" s="1">
        <v>4</v>
      </c>
      <c r="AI234" s="1">
        <v>3</v>
      </c>
      <c r="AJ234" s="1">
        <v>4</v>
      </c>
      <c r="AK234" s="1">
        <v>4</v>
      </c>
      <c r="AL234" s="1">
        <v>4</v>
      </c>
      <c r="AM234" s="1">
        <v>4</v>
      </c>
      <c r="AN234" s="1">
        <v>4</v>
      </c>
      <c r="AO234" s="1">
        <v>3</v>
      </c>
      <c r="AP234" s="1">
        <v>4</v>
      </c>
      <c r="AQ234" s="1">
        <v>4</v>
      </c>
      <c r="AR234" s="1">
        <v>4</v>
      </c>
      <c r="AS234" s="1">
        <v>4</v>
      </c>
      <c r="AT234" s="1">
        <v>5</v>
      </c>
      <c r="AU234" s="1">
        <v>4</v>
      </c>
      <c r="AV234" s="1">
        <v>5</v>
      </c>
      <c r="AW234" s="1">
        <v>5</v>
      </c>
      <c r="AX234" s="1">
        <v>4</v>
      </c>
      <c r="AY234" s="1">
        <v>4</v>
      </c>
      <c r="AZ234" s="1">
        <v>3</v>
      </c>
      <c r="BA234" s="1">
        <v>4</v>
      </c>
      <c r="BB234" s="1">
        <v>3</v>
      </c>
      <c r="BC234" s="1">
        <v>2</v>
      </c>
    </row>
    <row r="235" spans="1:55">
      <c r="A235" s="1" t="s">
        <v>416</v>
      </c>
      <c r="B235" s="1" t="s">
        <v>66</v>
      </c>
      <c r="C235" s="1" t="s">
        <v>415</v>
      </c>
      <c r="D235" s="1">
        <v>3</v>
      </c>
      <c r="E235" s="1">
        <v>3</v>
      </c>
      <c r="F235" s="1">
        <v>3</v>
      </c>
      <c r="G235" s="1">
        <v>2</v>
      </c>
      <c r="H235" s="1">
        <v>3</v>
      </c>
      <c r="I235" s="1">
        <v>3</v>
      </c>
      <c r="J235" s="1">
        <v>4</v>
      </c>
      <c r="K235" s="1">
        <v>3</v>
      </c>
      <c r="L235" s="1">
        <v>3</v>
      </c>
      <c r="M235" s="1">
        <v>3</v>
      </c>
      <c r="N235" s="1">
        <v>3</v>
      </c>
      <c r="O235" s="1">
        <v>3</v>
      </c>
      <c r="P235" s="1">
        <v>3</v>
      </c>
      <c r="Q235" s="1">
        <v>3</v>
      </c>
      <c r="R235" s="1">
        <v>4</v>
      </c>
      <c r="S235" s="1">
        <v>3</v>
      </c>
      <c r="T235" s="1">
        <v>4</v>
      </c>
      <c r="U235" s="1">
        <v>3</v>
      </c>
      <c r="V235" s="1">
        <v>3</v>
      </c>
      <c r="W235" s="1">
        <v>3</v>
      </c>
      <c r="X235" s="1">
        <v>2</v>
      </c>
      <c r="Y235" s="1">
        <v>2</v>
      </c>
      <c r="Z235" s="1">
        <v>4</v>
      </c>
      <c r="AA235" s="1">
        <v>3</v>
      </c>
      <c r="AB235" s="1">
        <v>3</v>
      </c>
      <c r="AC235" s="1">
        <v>3</v>
      </c>
      <c r="AD235" s="1">
        <v>4</v>
      </c>
      <c r="AE235" s="1">
        <v>5</v>
      </c>
      <c r="AF235" s="1">
        <v>3</v>
      </c>
      <c r="AG235" s="1">
        <v>3</v>
      </c>
      <c r="AH235" s="1">
        <v>4</v>
      </c>
      <c r="AI235" s="1">
        <v>3</v>
      </c>
      <c r="AJ235" s="1">
        <v>4</v>
      </c>
      <c r="AK235" s="1">
        <v>3</v>
      </c>
      <c r="AL235" s="1">
        <v>4</v>
      </c>
      <c r="AM235" s="1">
        <v>3</v>
      </c>
      <c r="AN235" s="1">
        <v>4</v>
      </c>
      <c r="AO235" s="1">
        <v>4</v>
      </c>
      <c r="AP235" s="1">
        <v>5</v>
      </c>
      <c r="AQ235" s="1">
        <v>4</v>
      </c>
      <c r="AR235" s="1">
        <v>3</v>
      </c>
      <c r="AS235" s="1">
        <v>3</v>
      </c>
      <c r="AT235" s="1">
        <v>4</v>
      </c>
      <c r="AU235" s="1">
        <v>3</v>
      </c>
      <c r="AV235" s="1">
        <v>4</v>
      </c>
      <c r="AW235" s="1">
        <v>4</v>
      </c>
      <c r="AX235" s="1">
        <v>3</v>
      </c>
      <c r="AY235" s="1">
        <v>3</v>
      </c>
      <c r="AZ235" s="1">
        <v>5</v>
      </c>
      <c r="BA235" s="1">
        <v>4</v>
      </c>
      <c r="BB235" s="1">
        <v>4</v>
      </c>
      <c r="BC235" s="1">
        <v>3</v>
      </c>
    </row>
    <row r="236" spans="1:55">
      <c r="A236" s="1" t="s">
        <v>417</v>
      </c>
      <c r="B236" s="1" t="s">
        <v>66</v>
      </c>
      <c r="C236" s="1" t="s">
        <v>418</v>
      </c>
      <c r="D236" s="1">
        <v>3</v>
      </c>
      <c r="E236" s="1">
        <v>3</v>
      </c>
      <c r="F236" s="1">
        <v>4</v>
      </c>
      <c r="G236" s="1">
        <v>4</v>
      </c>
      <c r="H236" s="1">
        <v>3</v>
      </c>
      <c r="I236" s="1">
        <v>4</v>
      </c>
      <c r="J236" s="1">
        <v>2</v>
      </c>
      <c r="K236" s="1">
        <v>4</v>
      </c>
      <c r="L236" s="1">
        <v>3</v>
      </c>
      <c r="M236" s="1">
        <v>3</v>
      </c>
      <c r="N236" s="1">
        <v>2</v>
      </c>
      <c r="O236" s="1">
        <v>3</v>
      </c>
      <c r="P236" s="1">
        <v>4</v>
      </c>
      <c r="Q236" s="1">
        <v>4</v>
      </c>
      <c r="R236" s="1">
        <v>3</v>
      </c>
      <c r="S236" s="1">
        <v>2</v>
      </c>
      <c r="T236" s="1">
        <v>3</v>
      </c>
      <c r="U236" s="1">
        <v>3</v>
      </c>
      <c r="V236" s="1">
        <v>3</v>
      </c>
      <c r="W236" s="1">
        <v>3</v>
      </c>
      <c r="X236" s="1">
        <v>3</v>
      </c>
      <c r="Y236" s="1">
        <v>3</v>
      </c>
      <c r="Z236" s="1">
        <v>3</v>
      </c>
      <c r="AA236" s="1">
        <v>4</v>
      </c>
      <c r="AB236" s="1">
        <v>3</v>
      </c>
      <c r="AC236" s="1">
        <v>3</v>
      </c>
      <c r="AD236" s="1">
        <v>3</v>
      </c>
      <c r="AE236" s="1">
        <v>3</v>
      </c>
      <c r="AF236" s="1">
        <v>3</v>
      </c>
      <c r="AG236" s="1">
        <v>4</v>
      </c>
      <c r="AH236" s="1">
        <v>3</v>
      </c>
      <c r="AI236" s="1">
        <v>4</v>
      </c>
      <c r="AJ236" s="1">
        <v>4</v>
      </c>
      <c r="AK236" s="1">
        <v>4</v>
      </c>
      <c r="AL236" s="1">
        <v>4</v>
      </c>
      <c r="AM236" s="1">
        <v>3</v>
      </c>
      <c r="AN236" s="1">
        <v>3</v>
      </c>
      <c r="AO236" s="1">
        <v>5</v>
      </c>
      <c r="AP236" s="1">
        <v>3</v>
      </c>
      <c r="AQ236" s="1">
        <v>5</v>
      </c>
      <c r="AR236" s="1">
        <v>3</v>
      </c>
      <c r="AS236" s="1">
        <v>3</v>
      </c>
      <c r="AT236" s="1">
        <v>3</v>
      </c>
      <c r="AU236" s="1">
        <v>3</v>
      </c>
      <c r="AV236" s="1">
        <v>4</v>
      </c>
      <c r="AW236" s="1">
        <v>4</v>
      </c>
      <c r="AX236" s="1">
        <v>4</v>
      </c>
      <c r="AY236" s="1">
        <v>4</v>
      </c>
      <c r="AZ236" s="1">
        <v>4</v>
      </c>
      <c r="BA236" s="1">
        <v>4</v>
      </c>
      <c r="BB236" s="1">
        <v>4</v>
      </c>
      <c r="BC236" s="1">
        <v>2</v>
      </c>
    </row>
    <row r="237" spans="1:55">
      <c r="A237" s="1" t="s">
        <v>419</v>
      </c>
      <c r="B237" s="1" t="s">
        <v>66</v>
      </c>
      <c r="C237" s="1" t="s">
        <v>418</v>
      </c>
      <c r="D237" s="1">
        <v>3</v>
      </c>
      <c r="E237" s="1">
        <v>3</v>
      </c>
      <c r="F237" s="1">
        <v>3</v>
      </c>
      <c r="G237" s="1">
        <v>3</v>
      </c>
      <c r="H237" s="1">
        <v>4</v>
      </c>
      <c r="I237" s="1">
        <v>5</v>
      </c>
      <c r="J237" s="1">
        <v>5</v>
      </c>
      <c r="K237" s="1">
        <v>4</v>
      </c>
      <c r="L237" s="1">
        <v>4</v>
      </c>
      <c r="M237" s="1">
        <v>3</v>
      </c>
      <c r="N237" s="1">
        <v>4</v>
      </c>
      <c r="O237" s="1">
        <v>5</v>
      </c>
      <c r="P237" s="1">
        <v>5</v>
      </c>
      <c r="Q237" s="1">
        <v>5</v>
      </c>
      <c r="R237" s="1">
        <v>3</v>
      </c>
      <c r="S237" s="1">
        <v>2</v>
      </c>
      <c r="T237" s="1">
        <v>2</v>
      </c>
      <c r="U237" s="1">
        <v>3</v>
      </c>
      <c r="V237" s="1">
        <v>3</v>
      </c>
      <c r="W237" s="1">
        <v>4</v>
      </c>
      <c r="X237" s="1">
        <v>3</v>
      </c>
      <c r="Y237" s="1">
        <v>4</v>
      </c>
      <c r="Z237" s="1">
        <v>3</v>
      </c>
      <c r="AA237" s="1">
        <v>4</v>
      </c>
      <c r="AB237" s="1">
        <v>4</v>
      </c>
      <c r="AC237" s="1">
        <v>2</v>
      </c>
      <c r="AD237" s="1">
        <v>4</v>
      </c>
      <c r="AE237" s="1">
        <v>4</v>
      </c>
      <c r="AF237" s="1">
        <v>3</v>
      </c>
      <c r="AG237" s="1">
        <v>3</v>
      </c>
      <c r="AH237" s="1">
        <v>4</v>
      </c>
      <c r="AI237" s="1">
        <v>4</v>
      </c>
      <c r="AJ237" s="1">
        <v>4</v>
      </c>
      <c r="AK237" s="1">
        <v>5</v>
      </c>
      <c r="AL237" s="1">
        <v>4</v>
      </c>
      <c r="AM237" s="1">
        <v>3</v>
      </c>
      <c r="AN237" s="1">
        <v>4</v>
      </c>
      <c r="AO237" s="1">
        <v>5</v>
      </c>
      <c r="AP237" s="1">
        <v>4</v>
      </c>
      <c r="AQ237" s="1">
        <v>4</v>
      </c>
      <c r="AR237" s="1">
        <v>3</v>
      </c>
      <c r="AS237" s="1">
        <v>3</v>
      </c>
      <c r="AT237" s="1">
        <v>3</v>
      </c>
      <c r="AU237" s="1">
        <v>5</v>
      </c>
      <c r="AV237" s="1">
        <v>4</v>
      </c>
      <c r="AW237" s="1">
        <v>4</v>
      </c>
      <c r="AX237" s="1">
        <v>4</v>
      </c>
      <c r="AY237" s="1">
        <v>3</v>
      </c>
      <c r="AZ237" s="1">
        <v>5</v>
      </c>
      <c r="BA237" s="1">
        <v>5</v>
      </c>
      <c r="BB237" s="1">
        <v>4</v>
      </c>
      <c r="BC237" s="1">
        <v>2</v>
      </c>
    </row>
    <row r="238" spans="1:55">
      <c r="A238" s="1" t="s">
        <v>420</v>
      </c>
      <c r="B238" s="1" t="s">
        <v>66</v>
      </c>
      <c r="C238" s="1" t="s">
        <v>421</v>
      </c>
      <c r="D238" s="1">
        <v>1</v>
      </c>
      <c r="E238" s="1">
        <v>3</v>
      </c>
      <c r="F238" s="1">
        <v>4</v>
      </c>
      <c r="G238" s="1">
        <v>2</v>
      </c>
      <c r="H238" s="1">
        <v>3</v>
      </c>
      <c r="I238" s="1">
        <v>3</v>
      </c>
      <c r="J238" s="1">
        <v>3</v>
      </c>
      <c r="K238" s="1">
        <v>2</v>
      </c>
      <c r="L238" s="1">
        <v>3</v>
      </c>
      <c r="M238" s="1">
        <v>3</v>
      </c>
      <c r="N238" s="1">
        <v>4</v>
      </c>
      <c r="O238" s="1">
        <v>2</v>
      </c>
      <c r="P238" s="1">
        <v>1</v>
      </c>
      <c r="Q238" s="1">
        <v>2</v>
      </c>
      <c r="R238" s="1">
        <v>3</v>
      </c>
      <c r="S238" s="1">
        <v>2</v>
      </c>
      <c r="T238" s="1">
        <v>4</v>
      </c>
      <c r="U238" s="1">
        <v>4</v>
      </c>
      <c r="V238" s="1">
        <v>3</v>
      </c>
      <c r="W238" s="1">
        <v>3</v>
      </c>
      <c r="X238" s="1">
        <v>3</v>
      </c>
      <c r="Y238" s="1">
        <v>2</v>
      </c>
      <c r="Z238" s="1">
        <v>2</v>
      </c>
      <c r="AA238" s="1">
        <v>2</v>
      </c>
      <c r="AB238" s="1">
        <v>2</v>
      </c>
      <c r="AC238" s="1">
        <v>3</v>
      </c>
      <c r="AD238" s="1">
        <v>3</v>
      </c>
      <c r="AE238" s="1">
        <v>3</v>
      </c>
      <c r="AF238" s="1">
        <v>2</v>
      </c>
      <c r="AG238" s="1">
        <v>3</v>
      </c>
      <c r="AH238" s="1">
        <v>4</v>
      </c>
      <c r="AI238" s="1">
        <v>4</v>
      </c>
      <c r="AJ238" s="1">
        <v>5</v>
      </c>
      <c r="AK238" s="1">
        <v>2</v>
      </c>
      <c r="AL238" s="1">
        <v>2</v>
      </c>
      <c r="AM238" s="1">
        <v>5</v>
      </c>
      <c r="AN238" s="1">
        <v>4</v>
      </c>
      <c r="AO238" s="1">
        <v>2</v>
      </c>
      <c r="AP238" s="1">
        <v>2</v>
      </c>
      <c r="AQ238" s="1">
        <v>1</v>
      </c>
      <c r="AR238" s="1">
        <v>3</v>
      </c>
      <c r="AS238" s="1">
        <v>3</v>
      </c>
      <c r="AT238" s="1">
        <v>3</v>
      </c>
      <c r="AU238" s="1">
        <v>4</v>
      </c>
      <c r="AV238" s="1">
        <v>4</v>
      </c>
      <c r="AW238" s="1">
        <v>2</v>
      </c>
      <c r="AX238" s="1">
        <v>4</v>
      </c>
      <c r="AY238" s="1">
        <v>4</v>
      </c>
      <c r="AZ238" s="1">
        <v>2</v>
      </c>
      <c r="BA238" s="1">
        <v>3</v>
      </c>
      <c r="BB238" s="1">
        <v>2</v>
      </c>
      <c r="BC238" s="1">
        <v>1</v>
      </c>
    </row>
    <row r="239" spans="1:55">
      <c r="A239" s="1" t="s">
        <v>422</v>
      </c>
      <c r="B239" s="1" t="s">
        <v>66</v>
      </c>
      <c r="C239" s="1" t="s">
        <v>421</v>
      </c>
      <c r="D239" s="1">
        <v>3</v>
      </c>
      <c r="E239" s="1">
        <v>3</v>
      </c>
      <c r="F239" s="1">
        <v>2</v>
      </c>
      <c r="G239" s="1">
        <v>3</v>
      </c>
      <c r="H239" s="1">
        <v>3</v>
      </c>
      <c r="I239" s="1">
        <v>3</v>
      </c>
      <c r="J239" s="1">
        <v>2</v>
      </c>
      <c r="K239" s="1">
        <v>3</v>
      </c>
      <c r="L239" s="1">
        <v>4</v>
      </c>
      <c r="M239" s="1">
        <v>3</v>
      </c>
      <c r="N239" s="1">
        <v>2</v>
      </c>
      <c r="O239" s="1">
        <v>3</v>
      </c>
      <c r="P239" s="1">
        <v>3</v>
      </c>
      <c r="Q239" s="1">
        <v>4</v>
      </c>
      <c r="R239" s="1">
        <v>3</v>
      </c>
      <c r="S239" s="1">
        <v>3</v>
      </c>
      <c r="T239" s="1">
        <v>4</v>
      </c>
      <c r="U239" s="1">
        <v>3</v>
      </c>
      <c r="V239" s="1">
        <v>2</v>
      </c>
      <c r="W239" s="1">
        <v>3</v>
      </c>
      <c r="X239" s="1">
        <v>3</v>
      </c>
      <c r="Y239" s="1">
        <v>3</v>
      </c>
      <c r="Z239" s="1">
        <v>3</v>
      </c>
      <c r="AA239" s="1">
        <v>2</v>
      </c>
      <c r="AB239" s="1">
        <v>3</v>
      </c>
      <c r="AC239" s="1">
        <v>4</v>
      </c>
      <c r="AD239" s="1">
        <v>3</v>
      </c>
      <c r="AE239" s="1">
        <v>4</v>
      </c>
      <c r="AF239" s="1">
        <v>2</v>
      </c>
      <c r="AG239" s="1">
        <v>2</v>
      </c>
      <c r="AH239" s="1">
        <v>4</v>
      </c>
      <c r="AI239" s="1">
        <v>3</v>
      </c>
      <c r="AJ239" s="1">
        <v>3</v>
      </c>
      <c r="AK239" s="1">
        <v>4</v>
      </c>
      <c r="AL239" s="1">
        <v>3</v>
      </c>
      <c r="AM239" s="1">
        <v>3</v>
      </c>
      <c r="AN239" s="1">
        <v>3</v>
      </c>
      <c r="AO239" s="1">
        <v>4</v>
      </c>
      <c r="AP239" s="1">
        <v>3</v>
      </c>
      <c r="AQ239" s="1">
        <v>3</v>
      </c>
      <c r="AR239" s="1">
        <v>4</v>
      </c>
      <c r="AS239" s="1">
        <v>3</v>
      </c>
      <c r="AT239" s="1">
        <v>3</v>
      </c>
      <c r="AU239" s="1">
        <v>3</v>
      </c>
      <c r="AV239" s="1">
        <v>3</v>
      </c>
      <c r="AW239" s="1">
        <v>2</v>
      </c>
      <c r="AX239" s="1">
        <v>4</v>
      </c>
      <c r="AY239" s="1">
        <v>4</v>
      </c>
      <c r="AZ239" s="1">
        <v>4</v>
      </c>
      <c r="BA239" s="1">
        <v>3</v>
      </c>
      <c r="BB239" s="1">
        <v>4</v>
      </c>
      <c r="BC239" s="1">
        <v>2</v>
      </c>
    </row>
    <row r="240" spans="1:55">
      <c r="A240" s="1" t="s">
        <v>423</v>
      </c>
      <c r="B240" s="1" t="s">
        <v>66</v>
      </c>
      <c r="C240" s="1" t="s">
        <v>424</v>
      </c>
      <c r="D240" s="1">
        <v>3</v>
      </c>
      <c r="E240" s="1">
        <v>3</v>
      </c>
      <c r="F240" s="1">
        <v>3</v>
      </c>
      <c r="G240" s="1">
        <v>3</v>
      </c>
      <c r="H240" s="1">
        <v>2</v>
      </c>
      <c r="I240" s="1">
        <v>3</v>
      </c>
      <c r="J240" s="1">
        <v>3</v>
      </c>
      <c r="K240" s="1">
        <v>3</v>
      </c>
      <c r="L240" s="1">
        <v>3</v>
      </c>
      <c r="M240" s="1">
        <v>3</v>
      </c>
      <c r="N240" s="1">
        <v>3</v>
      </c>
      <c r="O240" s="1">
        <v>4</v>
      </c>
      <c r="P240" s="1">
        <v>4</v>
      </c>
      <c r="Q240" s="1">
        <v>4</v>
      </c>
      <c r="R240" s="1">
        <v>3</v>
      </c>
      <c r="S240" s="1">
        <v>2</v>
      </c>
      <c r="T240" s="1">
        <v>3</v>
      </c>
      <c r="U240" s="1">
        <v>3</v>
      </c>
      <c r="V240" s="1">
        <v>1</v>
      </c>
      <c r="W240" s="1">
        <v>3</v>
      </c>
      <c r="X240" s="1">
        <v>4</v>
      </c>
      <c r="Y240" s="1">
        <v>3</v>
      </c>
      <c r="Z240" s="1">
        <v>4</v>
      </c>
      <c r="AA240" s="1">
        <v>4</v>
      </c>
      <c r="AB240" s="1">
        <v>4</v>
      </c>
      <c r="AC240" s="1">
        <v>4</v>
      </c>
      <c r="AD240" s="1">
        <v>3</v>
      </c>
      <c r="AE240" s="1">
        <v>3</v>
      </c>
      <c r="AF240" s="1">
        <v>3</v>
      </c>
      <c r="AG240" s="1">
        <v>3</v>
      </c>
      <c r="AH240" s="1">
        <v>2</v>
      </c>
      <c r="AI240" s="1">
        <v>4</v>
      </c>
      <c r="AJ240" s="1">
        <v>4</v>
      </c>
      <c r="AK240" s="1">
        <v>5</v>
      </c>
      <c r="AL240" s="1">
        <v>5</v>
      </c>
      <c r="AM240" s="1">
        <v>3</v>
      </c>
      <c r="AN240" s="1">
        <v>3</v>
      </c>
      <c r="AO240" s="1">
        <v>4</v>
      </c>
      <c r="AP240" s="1">
        <v>4</v>
      </c>
      <c r="AQ240" s="1">
        <v>4</v>
      </c>
      <c r="AR240" s="1">
        <v>3</v>
      </c>
      <c r="AS240" s="1">
        <v>3</v>
      </c>
      <c r="AT240" s="1">
        <v>3</v>
      </c>
      <c r="AU240" s="1">
        <v>4</v>
      </c>
      <c r="AV240" s="1">
        <v>4</v>
      </c>
      <c r="AW240" s="1">
        <v>3</v>
      </c>
      <c r="AX240" s="1">
        <v>3</v>
      </c>
      <c r="AY240" s="1">
        <v>3</v>
      </c>
      <c r="AZ240" s="1">
        <v>4</v>
      </c>
      <c r="BA240" s="1">
        <v>3</v>
      </c>
      <c r="BB240" s="1">
        <v>3</v>
      </c>
      <c r="BC240" s="1">
        <v>3</v>
      </c>
    </row>
    <row r="241" spans="1:55">
      <c r="A241" s="1" t="s">
        <v>425</v>
      </c>
      <c r="B241" s="1" t="s">
        <v>66</v>
      </c>
      <c r="C241" s="1" t="s">
        <v>424</v>
      </c>
      <c r="D241" s="1">
        <v>3</v>
      </c>
      <c r="E241" s="1">
        <v>4</v>
      </c>
      <c r="F241" s="1">
        <v>2</v>
      </c>
      <c r="G241" s="1">
        <v>2</v>
      </c>
      <c r="H241" s="1">
        <v>3</v>
      </c>
      <c r="I241" s="1">
        <v>2</v>
      </c>
      <c r="J241" s="1">
        <v>2</v>
      </c>
      <c r="K241" s="1">
        <v>3</v>
      </c>
      <c r="L241" s="1">
        <v>3</v>
      </c>
      <c r="M241" s="1">
        <v>4</v>
      </c>
      <c r="N241" s="1">
        <v>1</v>
      </c>
      <c r="O241" s="1">
        <v>4</v>
      </c>
      <c r="P241" s="1">
        <v>3</v>
      </c>
      <c r="Q241" s="1">
        <v>4</v>
      </c>
      <c r="R241" s="1">
        <v>4</v>
      </c>
      <c r="S241" s="1">
        <v>4</v>
      </c>
      <c r="T241" s="1">
        <v>4</v>
      </c>
      <c r="U241" s="1">
        <v>3</v>
      </c>
      <c r="V241" s="1">
        <v>3</v>
      </c>
      <c r="W241" s="1">
        <v>3</v>
      </c>
      <c r="X241" s="1">
        <v>2</v>
      </c>
      <c r="Y241" s="1">
        <v>3</v>
      </c>
      <c r="Z241" s="1">
        <v>3</v>
      </c>
      <c r="AA241" s="1">
        <v>3</v>
      </c>
      <c r="AB241" s="1">
        <v>4</v>
      </c>
      <c r="AC241" s="1">
        <v>4</v>
      </c>
      <c r="AD241" s="1">
        <v>3</v>
      </c>
      <c r="AE241" s="1">
        <v>4</v>
      </c>
      <c r="AF241" s="1">
        <v>3</v>
      </c>
      <c r="AG241" s="1">
        <v>3</v>
      </c>
      <c r="AH241" s="1">
        <v>2</v>
      </c>
      <c r="AI241" s="1">
        <v>2</v>
      </c>
      <c r="AJ241" s="1">
        <v>2</v>
      </c>
      <c r="AK241" s="1">
        <v>3</v>
      </c>
      <c r="AL241" s="1">
        <v>2</v>
      </c>
      <c r="AM241" s="1">
        <v>4</v>
      </c>
      <c r="AN241" s="1">
        <v>2</v>
      </c>
      <c r="AO241" s="1">
        <v>4</v>
      </c>
      <c r="AP241" s="1">
        <v>4</v>
      </c>
      <c r="AQ241" s="1">
        <v>4</v>
      </c>
      <c r="AR241" s="1">
        <v>3</v>
      </c>
      <c r="AS241" s="1">
        <v>5</v>
      </c>
      <c r="AT241" s="1">
        <v>4</v>
      </c>
      <c r="AU241" s="1">
        <v>4</v>
      </c>
      <c r="AV241" s="1">
        <v>2</v>
      </c>
      <c r="AW241" s="1">
        <v>3</v>
      </c>
      <c r="AX241" s="1">
        <v>3</v>
      </c>
      <c r="AY241" s="1">
        <v>3</v>
      </c>
      <c r="AZ241" s="1">
        <v>4</v>
      </c>
      <c r="BA241" s="1">
        <v>3</v>
      </c>
      <c r="BB241" s="1">
        <v>4</v>
      </c>
      <c r="BC241" s="1">
        <v>4</v>
      </c>
    </row>
    <row r="242" spans="1:55">
      <c r="A242" s="1" t="s">
        <v>426</v>
      </c>
      <c r="B242" s="1" t="s">
        <v>66</v>
      </c>
      <c r="C242" s="1" t="s">
        <v>427</v>
      </c>
      <c r="D242" s="1">
        <v>3</v>
      </c>
      <c r="E242" s="1">
        <v>3</v>
      </c>
      <c r="F242" s="1">
        <v>2</v>
      </c>
      <c r="G242" s="1">
        <v>2</v>
      </c>
      <c r="H242" s="1">
        <v>3</v>
      </c>
      <c r="I242" s="1">
        <v>3</v>
      </c>
      <c r="J242" s="1">
        <v>3</v>
      </c>
      <c r="K242" s="1">
        <v>5</v>
      </c>
      <c r="L242" s="1">
        <v>4</v>
      </c>
      <c r="M242" s="1">
        <v>4</v>
      </c>
      <c r="N242" s="1">
        <v>2</v>
      </c>
      <c r="O242" s="1">
        <v>2</v>
      </c>
      <c r="P242" s="1">
        <v>2</v>
      </c>
      <c r="Q242" s="1">
        <v>5</v>
      </c>
      <c r="R242" s="1">
        <v>3</v>
      </c>
      <c r="S242" s="1">
        <v>4</v>
      </c>
      <c r="T242" s="1">
        <v>4</v>
      </c>
      <c r="U242" s="1">
        <v>3</v>
      </c>
      <c r="V242" s="1">
        <v>3</v>
      </c>
      <c r="W242" s="1">
        <v>4</v>
      </c>
      <c r="X242" s="1">
        <v>3</v>
      </c>
      <c r="Y242" s="1">
        <v>3</v>
      </c>
      <c r="Z242" s="1">
        <v>4</v>
      </c>
      <c r="AA242" s="1">
        <v>3</v>
      </c>
      <c r="AB242" s="1">
        <v>4</v>
      </c>
      <c r="AC242" s="1">
        <v>3</v>
      </c>
      <c r="AD242" s="1">
        <v>3</v>
      </c>
      <c r="AE242" s="1">
        <v>4</v>
      </c>
      <c r="AF242" s="1">
        <v>3</v>
      </c>
      <c r="AG242" s="1">
        <v>2</v>
      </c>
      <c r="AH242" s="1">
        <v>4</v>
      </c>
      <c r="AI242" s="1">
        <v>3</v>
      </c>
      <c r="AJ242" s="1">
        <v>4</v>
      </c>
      <c r="AK242" s="1">
        <v>3</v>
      </c>
      <c r="AL242" s="1">
        <v>4</v>
      </c>
      <c r="AM242" s="1">
        <v>2</v>
      </c>
      <c r="AN242" s="1">
        <v>3</v>
      </c>
      <c r="AO242" s="1">
        <v>4</v>
      </c>
      <c r="AP242" s="1">
        <v>4</v>
      </c>
      <c r="AQ242" s="1">
        <v>4</v>
      </c>
      <c r="AR242" s="1">
        <v>3</v>
      </c>
      <c r="AS242" s="1">
        <v>4</v>
      </c>
      <c r="AT242" s="1">
        <v>5</v>
      </c>
      <c r="AU242" s="1">
        <v>4</v>
      </c>
      <c r="AV242" s="1">
        <v>4</v>
      </c>
      <c r="AW242" s="1">
        <v>5</v>
      </c>
      <c r="AX242" s="1">
        <v>5</v>
      </c>
      <c r="AY242" s="1">
        <v>4</v>
      </c>
      <c r="AZ242" s="1">
        <v>4</v>
      </c>
      <c r="BA242" s="1">
        <v>4</v>
      </c>
      <c r="BB242" s="1">
        <v>4</v>
      </c>
      <c r="BC242" s="1">
        <v>3</v>
      </c>
    </row>
    <row r="243" spans="1:55">
      <c r="A243" s="1" t="s">
        <v>428</v>
      </c>
      <c r="B243" s="1" t="s">
        <v>66</v>
      </c>
      <c r="C243" s="1" t="s">
        <v>427</v>
      </c>
      <c r="D243" s="1">
        <v>3</v>
      </c>
      <c r="E243" s="1">
        <v>2</v>
      </c>
      <c r="F243" s="1">
        <v>4</v>
      </c>
      <c r="G243" s="1">
        <v>3</v>
      </c>
      <c r="H243" s="1">
        <v>4</v>
      </c>
      <c r="I243" s="1">
        <v>4</v>
      </c>
      <c r="J243" s="1">
        <v>4</v>
      </c>
      <c r="K243" s="1">
        <v>2</v>
      </c>
      <c r="L243" s="1">
        <v>2</v>
      </c>
      <c r="M243" s="1">
        <v>3</v>
      </c>
      <c r="N243" s="1">
        <v>4</v>
      </c>
      <c r="O243" s="1">
        <v>1</v>
      </c>
      <c r="P243" s="1">
        <v>2</v>
      </c>
      <c r="Q243" s="1">
        <v>2</v>
      </c>
      <c r="R243" s="1">
        <v>3</v>
      </c>
      <c r="S243" s="1">
        <v>2</v>
      </c>
      <c r="T243" s="1">
        <v>3</v>
      </c>
      <c r="U243" s="1">
        <v>3</v>
      </c>
      <c r="V243" s="1">
        <v>3</v>
      </c>
      <c r="W243" s="1">
        <v>3</v>
      </c>
      <c r="X243" s="1">
        <v>3</v>
      </c>
      <c r="Y243" s="1">
        <v>3</v>
      </c>
      <c r="Z243" s="1">
        <v>2</v>
      </c>
      <c r="AA243" s="1">
        <v>2</v>
      </c>
      <c r="AB243" s="1">
        <v>3</v>
      </c>
      <c r="AC243" s="1">
        <v>2</v>
      </c>
      <c r="AD243" s="1">
        <v>4</v>
      </c>
      <c r="AE243" s="1">
        <v>4</v>
      </c>
      <c r="AF243" s="1">
        <v>2</v>
      </c>
      <c r="AG243" s="1">
        <v>2</v>
      </c>
      <c r="AH243" s="1">
        <v>4</v>
      </c>
      <c r="AI243" s="1">
        <v>4</v>
      </c>
      <c r="AJ243" s="1">
        <v>5</v>
      </c>
      <c r="AK243" s="1">
        <v>3</v>
      </c>
      <c r="AL243" s="1">
        <v>2</v>
      </c>
      <c r="AM243" s="1">
        <v>3</v>
      </c>
      <c r="AN243" s="1">
        <v>5</v>
      </c>
      <c r="AO243" s="1">
        <v>3</v>
      </c>
      <c r="AP243" s="1">
        <v>3</v>
      </c>
      <c r="AQ243" s="1">
        <v>4</v>
      </c>
      <c r="AR243" s="1">
        <v>4</v>
      </c>
      <c r="AS243" s="1">
        <v>4</v>
      </c>
      <c r="AT243" s="1">
        <v>4</v>
      </c>
      <c r="AU243" s="1">
        <v>4</v>
      </c>
      <c r="AV243" s="1">
        <v>4</v>
      </c>
      <c r="AW243" s="1">
        <v>3</v>
      </c>
      <c r="AX243" s="1">
        <v>5</v>
      </c>
      <c r="AY243" s="1">
        <v>4</v>
      </c>
      <c r="AZ243" s="1">
        <v>3</v>
      </c>
      <c r="BA243" s="1">
        <v>4</v>
      </c>
      <c r="BB243" s="1">
        <v>4</v>
      </c>
      <c r="BC243" s="1">
        <v>2</v>
      </c>
    </row>
    <row r="244" spans="1:55">
      <c r="A244" s="1" t="s">
        <v>429</v>
      </c>
      <c r="B244" s="1" t="s">
        <v>66</v>
      </c>
      <c r="C244" s="1" t="s">
        <v>430</v>
      </c>
      <c r="D244" s="1">
        <v>3</v>
      </c>
      <c r="E244" s="1">
        <v>3</v>
      </c>
      <c r="F244" s="1">
        <v>3</v>
      </c>
      <c r="G244" s="1">
        <v>2</v>
      </c>
      <c r="H244" s="1">
        <v>4</v>
      </c>
      <c r="I244" s="1">
        <v>4</v>
      </c>
      <c r="J244" s="1">
        <v>3</v>
      </c>
      <c r="K244" s="1">
        <v>3</v>
      </c>
      <c r="L244" s="1">
        <v>3</v>
      </c>
      <c r="M244" s="1">
        <v>3</v>
      </c>
      <c r="N244" s="1">
        <v>4</v>
      </c>
      <c r="O244" s="1">
        <v>4</v>
      </c>
      <c r="P244" s="1">
        <v>4</v>
      </c>
      <c r="Q244" s="1">
        <v>4</v>
      </c>
      <c r="R244" s="1">
        <v>3</v>
      </c>
      <c r="S244" s="1">
        <v>2</v>
      </c>
      <c r="T244" s="1">
        <v>4</v>
      </c>
      <c r="U244" s="1">
        <v>3</v>
      </c>
      <c r="V244" s="1">
        <v>3</v>
      </c>
      <c r="W244" s="1">
        <v>3</v>
      </c>
      <c r="X244" s="1">
        <v>2</v>
      </c>
      <c r="Y244" s="1">
        <v>2</v>
      </c>
      <c r="Z244" s="1">
        <v>3</v>
      </c>
      <c r="AA244" s="1">
        <v>2</v>
      </c>
      <c r="AB244" s="1">
        <v>3</v>
      </c>
      <c r="AC244" s="1">
        <v>3</v>
      </c>
      <c r="AD244" s="1">
        <v>3</v>
      </c>
      <c r="AE244" s="1">
        <v>4</v>
      </c>
      <c r="AF244" s="1">
        <v>3</v>
      </c>
      <c r="AG244" s="1">
        <v>3</v>
      </c>
      <c r="AH244" s="1">
        <v>4</v>
      </c>
      <c r="AI244" s="1">
        <v>4</v>
      </c>
      <c r="AJ244" s="1">
        <v>5</v>
      </c>
      <c r="AK244" s="1">
        <v>4</v>
      </c>
      <c r="AL244" s="1">
        <v>4</v>
      </c>
      <c r="AM244" s="1">
        <v>4</v>
      </c>
      <c r="AN244" s="1">
        <v>4</v>
      </c>
      <c r="AO244" s="1">
        <v>4</v>
      </c>
      <c r="AP244" s="1">
        <v>4</v>
      </c>
      <c r="AQ244" s="1">
        <v>4</v>
      </c>
      <c r="AR244" s="1">
        <v>3</v>
      </c>
      <c r="AS244" s="1">
        <v>4</v>
      </c>
      <c r="AT244" s="1">
        <v>3</v>
      </c>
      <c r="AU244" s="1">
        <v>3</v>
      </c>
      <c r="AV244" s="1">
        <v>4</v>
      </c>
      <c r="AW244" s="1">
        <v>4</v>
      </c>
      <c r="AX244" s="1">
        <v>4</v>
      </c>
      <c r="AY244" s="1">
        <v>4</v>
      </c>
      <c r="AZ244" s="1">
        <v>3</v>
      </c>
      <c r="BA244" s="1">
        <v>4</v>
      </c>
      <c r="BB244" s="1">
        <v>3</v>
      </c>
      <c r="BC244" s="1">
        <v>2</v>
      </c>
    </row>
    <row r="245" spans="1:55">
      <c r="A245" s="1" t="s">
        <v>431</v>
      </c>
      <c r="B245" s="1" t="s">
        <v>66</v>
      </c>
      <c r="C245" s="1" t="s">
        <v>430</v>
      </c>
      <c r="D245" s="1">
        <v>2</v>
      </c>
      <c r="E245" s="1">
        <v>2</v>
      </c>
      <c r="F245" s="1">
        <v>4</v>
      </c>
      <c r="G245" s="1">
        <v>4</v>
      </c>
      <c r="H245" s="1">
        <v>3</v>
      </c>
      <c r="I245" s="1">
        <v>2</v>
      </c>
      <c r="J245" s="1">
        <v>2</v>
      </c>
      <c r="K245" s="1">
        <v>4</v>
      </c>
      <c r="L245" s="1">
        <v>5</v>
      </c>
      <c r="M245" s="1">
        <v>1</v>
      </c>
      <c r="N245" s="1">
        <v>2</v>
      </c>
      <c r="O245" s="1">
        <v>3</v>
      </c>
      <c r="P245" s="1">
        <v>3</v>
      </c>
      <c r="Q245" s="1">
        <v>2</v>
      </c>
      <c r="R245" s="1">
        <v>1</v>
      </c>
      <c r="S245" s="1">
        <v>2</v>
      </c>
      <c r="T245" s="1">
        <v>2</v>
      </c>
      <c r="U245" s="1">
        <v>2</v>
      </c>
      <c r="V245" s="1">
        <v>2</v>
      </c>
      <c r="W245" s="1">
        <v>3</v>
      </c>
      <c r="X245" s="1">
        <v>3</v>
      </c>
      <c r="Y245" s="1">
        <v>2</v>
      </c>
      <c r="Z245" s="1">
        <v>3</v>
      </c>
      <c r="AA245" s="1">
        <v>3</v>
      </c>
      <c r="AB245" s="1">
        <v>3</v>
      </c>
      <c r="AC245" s="1">
        <v>3</v>
      </c>
      <c r="AD245" s="1">
        <v>3</v>
      </c>
      <c r="AE245" s="1">
        <v>3</v>
      </c>
      <c r="AF245" s="1">
        <v>3</v>
      </c>
      <c r="AG245" s="1">
        <v>4</v>
      </c>
      <c r="AH245" s="1">
        <v>4</v>
      </c>
      <c r="AI245" s="1">
        <v>3</v>
      </c>
      <c r="AJ245" s="1">
        <v>4</v>
      </c>
      <c r="AK245" s="1">
        <v>4</v>
      </c>
      <c r="AL245" s="1">
        <v>3</v>
      </c>
      <c r="AM245" s="1">
        <v>2</v>
      </c>
      <c r="AN245" s="1">
        <v>3</v>
      </c>
      <c r="AO245" s="1">
        <v>3</v>
      </c>
      <c r="AP245" s="1">
        <v>4</v>
      </c>
      <c r="AQ245" s="1">
        <v>3</v>
      </c>
      <c r="AR245" s="1">
        <v>3</v>
      </c>
      <c r="AS245" s="1">
        <v>1</v>
      </c>
      <c r="AT245" s="1">
        <v>2</v>
      </c>
      <c r="AU245" s="1">
        <v>3</v>
      </c>
      <c r="AV245" s="1">
        <v>4</v>
      </c>
      <c r="AW245" s="1">
        <v>5</v>
      </c>
      <c r="AX245" s="1">
        <v>4</v>
      </c>
      <c r="AY245" s="1">
        <v>4</v>
      </c>
      <c r="AZ245" s="1">
        <v>3</v>
      </c>
      <c r="BA245" s="1">
        <v>4</v>
      </c>
      <c r="BB245" s="1">
        <v>4</v>
      </c>
      <c r="BC245" s="1">
        <v>4</v>
      </c>
    </row>
    <row r="246" spans="1:55">
      <c r="A246" s="1" t="s">
        <v>432</v>
      </c>
      <c r="B246" s="1" t="s">
        <v>66</v>
      </c>
      <c r="C246" s="1" t="s">
        <v>433</v>
      </c>
      <c r="D246" s="1">
        <v>3</v>
      </c>
      <c r="E246" s="1">
        <v>3</v>
      </c>
      <c r="F246" s="1">
        <v>3</v>
      </c>
      <c r="G246" s="1">
        <v>2</v>
      </c>
      <c r="H246" s="1">
        <v>4</v>
      </c>
      <c r="I246" s="1">
        <v>3</v>
      </c>
      <c r="J246" s="1">
        <v>3</v>
      </c>
      <c r="K246" s="1">
        <v>3</v>
      </c>
      <c r="L246" s="1">
        <v>4</v>
      </c>
      <c r="M246" s="1">
        <v>4</v>
      </c>
      <c r="N246" s="1">
        <v>3</v>
      </c>
      <c r="O246" s="1">
        <v>3</v>
      </c>
      <c r="P246" s="1">
        <v>3</v>
      </c>
      <c r="Q246" s="1">
        <v>3</v>
      </c>
      <c r="R246" s="1">
        <v>2</v>
      </c>
      <c r="S246" s="1">
        <v>4</v>
      </c>
      <c r="T246" s="1">
        <v>2</v>
      </c>
      <c r="U246" s="1">
        <v>3</v>
      </c>
      <c r="V246" s="1">
        <v>3</v>
      </c>
      <c r="W246" s="1">
        <v>3</v>
      </c>
      <c r="X246" s="1">
        <v>3</v>
      </c>
      <c r="Y246" s="1">
        <v>3</v>
      </c>
      <c r="Z246" s="1">
        <v>3</v>
      </c>
      <c r="AA246" s="1">
        <v>3</v>
      </c>
      <c r="AB246" s="1">
        <v>3</v>
      </c>
      <c r="AC246" s="1">
        <v>3</v>
      </c>
      <c r="AD246" s="1">
        <v>4</v>
      </c>
      <c r="AE246" s="1">
        <v>3</v>
      </c>
      <c r="AF246" s="1">
        <v>2</v>
      </c>
      <c r="AG246" s="1">
        <v>2</v>
      </c>
      <c r="AH246" s="1">
        <v>5</v>
      </c>
      <c r="AI246" s="1">
        <v>5</v>
      </c>
      <c r="AJ246" s="1">
        <v>5</v>
      </c>
      <c r="AK246" s="1">
        <v>4</v>
      </c>
      <c r="AL246" s="1">
        <v>3</v>
      </c>
      <c r="AM246" s="1">
        <v>4</v>
      </c>
      <c r="AN246" s="1">
        <v>5</v>
      </c>
      <c r="AO246" s="1">
        <v>3</v>
      </c>
      <c r="AP246" s="1">
        <v>4</v>
      </c>
      <c r="AQ246" s="1">
        <v>3</v>
      </c>
      <c r="AR246" s="1">
        <v>4</v>
      </c>
      <c r="AS246" s="1">
        <v>4</v>
      </c>
      <c r="AT246" s="1">
        <v>4</v>
      </c>
      <c r="AU246" s="1">
        <v>4</v>
      </c>
      <c r="AV246" s="1">
        <v>5</v>
      </c>
      <c r="AW246" s="1">
        <v>3</v>
      </c>
      <c r="AX246" s="1">
        <v>4</v>
      </c>
      <c r="AY246" s="1">
        <v>2</v>
      </c>
      <c r="AZ246" s="1">
        <v>3</v>
      </c>
      <c r="BA246" s="1">
        <v>3</v>
      </c>
      <c r="BB246" s="1">
        <v>4</v>
      </c>
      <c r="BC246" s="1">
        <v>1</v>
      </c>
    </row>
    <row r="247" spans="1:55">
      <c r="A247" s="1" t="s">
        <v>434</v>
      </c>
      <c r="B247" s="1" t="s">
        <v>66</v>
      </c>
      <c r="C247" s="1" t="s">
        <v>433</v>
      </c>
      <c r="D247" s="1">
        <v>3</v>
      </c>
      <c r="E247" s="1">
        <v>3</v>
      </c>
      <c r="F247" s="1">
        <v>4</v>
      </c>
      <c r="G247" s="1">
        <v>4</v>
      </c>
      <c r="H247" s="1">
        <v>2</v>
      </c>
      <c r="I247" s="1">
        <v>3</v>
      </c>
      <c r="J247" s="1">
        <v>3</v>
      </c>
      <c r="K247" s="1">
        <v>3</v>
      </c>
      <c r="L247" s="1">
        <v>2</v>
      </c>
      <c r="M247" s="1">
        <v>2</v>
      </c>
      <c r="N247" s="1">
        <v>4</v>
      </c>
      <c r="O247" s="1">
        <v>2</v>
      </c>
      <c r="P247" s="1">
        <v>3</v>
      </c>
      <c r="Q247" s="1">
        <v>2</v>
      </c>
      <c r="R247" s="1">
        <v>3</v>
      </c>
      <c r="S247" s="1">
        <v>3</v>
      </c>
      <c r="T247" s="1">
        <v>3</v>
      </c>
      <c r="U247" s="1">
        <v>2</v>
      </c>
      <c r="V247" s="1">
        <v>2</v>
      </c>
      <c r="W247" s="1">
        <v>4</v>
      </c>
      <c r="X247" s="1">
        <v>3</v>
      </c>
      <c r="Y247" s="1">
        <v>3</v>
      </c>
      <c r="Z247" s="1">
        <v>3</v>
      </c>
      <c r="AA247" s="1">
        <v>3</v>
      </c>
      <c r="AB247" s="1">
        <v>3</v>
      </c>
      <c r="AC247" s="1">
        <v>4</v>
      </c>
      <c r="AD247" s="1">
        <v>3</v>
      </c>
      <c r="AE247" s="1">
        <v>2</v>
      </c>
      <c r="AF247" s="1">
        <v>3</v>
      </c>
      <c r="AG247" s="1">
        <v>3</v>
      </c>
      <c r="AH247" s="1">
        <v>3</v>
      </c>
      <c r="AI247" s="1">
        <v>3</v>
      </c>
      <c r="AJ247" s="1">
        <v>5</v>
      </c>
      <c r="AK247" s="1">
        <v>3</v>
      </c>
      <c r="AL247" s="1">
        <v>3</v>
      </c>
      <c r="AM247" s="1">
        <v>4</v>
      </c>
      <c r="AN247" s="1">
        <v>3</v>
      </c>
      <c r="AO247" s="1">
        <v>3</v>
      </c>
      <c r="AP247" s="1">
        <v>3</v>
      </c>
      <c r="AQ247" s="1">
        <v>3</v>
      </c>
      <c r="AR247" s="1">
        <v>2</v>
      </c>
      <c r="AS247" s="1">
        <v>3</v>
      </c>
      <c r="AT247" s="1">
        <v>4</v>
      </c>
      <c r="AU247" s="1">
        <v>3</v>
      </c>
      <c r="AV247" s="1">
        <v>4</v>
      </c>
      <c r="AW247" s="1">
        <v>3</v>
      </c>
      <c r="AX247" s="1">
        <v>4</v>
      </c>
      <c r="AY247" s="1">
        <v>4</v>
      </c>
      <c r="AZ247" s="1">
        <v>3</v>
      </c>
      <c r="BA247" s="1">
        <v>3</v>
      </c>
      <c r="BB247" s="1">
        <v>3</v>
      </c>
      <c r="BC247" s="1">
        <v>2</v>
      </c>
    </row>
    <row r="248" spans="1:55">
      <c r="A248" s="1" t="s">
        <v>435</v>
      </c>
      <c r="B248" s="1" t="s">
        <v>66</v>
      </c>
      <c r="C248" s="1" t="s">
        <v>436</v>
      </c>
      <c r="D248" s="1">
        <v>3</v>
      </c>
      <c r="E248" s="1">
        <v>3</v>
      </c>
      <c r="F248" s="1">
        <v>3</v>
      </c>
      <c r="G248" s="1">
        <v>1</v>
      </c>
      <c r="H248" s="1">
        <v>2</v>
      </c>
      <c r="I248" s="1">
        <v>3</v>
      </c>
      <c r="J248" s="1">
        <v>2</v>
      </c>
      <c r="K248" s="1">
        <v>4</v>
      </c>
      <c r="L248" s="1">
        <v>4</v>
      </c>
      <c r="M248" s="1">
        <v>3</v>
      </c>
      <c r="N248" s="1">
        <v>2</v>
      </c>
      <c r="O248" s="1">
        <v>4</v>
      </c>
      <c r="P248" s="1">
        <v>3</v>
      </c>
      <c r="Q248" s="1">
        <v>4</v>
      </c>
      <c r="R248" s="1">
        <v>3</v>
      </c>
      <c r="S248" s="1">
        <v>3</v>
      </c>
      <c r="T248" s="1">
        <v>4</v>
      </c>
      <c r="U248" s="1">
        <v>3</v>
      </c>
      <c r="V248" s="1">
        <v>3</v>
      </c>
      <c r="W248" s="1">
        <v>3</v>
      </c>
      <c r="X248" s="1">
        <v>3</v>
      </c>
      <c r="Y248" s="1">
        <v>3</v>
      </c>
      <c r="Z248" s="1">
        <v>4</v>
      </c>
      <c r="AA248" s="1">
        <v>5</v>
      </c>
      <c r="AB248" s="1">
        <v>3</v>
      </c>
      <c r="AC248" s="1">
        <v>4</v>
      </c>
      <c r="AD248" s="1">
        <v>4</v>
      </c>
      <c r="AE248" s="1">
        <v>3</v>
      </c>
      <c r="AF248" s="1">
        <v>3</v>
      </c>
      <c r="AG248" s="1">
        <v>3</v>
      </c>
      <c r="AH248" s="1">
        <v>4</v>
      </c>
      <c r="AI248" s="1">
        <v>3</v>
      </c>
      <c r="AJ248" s="1">
        <v>3</v>
      </c>
      <c r="AK248" s="1">
        <v>5</v>
      </c>
      <c r="AL248" s="1">
        <v>3</v>
      </c>
      <c r="AM248" s="1">
        <v>3</v>
      </c>
      <c r="AN248" s="1">
        <v>4</v>
      </c>
      <c r="AO248" s="1">
        <v>4</v>
      </c>
      <c r="AP248" s="1">
        <v>4</v>
      </c>
      <c r="AQ248" s="1">
        <v>4</v>
      </c>
      <c r="AR248" s="1">
        <v>3</v>
      </c>
      <c r="AS248" s="1">
        <v>3</v>
      </c>
      <c r="AT248" s="1">
        <v>3</v>
      </c>
      <c r="AU248" s="1">
        <v>3</v>
      </c>
      <c r="AV248" s="1">
        <v>3</v>
      </c>
      <c r="AW248" s="1">
        <v>3</v>
      </c>
      <c r="AX248" s="1">
        <v>3</v>
      </c>
      <c r="AY248" s="1">
        <v>3</v>
      </c>
      <c r="AZ248" s="1">
        <v>4</v>
      </c>
      <c r="BA248" s="1">
        <v>4</v>
      </c>
      <c r="BB248" s="1">
        <v>5</v>
      </c>
      <c r="BC248" s="1">
        <v>2</v>
      </c>
    </row>
    <row r="249" spans="1:55">
      <c r="A249" s="1" t="s">
        <v>437</v>
      </c>
      <c r="B249" s="1" t="s">
        <v>66</v>
      </c>
      <c r="C249" s="1" t="s">
        <v>436</v>
      </c>
      <c r="D249" s="1">
        <v>2</v>
      </c>
      <c r="E249" s="1">
        <v>3</v>
      </c>
      <c r="F249" s="1">
        <v>3</v>
      </c>
      <c r="G249" s="1">
        <v>4</v>
      </c>
      <c r="H249" s="1">
        <v>2</v>
      </c>
      <c r="I249" s="1">
        <v>2</v>
      </c>
      <c r="J249" s="1">
        <v>2</v>
      </c>
      <c r="K249" s="1">
        <v>2</v>
      </c>
      <c r="L249" s="1">
        <v>2</v>
      </c>
      <c r="M249" s="1">
        <v>2</v>
      </c>
      <c r="N249" s="1">
        <v>3</v>
      </c>
      <c r="O249" s="1">
        <v>2</v>
      </c>
      <c r="P249" s="1">
        <v>3</v>
      </c>
      <c r="Q249" s="1">
        <v>3</v>
      </c>
      <c r="R249" s="1">
        <v>4</v>
      </c>
      <c r="S249" s="1">
        <v>3</v>
      </c>
      <c r="T249" s="1">
        <v>3</v>
      </c>
      <c r="U249" s="1">
        <v>3</v>
      </c>
      <c r="V249" s="1">
        <v>3</v>
      </c>
      <c r="W249" s="1">
        <v>4</v>
      </c>
      <c r="X249" s="1">
        <v>3</v>
      </c>
      <c r="Y249" s="1">
        <v>3</v>
      </c>
      <c r="Z249" s="1">
        <v>2</v>
      </c>
      <c r="AA249" s="1">
        <v>2</v>
      </c>
      <c r="AB249" s="1">
        <v>2</v>
      </c>
      <c r="AC249" s="1">
        <v>4</v>
      </c>
      <c r="AD249" s="1">
        <v>4</v>
      </c>
      <c r="AE249" s="1">
        <v>3</v>
      </c>
      <c r="AF249" s="1">
        <v>4</v>
      </c>
      <c r="AG249" s="1">
        <v>3</v>
      </c>
      <c r="AH249" s="1">
        <v>4</v>
      </c>
      <c r="AI249" s="1">
        <v>4</v>
      </c>
      <c r="AJ249" s="1">
        <v>3</v>
      </c>
      <c r="AK249" s="1">
        <v>3</v>
      </c>
      <c r="AL249" s="1">
        <v>3</v>
      </c>
      <c r="AM249" s="1">
        <v>2</v>
      </c>
      <c r="AN249" s="1">
        <v>3</v>
      </c>
      <c r="AO249" s="1">
        <v>3</v>
      </c>
      <c r="AP249" s="1">
        <v>4</v>
      </c>
      <c r="AQ249" s="1">
        <v>2</v>
      </c>
      <c r="AR249" s="1">
        <v>2</v>
      </c>
      <c r="AS249" s="1">
        <v>3</v>
      </c>
      <c r="AT249" s="1">
        <v>3</v>
      </c>
      <c r="AU249" s="1">
        <v>3</v>
      </c>
      <c r="AV249" s="1">
        <v>3</v>
      </c>
      <c r="AW249" s="1">
        <v>4</v>
      </c>
      <c r="AX249" s="1">
        <v>3</v>
      </c>
      <c r="AY249" s="1">
        <v>4</v>
      </c>
      <c r="AZ249" s="1">
        <v>3</v>
      </c>
      <c r="BA249" s="1">
        <v>3</v>
      </c>
      <c r="BB249" s="1">
        <v>3</v>
      </c>
      <c r="BC249" s="1">
        <v>3</v>
      </c>
    </row>
    <row r="250" spans="1:55">
      <c r="A250" s="1" t="s">
        <v>438</v>
      </c>
      <c r="B250" s="1" t="s">
        <v>66</v>
      </c>
      <c r="C250" s="1" t="s">
        <v>439</v>
      </c>
      <c r="D250" s="1">
        <v>3</v>
      </c>
      <c r="E250" s="1">
        <v>5</v>
      </c>
      <c r="F250" s="1">
        <v>1</v>
      </c>
      <c r="G250" s="1">
        <v>1</v>
      </c>
      <c r="H250" s="1">
        <v>3</v>
      </c>
      <c r="I250" s="1">
        <v>4</v>
      </c>
      <c r="J250" s="1">
        <v>3</v>
      </c>
      <c r="K250" s="1">
        <v>3</v>
      </c>
      <c r="L250" s="1">
        <v>2</v>
      </c>
      <c r="M250" s="1">
        <v>5</v>
      </c>
      <c r="N250" s="1">
        <v>3</v>
      </c>
      <c r="O250" s="1">
        <v>3</v>
      </c>
      <c r="P250" s="1">
        <v>2</v>
      </c>
      <c r="Q250" s="1">
        <v>3</v>
      </c>
      <c r="R250" s="1">
        <v>5</v>
      </c>
      <c r="S250" s="1">
        <v>4</v>
      </c>
      <c r="T250" s="1">
        <v>4</v>
      </c>
      <c r="U250" s="1">
        <v>4</v>
      </c>
      <c r="V250" s="1">
        <v>3</v>
      </c>
      <c r="W250" s="1">
        <v>3</v>
      </c>
      <c r="X250" s="1">
        <v>2</v>
      </c>
      <c r="Y250" s="1">
        <v>3</v>
      </c>
      <c r="Z250" s="1">
        <v>2</v>
      </c>
      <c r="AA250" s="1">
        <v>3</v>
      </c>
      <c r="AB250" s="1">
        <v>3</v>
      </c>
      <c r="AC250" s="1">
        <v>2</v>
      </c>
      <c r="AD250" s="1">
        <v>3</v>
      </c>
      <c r="AE250" s="1">
        <v>5</v>
      </c>
      <c r="AF250" s="1">
        <v>1</v>
      </c>
      <c r="AG250" s="1">
        <v>1</v>
      </c>
      <c r="AH250" s="1">
        <v>4</v>
      </c>
      <c r="AI250" s="1">
        <v>3</v>
      </c>
      <c r="AJ250" s="1">
        <v>4</v>
      </c>
      <c r="AK250" s="1">
        <v>3</v>
      </c>
      <c r="AL250" s="1">
        <v>3</v>
      </c>
      <c r="AM250" s="1">
        <v>5</v>
      </c>
      <c r="AN250" s="1">
        <v>3</v>
      </c>
      <c r="AO250" s="1">
        <v>3</v>
      </c>
      <c r="AP250" s="1">
        <v>4</v>
      </c>
      <c r="AQ250" s="1">
        <v>2</v>
      </c>
      <c r="AR250" s="1">
        <v>5</v>
      </c>
      <c r="AS250" s="1">
        <v>5</v>
      </c>
      <c r="AT250" s="1">
        <v>5</v>
      </c>
      <c r="AU250" s="1">
        <v>5</v>
      </c>
      <c r="AV250" s="1">
        <v>4</v>
      </c>
      <c r="AW250" s="1">
        <v>3</v>
      </c>
      <c r="AX250" s="1">
        <v>4</v>
      </c>
      <c r="AY250" s="1">
        <v>3</v>
      </c>
      <c r="AZ250" s="1">
        <v>3</v>
      </c>
      <c r="BA250" s="1">
        <v>2</v>
      </c>
      <c r="BB250" s="1">
        <v>3</v>
      </c>
      <c r="BC250" s="1">
        <v>2</v>
      </c>
    </row>
    <row r="251" spans="1:55">
      <c r="A251" s="1" t="s">
        <v>440</v>
      </c>
      <c r="B251" s="1" t="s">
        <v>66</v>
      </c>
      <c r="C251" s="1" t="s">
        <v>439</v>
      </c>
      <c r="D251" s="1">
        <v>3</v>
      </c>
      <c r="E251" s="1">
        <v>3</v>
      </c>
      <c r="F251" s="1">
        <v>2</v>
      </c>
      <c r="G251" s="1">
        <v>2</v>
      </c>
      <c r="H251" s="1">
        <v>3</v>
      </c>
      <c r="I251" s="1">
        <v>3</v>
      </c>
      <c r="J251" s="1">
        <v>3</v>
      </c>
      <c r="K251" s="1">
        <v>3</v>
      </c>
      <c r="L251" s="1">
        <v>2</v>
      </c>
      <c r="M251" s="1">
        <v>3</v>
      </c>
      <c r="N251" s="1">
        <v>4</v>
      </c>
      <c r="O251" s="1">
        <v>2</v>
      </c>
      <c r="P251" s="1">
        <v>2</v>
      </c>
      <c r="Q251" s="1">
        <v>3</v>
      </c>
      <c r="R251" s="1">
        <v>3</v>
      </c>
      <c r="S251" s="1">
        <v>4</v>
      </c>
      <c r="T251" s="1">
        <v>3</v>
      </c>
      <c r="U251" s="1">
        <v>3</v>
      </c>
      <c r="V251" s="1">
        <v>4</v>
      </c>
      <c r="W251" s="1">
        <v>4</v>
      </c>
      <c r="X251" s="1">
        <v>2</v>
      </c>
      <c r="Y251" s="1">
        <v>2</v>
      </c>
      <c r="Z251" s="1">
        <v>2</v>
      </c>
      <c r="AA251" s="1">
        <v>3</v>
      </c>
      <c r="AB251" s="1">
        <v>3</v>
      </c>
      <c r="AC251" s="1">
        <v>3</v>
      </c>
      <c r="AD251" s="1">
        <v>3</v>
      </c>
      <c r="AE251" s="1">
        <v>4</v>
      </c>
      <c r="AF251" s="1">
        <v>2</v>
      </c>
      <c r="AG251" s="1">
        <v>2</v>
      </c>
      <c r="AH251" s="1">
        <v>4</v>
      </c>
      <c r="AI251" s="1">
        <v>3</v>
      </c>
      <c r="AJ251" s="1">
        <v>3</v>
      </c>
      <c r="AK251" s="1">
        <v>4</v>
      </c>
      <c r="AL251" s="1">
        <v>4</v>
      </c>
      <c r="AM251" s="1">
        <v>4</v>
      </c>
      <c r="AN251" s="1">
        <v>3</v>
      </c>
      <c r="AO251" s="1">
        <v>4</v>
      </c>
      <c r="AP251" s="1">
        <v>3</v>
      </c>
      <c r="AQ251" s="1">
        <v>3</v>
      </c>
      <c r="AR251" s="1">
        <v>3</v>
      </c>
      <c r="AS251" s="1">
        <v>3</v>
      </c>
      <c r="AT251" s="1">
        <v>5</v>
      </c>
      <c r="AU251" s="1">
        <v>5</v>
      </c>
      <c r="AV251" s="1">
        <v>4</v>
      </c>
      <c r="AW251" s="1">
        <v>3</v>
      </c>
      <c r="AX251" s="1">
        <v>4</v>
      </c>
      <c r="AY251" s="1">
        <v>4</v>
      </c>
      <c r="AZ251" s="1">
        <v>3</v>
      </c>
      <c r="BA251" s="1">
        <v>3</v>
      </c>
      <c r="BB251" s="1">
        <v>3</v>
      </c>
      <c r="BC251" s="1">
        <v>3</v>
      </c>
    </row>
    <row r="252" spans="1:55">
      <c r="A252" s="1" t="s">
        <v>441</v>
      </c>
      <c r="B252" s="1" t="s">
        <v>66</v>
      </c>
      <c r="C252" s="1" t="s">
        <v>442</v>
      </c>
      <c r="D252" s="1">
        <v>2</v>
      </c>
      <c r="E252" s="1">
        <v>3</v>
      </c>
      <c r="F252" s="1">
        <v>3</v>
      </c>
      <c r="G252" s="1">
        <v>3</v>
      </c>
      <c r="H252" s="1">
        <v>3</v>
      </c>
      <c r="I252" s="1">
        <v>3</v>
      </c>
      <c r="J252" s="1">
        <v>4</v>
      </c>
      <c r="K252" s="1">
        <v>4</v>
      </c>
      <c r="L252" s="1">
        <v>3</v>
      </c>
      <c r="M252" s="1">
        <v>3</v>
      </c>
      <c r="N252" s="1">
        <v>4</v>
      </c>
      <c r="O252" s="1">
        <v>4</v>
      </c>
      <c r="P252" s="1">
        <v>4</v>
      </c>
      <c r="Q252" s="1">
        <v>4</v>
      </c>
      <c r="R252" s="1">
        <v>3</v>
      </c>
      <c r="S252" s="1">
        <v>3</v>
      </c>
      <c r="T252" s="1">
        <v>3</v>
      </c>
      <c r="U252" s="1">
        <v>3</v>
      </c>
      <c r="V252" s="1">
        <v>4</v>
      </c>
      <c r="W252" s="1">
        <v>1</v>
      </c>
      <c r="X252" s="1">
        <v>2</v>
      </c>
      <c r="Y252" s="1">
        <v>2</v>
      </c>
      <c r="Z252" s="1">
        <v>4</v>
      </c>
      <c r="AA252" s="1">
        <v>3</v>
      </c>
      <c r="AB252" s="1">
        <v>3</v>
      </c>
      <c r="AC252" s="1">
        <v>2</v>
      </c>
      <c r="AD252" s="1">
        <v>3</v>
      </c>
      <c r="AE252" s="1">
        <v>3</v>
      </c>
      <c r="AF252" s="1">
        <v>3</v>
      </c>
      <c r="AG252" s="1">
        <v>4</v>
      </c>
      <c r="AH252" s="1">
        <v>4</v>
      </c>
      <c r="AI252" s="1">
        <v>5</v>
      </c>
      <c r="AJ252" s="1">
        <v>4</v>
      </c>
      <c r="AK252" s="1">
        <v>4</v>
      </c>
      <c r="AL252" s="1">
        <v>3</v>
      </c>
      <c r="AM252" s="1">
        <v>3</v>
      </c>
      <c r="AN252" s="1">
        <v>3</v>
      </c>
      <c r="AO252" s="1">
        <v>3</v>
      </c>
      <c r="AP252" s="1">
        <v>4</v>
      </c>
      <c r="AQ252" s="1">
        <v>3</v>
      </c>
      <c r="AR252" s="1">
        <v>3</v>
      </c>
      <c r="AS252" s="1">
        <v>3</v>
      </c>
      <c r="AT252" s="1">
        <v>3</v>
      </c>
      <c r="AU252" s="1">
        <v>3</v>
      </c>
      <c r="AV252" s="1">
        <v>3</v>
      </c>
      <c r="AW252" s="1">
        <v>1</v>
      </c>
      <c r="AX252" s="1">
        <v>2</v>
      </c>
      <c r="AY252" s="1">
        <v>2</v>
      </c>
      <c r="AZ252" s="1">
        <v>4</v>
      </c>
      <c r="BA252" s="1">
        <v>3</v>
      </c>
      <c r="BB252" s="1">
        <v>4</v>
      </c>
      <c r="BC252" s="1">
        <v>2</v>
      </c>
    </row>
    <row r="253" spans="1:55">
      <c r="A253" s="1" t="s">
        <v>443</v>
      </c>
      <c r="B253" s="1" t="s">
        <v>66</v>
      </c>
      <c r="C253" s="1" t="s">
        <v>442</v>
      </c>
      <c r="D253" s="1">
        <v>4</v>
      </c>
      <c r="E253" s="1">
        <v>4</v>
      </c>
      <c r="F253" s="1">
        <v>3</v>
      </c>
      <c r="G253" s="1">
        <v>2</v>
      </c>
      <c r="H253" s="1">
        <v>3</v>
      </c>
      <c r="I253" s="1">
        <v>2</v>
      </c>
      <c r="J253" s="1">
        <v>3</v>
      </c>
      <c r="K253" s="1">
        <v>3</v>
      </c>
      <c r="L253" s="1">
        <v>3</v>
      </c>
      <c r="M253" s="1">
        <v>4</v>
      </c>
      <c r="N253" s="1">
        <v>3</v>
      </c>
      <c r="O253" s="1">
        <v>4</v>
      </c>
      <c r="P253" s="1">
        <v>3</v>
      </c>
      <c r="Q253" s="1">
        <v>3</v>
      </c>
      <c r="R253" s="1">
        <v>4</v>
      </c>
      <c r="S253" s="1">
        <v>5</v>
      </c>
      <c r="T253" s="1">
        <v>3</v>
      </c>
      <c r="U253" s="1">
        <v>4</v>
      </c>
      <c r="V253" s="1">
        <v>3</v>
      </c>
      <c r="W253" s="1">
        <v>3</v>
      </c>
      <c r="X253" s="1">
        <v>4</v>
      </c>
      <c r="Y253" s="1">
        <v>3</v>
      </c>
      <c r="Z253" s="1">
        <v>4</v>
      </c>
      <c r="AA253" s="1">
        <v>3</v>
      </c>
      <c r="AB253" s="1">
        <v>3</v>
      </c>
      <c r="AC253" s="1">
        <v>3</v>
      </c>
      <c r="AD253" s="1">
        <v>4</v>
      </c>
      <c r="AE253" s="1">
        <v>5</v>
      </c>
      <c r="AF253" s="1">
        <v>3</v>
      </c>
      <c r="AG253" s="1">
        <v>1</v>
      </c>
      <c r="AH253" s="1">
        <v>3</v>
      </c>
      <c r="AI253" s="1">
        <v>3</v>
      </c>
      <c r="AJ253" s="1">
        <v>4</v>
      </c>
      <c r="AK253" s="1">
        <v>3</v>
      </c>
      <c r="AL253" s="1">
        <v>4</v>
      </c>
      <c r="AM253" s="1">
        <v>5</v>
      </c>
      <c r="AN253" s="1">
        <v>3</v>
      </c>
      <c r="AO253" s="1">
        <v>3</v>
      </c>
      <c r="AP253" s="1">
        <v>3</v>
      </c>
      <c r="AQ253" s="1">
        <v>5</v>
      </c>
      <c r="AR253" s="1">
        <v>4</v>
      </c>
      <c r="AS253" s="1">
        <v>4</v>
      </c>
      <c r="AT253" s="1">
        <v>5</v>
      </c>
      <c r="AU253" s="1">
        <v>4</v>
      </c>
      <c r="AV253" s="1">
        <v>4</v>
      </c>
      <c r="AW253" s="1">
        <v>3</v>
      </c>
      <c r="AX253" s="1">
        <v>4</v>
      </c>
      <c r="AY253" s="1">
        <v>4</v>
      </c>
      <c r="AZ253" s="1">
        <v>3</v>
      </c>
      <c r="BA253" s="1">
        <v>4</v>
      </c>
      <c r="BB253" s="1">
        <v>4</v>
      </c>
      <c r="BC253" s="1">
        <v>3</v>
      </c>
    </row>
    <row r="254" spans="1:55">
      <c r="A254" s="1" t="s">
        <v>444</v>
      </c>
      <c r="B254" s="1" t="s">
        <v>66</v>
      </c>
      <c r="C254" s="1" t="s">
        <v>445</v>
      </c>
      <c r="D254" s="1">
        <v>3</v>
      </c>
      <c r="E254" s="1">
        <v>4</v>
      </c>
      <c r="F254" s="1">
        <v>3</v>
      </c>
      <c r="G254" s="1">
        <v>3</v>
      </c>
      <c r="H254" s="1">
        <v>3</v>
      </c>
      <c r="I254" s="1">
        <v>3</v>
      </c>
      <c r="J254" s="1">
        <v>3</v>
      </c>
      <c r="K254" s="1">
        <v>4</v>
      </c>
      <c r="L254" s="1">
        <v>3</v>
      </c>
      <c r="M254" s="1">
        <v>4</v>
      </c>
      <c r="N254" s="1">
        <v>3</v>
      </c>
      <c r="O254" s="1">
        <v>4</v>
      </c>
      <c r="P254" s="1">
        <v>3</v>
      </c>
      <c r="Q254" s="1">
        <v>4</v>
      </c>
      <c r="R254" s="1">
        <v>3</v>
      </c>
      <c r="S254" s="1">
        <v>4</v>
      </c>
      <c r="T254" s="1">
        <v>4</v>
      </c>
      <c r="U254" s="1">
        <v>5</v>
      </c>
      <c r="V254" s="1">
        <v>3</v>
      </c>
      <c r="W254" s="1">
        <v>2</v>
      </c>
      <c r="X254" s="1">
        <v>3</v>
      </c>
      <c r="Y254" s="1">
        <v>2</v>
      </c>
      <c r="Z254" s="1">
        <v>3</v>
      </c>
      <c r="AA254" s="1">
        <v>4</v>
      </c>
      <c r="AB254" s="1">
        <v>4</v>
      </c>
      <c r="AC254" s="1">
        <v>3</v>
      </c>
      <c r="AD254" s="1">
        <v>4</v>
      </c>
      <c r="AE254" s="1">
        <v>3</v>
      </c>
      <c r="AF254" s="1">
        <v>2</v>
      </c>
      <c r="AG254" s="1">
        <v>2</v>
      </c>
      <c r="AH254" s="1">
        <v>4</v>
      </c>
      <c r="AI254" s="1">
        <v>3</v>
      </c>
      <c r="AJ254" s="1">
        <v>3</v>
      </c>
      <c r="AK254" s="1">
        <v>4</v>
      </c>
      <c r="AL254" s="1">
        <v>4</v>
      </c>
      <c r="AM254" s="1">
        <v>5</v>
      </c>
      <c r="AN254" s="1">
        <v>3</v>
      </c>
      <c r="AO254" s="1">
        <v>4</v>
      </c>
      <c r="AP254" s="1">
        <v>4</v>
      </c>
      <c r="AQ254" s="1">
        <v>4</v>
      </c>
      <c r="AR254" s="1">
        <v>4</v>
      </c>
      <c r="AS254" s="1">
        <v>4</v>
      </c>
      <c r="AT254" s="1">
        <v>4</v>
      </c>
      <c r="AU254" s="1">
        <v>4</v>
      </c>
      <c r="AV254" s="1">
        <v>4</v>
      </c>
      <c r="AW254" s="1">
        <v>2</v>
      </c>
      <c r="AX254" s="1">
        <v>3</v>
      </c>
      <c r="AY254" s="1">
        <v>3</v>
      </c>
      <c r="AZ254" s="1">
        <v>4</v>
      </c>
      <c r="BA254" s="1">
        <v>5</v>
      </c>
      <c r="BB254" s="1">
        <v>4</v>
      </c>
      <c r="BC254" s="1">
        <v>1</v>
      </c>
    </row>
    <row r="255" spans="1:55">
      <c r="A255" s="1" t="s">
        <v>446</v>
      </c>
      <c r="B255" s="1" t="s">
        <v>66</v>
      </c>
      <c r="C255" s="1" t="s">
        <v>445</v>
      </c>
      <c r="D255" s="1">
        <v>4</v>
      </c>
      <c r="E255" s="1">
        <v>4</v>
      </c>
      <c r="F255" s="1">
        <v>3</v>
      </c>
      <c r="G255" s="1">
        <v>1</v>
      </c>
      <c r="H255" s="1">
        <v>2</v>
      </c>
      <c r="I255" s="1">
        <v>2</v>
      </c>
      <c r="J255" s="1">
        <v>3</v>
      </c>
      <c r="K255" s="1">
        <v>3</v>
      </c>
      <c r="L255" s="1">
        <v>3</v>
      </c>
      <c r="M255" s="1">
        <v>3</v>
      </c>
      <c r="N255" s="1">
        <v>3</v>
      </c>
      <c r="O255" s="1">
        <v>3</v>
      </c>
      <c r="P255" s="1">
        <v>2</v>
      </c>
      <c r="Q255" s="1">
        <v>4</v>
      </c>
      <c r="R255" s="1">
        <v>4</v>
      </c>
      <c r="S255" s="1">
        <v>4</v>
      </c>
      <c r="T255" s="1">
        <v>4</v>
      </c>
      <c r="U255" s="1">
        <v>3</v>
      </c>
      <c r="V255" s="1">
        <v>3</v>
      </c>
      <c r="W255" s="1">
        <v>3</v>
      </c>
      <c r="X255" s="1">
        <v>3</v>
      </c>
      <c r="Y255" s="1">
        <v>3</v>
      </c>
      <c r="Z255" s="1">
        <v>3</v>
      </c>
      <c r="AA255" s="1">
        <v>4</v>
      </c>
      <c r="AB255" s="1">
        <v>2</v>
      </c>
      <c r="AC255" s="1">
        <v>5</v>
      </c>
      <c r="AD255" s="1">
        <v>3</v>
      </c>
      <c r="AE255" s="1">
        <v>4</v>
      </c>
      <c r="AF255" s="1">
        <v>2</v>
      </c>
      <c r="AG255" s="1">
        <v>2</v>
      </c>
      <c r="AH255" s="1">
        <v>4</v>
      </c>
      <c r="AI255" s="1">
        <v>3</v>
      </c>
      <c r="AJ255" s="1">
        <v>2</v>
      </c>
      <c r="AK255" s="1">
        <v>3</v>
      </c>
      <c r="AL255" s="1">
        <v>3</v>
      </c>
      <c r="AM255" s="1">
        <v>4</v>
      </c>
      <c r="AN255" s="1">
        <v>3</v>
      </c>
      <c r="AO255" s="1">
        <v>4</v>
      </c>
      <c r="AP255" s="1">
        <v>4</v>
      </c>
      <c r="AQ255" s="1">
        <v>3</v>
      </c>
      <c r="AR255" s="1">
        <v>5</v>
      </c>
      <c r="AS255" s="1">
        <v>4</v>
      </c>
      <c r="AT255" s="1">
        <v>5</v>
      </c>
      <c r="AU255" s="1">
        <v>5</v>
      </c>
      <c r="AV255" s="1">
        <v>4</v>
      </c>
      <c r="AW255" s="1">
        <v>3</v>
      </c>
      <c r="AX255" s="1">
        <v>3</v>
      </c>
      <c r="AY255" s="1">
        <v>3</v>
      </c>
      <c r="AZ255" s="1">
        <v>2</v>
      </c>
      <c r="BA255" s="1">
        <v>4</v>
      </c>
      <c r="BB255" s="1">
        <v>4</v>
      </c>
      <c r="BC255" s="1">
        <v>4</v>
      </c>
    </row>
    <row r="256" spans="1:55">
      <c r="A256" s="1" t="s">
        <v>447</v>
      </c>
      <c r="B256" s="1" t="s">
        <v>66</v>
      </c>
      <c r="C256" s="1" t="s">
        <v>448</v>
      </c>
      <c r="D256" s="1">
        <v>3</v>
      </c>
      <c r="E256" s="1">
        <v>3</v>
      </c>
      <c r="F256" s="1">
        <v>4</v>
      </c>
      <c r="G256" s="1">
        <v>4</v>
      </c>
      <c r="H256" s="1">
        <v>3</v>
      </c>
      <c r="I256" s="1">
        <v>2</v>
      </c>
      <c r="J256" s="1">
        <v>3</v>
      </c>
      <c r="K256" s="1">
        <v>2</v>
      </c>
      <c r="L256" s="1">
        <v>2</v>
      </c>
      <c r="M256" s="1">
        <v>3</v>
      </c>
      <c r="N256" s="1">
        <v>3</v>
      </c>
      <c r="O256" s="1">
        <v>3</v>
      </c>
      <c r="P256" s="1">
        <v>3</v>
      </c>
      <c r="Q256" s="1">
        <v>2</v>
      </c>
      <c r="R256" s="1">
        <v>3</v>
      </c>
      <c r="S256" s="1">
        <v>2</v>
      </c>
      <c r="T256" s="1">
        <v>3</v>
      </c>
      <c r="U256" s="1">
        <v>3</v>
      </c>
      <c r="V256" s="1">
        <v>3</v>
      </c>
      <c r="W256" s="1">
        <v>3</v>
      </c>
      <c r="X256" s="1">
        <v>4</v>
      </c>
      <c r="Y256" s="1">
        <v>4</v>
      </c>
      <c r="Z256" s="1">
        <v>3</v>
      </c>
      <c r="AA256" s="1">
        <v>2</v>
      </c>
      <c r="AB256" s="1">
        <v>2</v>
      </c>
      <c r="AC256" s="1">
        <v>4</v>
      </c>
      <c r="AD256" s="1">
        <v>4</v>
      </c>
      <c r="AE256" s="1">
        <v>3</v>
      </c>
      <c r="AF256" s="1">
        <v>3</v>
      </c>
      <c r="AG256" s="1">
        <v>3</v>
      </c>
      <c r="AH256" s="1">
        <v>4</v>
      </c>
      <c r="AI256" s="1">
        <v>2</v>
      </c>
      <c r="AJ256" s="1">
        <v>2</v>
      </c>
      <c r="AK256" s="1">
        <v>3</v>
      </c>
      <c r="AL256" s="1">
        <v>3</v>
      </c>
      <c r="AM256" s="1">
        <v>4</v>
      </c>
      <c r="AN256" s="1">
        <v>3</v>
      </c>
      <c r="AO256" s="1">
        <v>3</v>
      </c>
      <c r="AP256" s="1">
        <v>3</v>
      </c>
      <c r="AQ256" s="1">
        <v>2</v>
      </c>
      <c r="AR256" s="1">
        <v>3</v>
      </c>
      <c r="AS256" s="1">
        <v>3</v>
      </c>
      <c r="AT256" s="1">
        <v>3</v>
      </c>
      <c r="AU256" s="1">
        <v>4</v>
      </c>
      <c r="AV256" s="1">
        <v>3</v>
      </c>
      <c r="AW256" s="1">
        <v>4</v>
      </c>
      <c r="AX256" s="1">
        <v>4</v>
      </c>
      <c r="AY256" s="1">
        <v>4</v>
      </c>
      <c r="AZ256" s="1">
        <v>4</v>
      </c>
      <c r="BA256" s="1">
        <v>2</v>
      </c>
      <c r="BB256" s="1">
        <v>2</v>
      </c>
      <c r="BC256" s="1">
        <v>3</v>
      </c>
    </row>
    <row r="257" spans="1:55">
      <c r="A257" s="1" t="s">
        <v>449</v>
      </c>
      <c r="B257" s="1" t="s">
        <v>66</v>
      </c>
      <c r="C257" s="1" t="s">
        <v>448</v>
      </c>
      <c r="D257" s="1">
        <v>4</v>
      </c>
      <c r="E257" s="1">
        <v>3</v>
      </c>
      <c r="F257" s="1">
        <v>3</v>
      </c>
      <c r="G257" s="1">
        <v>3</v>
      </c>
      <c r="H257" s="1">
        <v>4</v>
      </c>
      <c r="I257" s="1">
        <v>4</v>
      </c>
      <c r="J257" s="1">
        <v>3</v>
      </c>
      <c r="K257" s="1">
        <v>3</v>
      </c>
      <c r="L257" s="1">
        <v>3</v>
      </c>
      <c r="M257" s="1">
        <v>3</v>
      </c>
      <c r="N257" s="1">
        <v>4</v>
      </c>
      <c r="O257" s="1">
        <v>3</v>
      </c>
      <c r="P257" s="1">
        <v>3</v>
      </c>
      <c r="Q257" s="1">
        <v>4</v>
      </c>
      <c r="R257" s="1">
        <v>3</v>
      </c>
      <c r="S257" s="1">
        <v>3</v>
      </c>
      <c r="T257" s="1">
        <v>3</v>
      </c>
      <c r="U257" s="1">
        <v>3</v>
      </c>
      <c r="V257" s="1">
        <v>4</v>
      </c>
      <c r="W257" s="1">
        <v>3</v>
      </c>
      <c r="X257" s="1">
        <v>4</v>
      </c>
      <c r="Y257" s="1">
        <v>4</v>
      </c>
      <c r="Z257" s="1">
        <v>3</v>
      </c>
      <c r="AA257" s="1">
        <v>4</v>
      </c>
      <c r="AB257" s="1">
        <v>3</v>
      </c>
      <c r="AC257" s="1">
        <v>2</v>
      </c>
      <c r="AD257" s="1">
        <v>3</v>
      </c>
      <c r="AE257" s="1">
        <v>3</v>
      </c>
      <c r="AF257" s="1">
        <v>2</v>
      </c>
      <c r="AG257" s="1">
        <v>3</v>
      </c>
      <c r="AH257" s="1">
        <v>4</v>
      </c>
      <c r="AI257" s="1">
        <v>4</v>
      </c>
      <c r="AJ257" s="1">
        <v>4</v>
      </c>
      <c r="AK257" s="1">
        <v>3</v>
      </c>
      <c r="AL257" s="1">
        <v>4</v>
      </c>
      <c r="AM257" s="1">
        <v>4</v>
      </c>
      <c r="AN257" s="1">
        <v>4</v>
      </c>
      <c r="AO257" s="1">
        <v>4</v>
      </c>
      <c r="AP257" s="1">
        <v>4</v>
      </c>
      <c r="AQ257" s="1">
        <v>4</v>
      </c>
      <c r="AR257" s="1">
        <v>4</v>
      </c>
      <c r="AS257" s="1">
        <v>2</v>
      </c>
      <c r="AT257" s="1">
        <v>4</v>
      </c>
      <c r="AU257" s="1">
        <v>5</v>
      </c>
      <c r="AV257" s="1">
        <v>4</v>
      </c>
      <c r="AW257" s="1">
        <v>4</v>
      </c>
      <c r="AX257" s="1">
        <v>4</v>
      </c>
      <c r="AY257" s="1">
        <v>4</v>
      </c>
      <c r="AZ257" s="1">
        <v>3</v>
      </c>
      <c r="BA257" s="1">
        <v>3</v>
      </c>
      <c r="BB257" s="1">
        <v>4</v>
      </c>
      <c r="BC257" s="1">
        <v>2</v>
      </c>
    </row>
    <row r="258" spans="1:55">
      <c r="A258" s="1" t="s">
        <v>450</v>
      </c>
      <c r="B258" s="1" t="s">
        <v>66</v>
      </c>
      <c r="C258" s="1" t="s">
        <v>451</v>
      </c>
      <c r="D258" s="1">
        <v>4</v>
      </c>
      <c r="E258" s="1">
        <v>3</v>
      </c>
      <c r="F258" s="1">
        <v>3</v>
      </c>
      <c r="G258" s="1">
        <v>3</v>
      </c>
      <c r="H258" s="1">
        <v>4</v>
      </c>
      <c r="I258" s="1">
        <v>4</v>
      </c>
      <c r="J258" s="1">
        <v>4</v>
      </c>
      <c r="K258" s="1">
        <v>4</v>
      </c>
      <c r="L258" s="1">
        <v>4</v>
      </c>
      <c r="M258" s="1">
        <v>3</v>
      </c>
      <c r="N258" s="1">
        <v>4</v>
      </c>
      <c r="O258" s="1">
        <v>4</v>
      </c>
      <c r="P258" s="1">
        <v>3</v>
      </c>
      <c r="Q258" s="1">
        <v>4</v>
      </c>
      <c r="R258" s="1">
        <v>3</v>
      </c>
      <c r="S258" s="1">
        <v>3</v>
      </c>
      <c r="T258" s="1">
        <v>3</v>
      </c>
      <c r="U258" s="1">
        <v>4</v>
      </c>
      <c r="V258" s="1">
        <v>3</v>
      </c>
      <c r="W258" s="1">
        <v>2</v>
      </c>
      <c r="X258" s="1">
        <v>3</v>
      </c>
      <c r="Y258" s="1">
        <v>4</v>
      </c>
      <c r="Z258" s="1">
        <v>4</v>
      </c>
      <c r="AA258" s="1">
        <v>3</v>
      </c>
      <c r="AB258" s="1">
        <v>5</v>
      </c>
      <c r="AC258" s="1">
        <v>3</v>
      </c>
      <c r="AD258" s="1">
        <v>3</v>
      </c>
      <c r="AE258" s="1">
        <v>4</v>
      </c>
      <c r="AF258" s="1">
        <v>3</v>
      </c>
      <c r="AG258" s="1">
        <v>2</v>
      </c>
      <c r="AH258" s="1">
        <v>3</v>
      </c>
      <c r="AI258" s="1">
        <v>4</v>
      </c>
      <c r="AJ258" s="1">
        <v>3</v>
      </c>
      <c r="AK258" s="1">
        <v>4</v>
      </c>
      <c r="AL258" s="1">
        <v>4</v>
      </c>
      <c r="AM258" s="1">
        <v>3</v>
      </c>
      <c r="AN258" s="1">
        <v>4</v>
      </c>
      <c r="AO258" s="1">
        <v>3</v>
      </c>
      <c r="AP258" s="1">
        <v>3</v>
      </c>
      <c r="AQ258" s="1">
        <v>3</v>
      </c>
      <c r="AR258" s="1">
        <v>4</v>
      </c>
      <c r="AS258" s="1">
        <v>4</v>
      </c>
      <c r="AT258" s="1">
        <v>4</v>
      </c>
      <c r="AU258" s="1">
        <v>3</v>
      </c>
      <c r="AV258" s="1">
        <v>4</v>
      </c>
      <c r="AW258" s="1">
        <v>3</v>
      </c>
      <c r="AX258" s="1">
        <v>2</v>
      </c>
      <c r="AY258" s="1">
        <v>3</v>
      </c>
      <c r="AZ258" s="1">
        <v>3</v>
      </c>
      <c r="BA258" s="1">
        <v>3</v>
      </c>
      <c r="BB258" s="1">
        <v>4</v>
      </c>
      <c r="BC258" s="1">
        <v>2</v>
      </c>
    </row>
    <row r="259" spans="1:55">
      <c r="A259" s="1" t="s">
        <v>452</v>
      </c>
      <c r="B259" s="1" t="s">
        <v>66</v>
      </c>
      <c r="C259" s="1" t="s">
        <v>451</v>
      </c>
      <c r="D259" s="1">
        <v>3</v>
      </c>
      <c r="E259" s="1">
        <v>4</v>
      </c>
      <c r="F259" s="1">
        <v>2</v>
      </c>
      <c r="G259" s="1">
        <v>2</v>
      </c>
      <c r="H259" s="1">
        <v>3</v>
      </c>
      <c r="I259" s="1">
        <v>2</v>
      </c>
      <c r="J259" s="1">
        <v>2</v>
      </c>
      <c r="K259" s="1">
        <v>2</v>
      </c>
      <c r="L259" s="1">
        <v>2</v>
      </c>
      <c r="M259" s="1">
        <v>4</v>
      </c>
      <c r="N259" s="1">
        <v>2</v>
      </c>
      <c r="O259" s="1">
        <v>2</v>
      </c>
      <c r="P259" s="1">
        <v>3</v>
      </c>
      <c r="Q259" s="1">
        <v>2</v>
      </c>
      <c r="R259" s="1">
        <v>4</v>
      </c>
      <c r="S259" s="1">
        <v>3</v>
      </c>
      <c r="T259" s="1">
        <v>3</v>
      </c>
      <c r="U259" s="1">
        <v>3</v>
      </c>
      <c r="V259" s="1">
        <v>3</v>
      </c>
      <c r="W259" s="1">
        <v>1</v>
      </c>
      <c r="X259" s="1">
        <v>3</v>
      </c>
      <c r="Y259" s="1">
        <v>2</v>
      </c>
      <c r="Z259" s="1">
        <v>3</v>
      </c>
      <c r="AA259" s="1">
        <v>2</v>
      </c>
      <c r="AB259" s="1">
        <v>2</v>
      </c>
      <c r="AC259" s="1">
        <v>4</v>
      </c>
      <c r="AD259" s="1">
        <v>4</v>
      </c>
      <c r="AE259" s="1">
        <v>4</v>
      </c>
      <c r="AF259" s="1">
        <v>3</v>
      </c>
      <c r="AG259" s="1">
        <v>2</v>
      </c>
      <c r="AH259" s="1">
        <v>3</v>
      </c>
      <c r="AI259" s="1">
        <v>3</v>
      </c>
      <c r="AJ259" s="1">
        <v>3</v>
      </c>
      <c r="AK259" s="1">
        <v>3</v>
      </c>
      <c r="AL259" s="1">
        <v>3</v>
      </c>
      <c r="AM259" s="1">
        <v>3</v>
      </c>
      <c r="AN259" s="1">
        <v>3</v>
      </c>
      <c r="AO259" s="1">
        <v>4</v>
      </c>
      <c r="AP259" s="1">
        <v>2</v>
      </c>
      <c r="AQ259" s="1">
        <v>2</v>
      </c>
      <c r="AR259" s="1">
        <v>4</v>
      </c>
      <c r="AS259" s="1">
        <v>3</v>
      </c>
      <c r="AT259" s="1">
        <v>4</v>
      </c>
      <c r="AU259" s="1">
        <v>2</v>
      </c>
      <c r="AV259" s="1">
        <v>3</v>
      </c>
      <c r="AW259" s="1">
        <v>3</v>
      </c>
      <c r="AX259" s="1">
        <v>2</v>
      </c>
      <c r="AY259" s="1">
        <v>4</v>
      </c>
      <c r="AZ259" s="1">
        <v>2</v>
      </c>
      <c r="BA259" s="1">
        <v>3</v>
      </c>
      <c r="BB259" s="1">
        <v>3</v>
      </c>
      <c r="BC259" s="1">
        <v>3</v>
      </c>
    </row>
    <row r="260" spans="1:55">
      <c r="A260" s="1" t="s">
        <v>453</v>
      </c>
      <c r="B260" s="1" t="s">
        <v>66</v>
      </c>
      <c r="C260" s="1" t="s">
        <v>454</v>
      </c>
      <c r="D260" s="1">
        <v>2</v>
      </c>
      <c r="E260" s="1">
        <v>3</v>
      </c>
      <c r="F260" s="1">
        <v>3</v>
      </c>
      <c r="G260" s="1">
        <v>2</v>
      </c>
      <c r="H260" s="1">
        <v>3</v>
      </c>
      <c r="I260" s="1">
        <v>2</v>
      </c>
      <c r="J260" s="1">
        <v>2</v>
      </c>
      <c r="K260" s="1">
        <v>2</v>
      </c>
      <c r="L260" s="1">
        <v>2</v>
      </c>
      <c r="M260" s="1">
        <v>4</v>
      </c>
      <c r="N260" s="1">
        <v>2</v>
      </c>
      <c r="O260" s="1">
        <v>1</v>
      </c>
      <c r="P260" s="1">
        <v>2</v>
      </c>
      <c r="Q260" s="1">
        <v>2</v>
      </c>
      <c r="R260" s="1">
        <v>4</v>
      </c>
      <c r="S260" s="1">
        <v>4</v>
      </c>
      <c r="T260" s="1">
        <v>4</v>
      </c>
      <c r="U260" s="1">
        <v>3</v>
      </c>
      <c r="V260" s="1">
        <v>3</v>
      </c>
      <c r="W260" s="1">
        <v>3</v>
      </c>
      <c r="X260" s="1">
        <v>3</v>
      </c>
      <c r="Y260" s="1">
        <v>1</v>
      </c>
      <c r="Z260" s="1">
        <v>2</v>
      </c>
      <c r="AA260" s="1">
        <v>2</v>
      </c>
      <c r="AB260" s="1">
        <v>2</v>
      </c>
      <c r="AC260" s="1">
        <v>4</v>
      </c>
      <c r="AD260" s="1">
        <v>4</v>
      </c>
      <c r="AE260" s="1">
        <v>4</v>
      </c>
      <c r="AF260" s="1">
        <v>1</v>
      </c>
      <c r="AG260" s="1">
        <v>1</v>
      </c>
      <c r="AH260" s="1">
        <v>3</v>
      </c>
      <c r="AI260" s="1">
        <v>3</v>
      </c>
      <c r="AJ260" s="1">
        <v>2</v>
      </c>
      <c r="AK260" s="1">
        <v>2</v>
      </c>
      <c r="AL260" s="1">
        <v>3</v>
      </c>
      <c r="AM260" s="1">
        <v>4</v>
      </c>
      <c r="AN260" s="1">
        <v>3</v>
      </c>
      <c r="AO260" s="1">
        <v>3</v>
      </c>
      <c r="AP260" s="1">
        <v>3</v>
      </c>
      <c r="AQ260" s="1">
        <v>3</v>
      </c>
      <c r="AR260" s="1">
        <v>5</v>
      </c>
      <c r="AS260" s="1">
        <v>4</v>
      </c>
      <c r="AT260" s="1">
        <v>4</v>
      </c>
      <c r="AU260" s="1">
        <v>3</v>
      </c>
      <c r="AV260" s="1">
        <v>3</v>
      </c>
      <c r="AW260" s="1">
        <v>3</v>
      </c>
      <c r="AX260" s="1">
        <v>2</v>
      </c>
      <c r="AY260" s="1">
        <v>4</v>
      </c>
      <c r="AZ260" s="1">
        <v>3</v>
      </c>
      <c r="BA260" s="1">
        <v>1</v>
      </c>
      <c r="BB260" s="1">
        <v>2</v>
      </c>
      <c r="BC260" s="1">
        <v>2</v>
      </c>
    </row>
    <row r="261" spans="1:55">
      <c r="A261" s="1" t="s">
        <v>455</v>
      </c>
      <c r="B261" s="1" t="s">
        <v>66</v>
      </c>
      <c r="C261" s="1" t="s">
        <v>454</v>
      </c>
      <c r="D261" s="1">
        <v>3</v>
      </c>
      <c r="E261" s="1">
        <v>2</v>
      </c>
      <c r="F261" s="1">
        <v>3</v>
      </c>
      <c r="G261" s="1">
        <v>3</v>
      </c>
      <c r="H261" s="1">
        <v>4</v>
      </c>
      <c r="I261" s="1">
        <v>3</v>
      </c>
      <c r="J261" s="1">
        <v>4</v>
      </c>
      <c r="K261" s="1">
        <v>3</v>
      </c>
      <c r="L261" s="1">
        <v>4</v>
      </c>
      <c r="M261" s="1">
        <v>4</v>
      </c>
      <c r="N261" s="1">
        <v>3</v>
      </c>
      <c r="O261" s="1">
        <v>3</v>
      </c>
      <c r="P261" s="1">
        <v>3</v>
      </c>
      <c r="Q261" s="1">
        <v>4</v>
      </c>
      <c r="R261" s="1">
        <v>3</v>
      </c>
      <c r="S261" s="1">
        <v>3</v>
      </c>
      <c r="T261" s="1">
        <v>2</v>
      </c>
      <c r="U261" s="1">
        <v>3</v>
      </c>
      <c r="V261" s="1">
        <v>4</v>
      </c>
      <c r="W261" s="1">
        <v>3</v>
      </c>
      <c r="X261" s="1">
        <v>3</v>
      </c>
      <c r="Y261" s="1">
        <v>3</v>
      </c>
      <c r="Z261" s="1">
        <v>5</v>
      </c>
      <c r="AA261" s="1">
        <v>3</v>
      </c>
      <c r="AB261" s="1">
        <v>4</v>
      </c>
      <c r="AC261" s="1">
        <v>2</v>
      </c>
      <c r="AD261" s="1">
        <v>3</v>
      </c>
      <c r="AE261" s="1">
        <v>3</v>
      </c>
      <c r="AF261" s="1">
        <v>3</v>
      </c>
      <c r="AG261" s="1">
        <v>2</v>
      </c>
      <c r="AH261" s="1">
        <v>4</v>
      </c>
      <c r="AI261" s="1">
        <v>4</v>
      </c>
      <c r="AJ261" s="1">
        <v>4</v>
      </c>
      <c r="AK261" s="1">
        <v>4</v>
      </c>
      <c r="AL261" s="1">
        <v>4</v>
      </c>
      <c r="AM261" s="1">
        <v>4</v>
      </c>
      <c r="AN261" s="1">
        <v>3</v>
      </c>
      <c r="AO261" s="1">
        <v>3</v>
      </c>
      <c r="AP261" s="1">
        <v>4</v>
      </c>
      <c r="AQ261" s="1">
        <v>4</v>
      </c>
      <c r="AR261" s="1">
        <v>4</v>
      </c>
      <c r="AS261" s="1">
        <v>4</v>
      </c>
      <c r="AT261" s="1">
        <v>3</v>
      </c>
      <c r="AU261" s="1">
        <v>3</v>
      </c>
      <c r="AV261" s="1">
        <v>3</v>
      </c>
      <c r="AW261" s="1">
        <v>5</v>
      </c>
      <c r="AX261" s="1">
        <v>3</v>
      </c>
      <c r="AY261" s="1">
        <v>4</v>
      </c>
      <c r="AZ261" s="1">
        <v>5</v>
      </c>
      <c r="BA261" s="1">
        <v>4</v>
      </c>
      <c r="BB261" s="1">
        <v>4</v>
      </c>
      <c r="BC261" s="1">
        <v>3</v>
      </c>
    </row>
    <row r="262" spans="1:55">
      <c r="A262" s="1" t="s">
        <v>456</v>
      </c>
      <c r="B262" s="1" t="s">
        <v>66</v>
      </c>
      <c r="C262" s="1" t="s">
        <v>457</v>
      </c>
      <c r="D262" s="1">
        <v>4</v>
      </c>
      <c r="E262" s="1">
        <v>3</v>
      </c>
      <c r="F262" s="1">
        <v>4</v>
      </c>
      <c r="G262" s="1">
        <v>3</v>
      </c>
      <c r="H262" s="1">
        <v>2</v>
      </c>
      <c r="I262" s="1">
        <v>2</v>
      </c>
      <c r="J262" s="1">
        <v>3</v>
      </c>
      <c r="K262" s="1">
        <v>3</v>
      </c>
      <c r="L262" s="1">
        <v>2</v>
      </c>
      <c r="M262" s="1">
        <v>3</v>
      </c>
      <c r="N262" s="1">
        <v>3</v>
      </c>
      <c r="O262" s="1">
        <v>2</v>
      </c>
      <c r="P262" s="1">
        <v>2</v>
      </c>
      <c r="Q262" s="1">
        <v>2</v>
      </c>
      <c r="R262" s="1">
        <v>3</v>
      </c>
      <c r="S262" s="1">
        <v>3</v>
      </c>
      <c r="T262" s="1">
        <v>2</v>
      </c>
      <c r="U262" s="1">
        <v>3</v>
      </c>
      <c r="V262" s="1">
        <v>2</v>
      </c>
      <c r="W262" s="1">
        <v>3</v>
      </c>
      <c r="X262" s="1">
        <v>2</v>
      </c>
      <c r="Y262" s="1">
        <v>2</v>
      </c>
      <c r="Z262" s="1">
        <v>2</v>
      </c>
      <c r="AA262" s="1">
        <v>3</v>
      </c>
      <c r="AB262" s="1">
        <v>3</v>
      </c>
      <c r="AC262" s="1">
        <v>4</v>
      </c>
      <c r="AD262" s="1">
        <v>3</v>
      </c>
      <c r="AE262" s="1">
        <v>3</v>
      </c>
      <c r="AF262" s="1">
        <v>4</v>
      </c>
      <c r="AG262" s="1">
        <v>3</v>
      </c>
      <c r="AH262" s="1">
        <v>3</v>
      </c>
      <c r="AI262" s="1">
        <v>3</v>
      </c>
      <c r="AJ262" s="1">
        <v>4</v>
      </c>
      <c r="AK262" s="1">
        <v>3</v>
      </c>
      <c r="AL262" s="1">
        <v>2</v>
      </c>
      <c r="AM262" s="1">
        <v>4</v>
      </c>
      <c r="AN262" s="1">
        <v>3</v>
      </c>
      <c r="AO262" s="1">
        <v>3</v>
      </c>
      <c r="AP262" s="1">
        <v>1</v>
      </c>
      <c r="AQ262" s="1">
        <v>3</v>
      </c>
      <c r="AR262" s="1">
        <v>3</v>
      </c>
      <c r="AS262" s="1">
        <v>2</v>
      </c>
      <c r="AT262" s="1">
        <v>3</v>
      </c>
      <c r="AU262" s="1">
        <v>2</v>
      </c>
      <c r="AV262" s="1">
        <v>2</v>
      </c>
      <c r="AW262" s="1">
        <v>3</v>
      </c>
      <c r="AX262" s="1">
        <v>3</v>
      </c>
      <c r="AY262" s="1">
        <v>4</v>
      </c>
      <c r="AZ262" s="1">
        <v>3</v>
      </c>
      <c r="BA262" s="1">
        <v>3</v>
      </c>
      <c r="BB262" s="1">
        <v>3</v>
      </c>
      <c r="BC262" s="1">
        <v>3</v>
      </c>
    </row>
    <row r="263" spans="1:55">
      <c r="A263" s="1" t="s">
        <v>458</v>
      </c>
      <c r="B263" s="1" t="s">
        <v>66</v>
      </c>
      <c r="C263" s="1" t="s">
        <v>457</v>
      </c>
      <c r="D263" s="1">
        <v>3</v>
      </c>
      <c r="E263" s="1">
        <v>3</v>
      </c>
      <c r="F263" s="1">
        <v>4</v>
      </c>
      <c r="G263" s="1">
        <v>3</v>
      </c>
      <c r="H263" s="1">
        <v>2</v>
      </c>
      <c r="I263" s="1">
        <v>3</v>
      </c>
      <c r="J263" s="1">
        <v>2</v>
      </c>
      <c r="K263" s="1">
        <v>4</v>
      </c>
      <c r="L263" s="1">
        <v>3</v>
      </c>
      <c r="M263" s="1">
        <v>3</v>
      </c>
      <c r="N263" s="1">
        <v>3</v>
      </c>
      <c r="O263" s="1">
        <v>4</v>
      </c>
      <c r="P263" s="1">
        <v>3</v>
      </c>
      <c r="Q263" s="1">
        <v>4</v>
      </c>
      <c r="R263" s="1">
        <v>2</v>
      </c>
      <c r="S263" s="1">
        <v>3</v>
      </c>
      <c r="T263" s="1">
        <v>3</v>
      </c>
      <c r="U263" s="1">
        <v>2</v>
      </c>
      <c r="V263" s="1">
        <v>2</v>
      </c>
      <c r="W263" s="1">
        <v>2</v>
      </c>
      <c r="X263" s="1">
        <v>3</v>
      </c>
      <c r="Y263" s="1">
        <v>2</v>
      </c>
      <c r="Z263" s="1">
        <v>4</v>
      </c>
      <c r="AA263" s="1">
        <v>3</v>
      </c>
      <c r="AB263" s="1">
        <v>4</v>
      </c>
      <c r="AC263" s="1">
        <v>4</v>
      </c>
      <c r="AD263" s="1">
        <v>4</v>
      </c>
      <c r="AE263" s="1">
        <v>3</v>
      </c>
      <c r="AF263" s="1">
        <v>3</v>
      </c>
      <c r="AG263" s="1">
        <v>2</v>
      </c>
      <c r="AH263" s="1">
        <v>4</v>
      </c>
      <c r="AI263" s="1">
        <v>3</v>
      </c>
      <c r="AJ263" s="1">
        <v>3</v>
      </c>
      <c r="AK263" s="1">
        <v>4</v>
      </c>
      <c r="AL263" s="1">
        <v>4</v>
      </c>
      <c r="AM263" s="1">
        <v>2</v>
      </c>
      <c r="AN263" s="1">
        <v>3</v>
      </c>
      <c r="AO263" s="1">
        <v>3</v>
      </c>
      <c r="AP263" s="1">
        <v>4</v>
      </c>
      <c r="AQ263" s="1">
        <v>4</v>
      </c>
      <c r="AR263" s="1">
        <v>4</v>
      </c>
      <c r="AS263" s="1">
        <v>2</v>
      </c>
      <c r="AT263" s="1">
        <v>3</v>
      </c>
      <c r="AU263" s="1">
        <v>3</v>
      </c>
      <c r="AV263" s="1">
        <v>3</v>
      </c>
      <c r="AW263" s="1">
        <v>3</v>
      </c>
      <c r="AX263" s="1">
        <v>4</v>
      </c>
      <c r="AY263" s="1">
        <v>3</v>
      </c>
      <c r="AZ263" s="1">
        <v>4</v>
      </c>
      <c r="BA263" s="1">
        <v>4</v>
      </c>
      <c r="BB263" s="1">
        <v>5</v>
      </c>
      <c r="BC263" s="1">
        <v>5</v>
      </c>
    </row>
    <row r="264" spans="1:55">
      <c r="A264" s="1" t="s">
        <v>459</v>
      </c>
      <c r="B264" s="1" t="s">
        <v>66</v>
      </c>
      <c r="C264" s="1" t="s">
        <v>460</v>
      </c>
      <c r="D264" s="1">
        <v>3</v>
      </c>
      <c r="E264" s="1">
        <v>3</v>
      </c>
      <c r="F264" s="1">
        <v>3</v>
      </c>
      <c r="G264" s="1">
        <v>3</v>
      </c>
      <c r="H264" s="1">
        <v>3</v>
      </c>
      <c r="I264" s="1">
        <v>2</v>
      </c>
      <c r="J264" s="1">
        <v>2</v>
      </c>
      <c r="K264" s="1">
        <v>3</v>
      </c>
      <c r="L264" s="1">
        <v>3</v>
      </c>
      <c r="M264" s="1">
        <v>3</v>
      </c>
      <c r="N264" s="1">
        <v>2</v>
      </c>
      <c r="O264" s="1">
        <v>2</v>
      </c>
      <c r="P264" s="1">
        <v>2</v>
      </c>
      <c r="Q264" s="1">
        <v>3</v>
      </c>
      <c r="R264" s="1">
        <v>3</v>
      </c>
      <c r="S264" s="1">
        <v>2</v>
      </c>
      <c r="T264" s="1">
        <v>3</v>
      </c>
      <c r="U264" s="1">
        <v>3</v>
      </c>
      <c r="V264" s="1">
        <v>3</v>
      </c>
      <c r="W264" s="1">
        <v>3</v>
      </c>
      <c r="X264" s="1">
        <v>4</v>
      </c>
      <c r="Y264" s="1">
        <v>3</v>
      </c>
      <c r="Z264" s="1">
        <v>4</v>
      </c>
      <c r="AA264" s="1">
        <v>4</v>
      </c>
      <c r="AB264" s="1">
        <v>3</v>
      </c>
      <c r="AC264" s="1">
        <v>4</v>
      </c>
      <c r="AD264" s="1">
        <v>4</v>
      </c>
      <c r="AE264" s="1">
        <v>3</v>
      </c>
      <c r="AF264" s="1">
        <v>3</v>
      </c>
      <c r="AG264" s="1">
        <v>3</v>
      </c>
      <c r="AH264" s="1">
        <v>3</v>
      </c>
      <c r="AI264" s="1">
        <v>4</v>
      </c>
      <c r="AJ264" s="1">
        <v>3</v>
      </c>
      <c r="AK264" s="1">
        <v>3</v>
      </c>
      <c r="AL264" s="1">
        <v>4</v>
      </c>
      <c r="AM264" s="1">
        <v>2</v>
      </c>
      <c r="AN264" s="1">
        <v>4</v>
      </c>
      <c r="AO264" s="1">
        <v>4</v>
      </c>
      <c r="AP264" s="1">
        <v>4</v>
      </c>
      <c r="AQ264" s="1">
        <v>3</v>
      </c>
      <c r="AR264" s="1">
        <v>3</v>
      </c>
      <c r="AS264" s="1">
        <v>3</v>
      </c>
      <c r="AT264" s="1">
        <v>3</v>
      </c>
      <c r="AU264" s="1">
        <v>3</v>
      </c>
      <c r="AV264" s="1">
        <v>3</v>
      </c>
      <c r="AW264" s="1">
        <v>3</v>
      </c>
      <c r="AX264" s="1">
        <v>4</v>
      </c>
      <c r="AY264" s="1">
        <v>3</v>
      </c>
      <c r="AZ264" s="1">
        <v>4</v>
      </c>
      <c r="BA264" s="1">
        <v>4</v>
      </c>
      <c r="BB264" s="1">
        <v>4</v>
      </c>
      <c r="BC264" s="1">
        <v>3</v>
      </c>
    </row>
    <row r="265" spans="1:55">
      <c r="A265" s="1" t="s">
        <v>461</v>
      </c>
      <c r="B265" s="1" t="s">
        <v>66</v>
      </c>
      <c r="C265" s="1" t="s">
        <v>460</v>
      </c>
      <c r="D265" s="1">
        <v>3</v>
      </c>
      <c r="E265" s="1">
        <v>4</v>
      </c>
      <c r="F265" s="1">
        <v>3</v>
      </c>
      <c r="G265" s="1">
        <v>2</v>
      </c>
      <c r="H265" s="1">
        <v>3</v>
      </c>
      <c r="I265" s="1">
        <v>2</v>
      </c>
      <c r="J265" s="1">
        <v>3</v>
      </c>
      <c r="K265" s="1">
        <v>3</v>
      </c>
      <c r="L265" s="1">
        <v>3</v>
      </c>
      <c r="M265" s="1">
        <v>3</v>
      </c>
      <c r="N265" s="1">
        <v>2</v>
      </c>
      <c r="O265" s="1">
        <v>3</v>
      </c>
      <c r="P265" s="1">
        <v>3</v>
      </c>
      <c r="Q265" s="1">
        <v>4</v>
      </c>
      <c r="R265" s="1">
        <v>4</v>
      </c>
      <c r="S265" s="1">
        <v>4</v>
      </c>
      <c r="T265" s="1">
        <v>3</v>
      </c>
      <c r="U265" s="1">
        <v>3</v>
      </c>
      <c r="V265" s="1">
        <v>2</v>
      </c>
      <c r="W265" s="1">
        <v>3</v>
      </c>
      <c r="X265" s="1">
        <v>4</v>
      </c>
      <c r="Y265" s="1">
        <v>3</v>
      </c>
      <c r="Z265" s="1">
        <v>3</v>
      </c>
      <c r="AA265" s="1">
        <v>3</v>
      </c>
      <c r="AB265" s="1">
        <v>3</v>
      </c>
      <c r="AC265" s="1">
        <v>3</v>
      </c>
      <c r="AD265" s="1">
        <v>4</v>
      </c>
      <c r="AE265" s="1">
        <v>4</v>
      </c>
      <c r="AF265" s="1">
        <v>3</v>
      </c>
      <c r="AG265" s="1">
        <v>2</v>
      </c>
      <c r="AH265" s="1">
        <v>4</v>
      </c>
      <c r="AI265" s="1">
        <v>4</v>
      </c>
      <c r="AJ265" s="1">
        <v>2</v>
      </c>
      <c r="AK265" s="1">
        <v>3</v>
      </c>
      <c r="AL265" s="1">
        <v>2</v>
      </c>
      <c r="AM265" s="1">
        <v>3</v>
      </c>
      <c r="AN265" s="1">
        <v>3</v>
      </c>
      <c r="AO265" s="1">
        <v>4</v>
      </c>
      <c r="AP265" s="1">
        <v>3</v>
      </c>
      <c r="AQ265" s="1">
        <v>2</v>
      </c>
      <c r="AR265" s="1">
        <v>3</v>
      </c>
      <c r="AS265" s="1">
        <v>3</v>
      </c>
      <c r="AT265" s="1">
        <v>4</v>
      </c>
      <c r="AU265" s="1">
        <v>3</v>
      </c>
      <c r="AV265" s="1">
        <v>4</v>
      </c>
      <c r="AW265" s="1">
        <v>3</v>
      </c>
      <c r="AX265" s="1">
        <v>4</v>
      </c>
      <c r="AY265" s="1">
        <v>4</v>
      </c>
      <c r="AZ265" s="1">
        <v>3</v>
      </c>
      <c r="BA265" s="1">
        <v>2</v>
      </c>
      <c r="BB265" s="1">
        <v>4</v>
      </c>
      <c r="BC265" s="1">
        <v>3</v>
      </c>
    </row>
    <row r="266" spans="1:55">
      <c r="A266" s="1" t="s">
        <v>462</v>
      </c>
      <c r="B266" s="1" t="s">
        <v>66</v>
      </c>
      <c r="C266" s="1" t="s">
        <v>463</v>
      </c>
      <c r="D266" s="1">
        <v>3</v>
      </c>
      <c r="E266" s="1">
        <v>3</v>
      </c>
      <c r="F266" s="1">
        <v>4</v>
      </c>
      <c r="G266" s="1">
        <v>4</v>
      </c>
      <c r="H266" s="1">
        <v>3</v>
      </c>
      <c r="I266" s="1">
        <v>2</v>
      </c>
      <c r="J266" s="1">
        <v>3</v>
      </c>
      <c r="K266" s="1">
        <v>3</v>
      </c>
      <c r="L266" s="1">
        <v>4</v>
      </c>
      <c r="M266" s="1">
        <v>3</v>
      </c>
      <c r="N266" s="1">
        <v>3</v>
      </c>
      <c r="O266" s="1">
        <v>4</v>
      </c>
      <c r="P266" s="1">
        <v>3</v>
      </c>
      <c r="Q266" s="1">
        <v>3</v>
      </c>
      <c r="R266" s="1">
        <v>2</v>
      </c>
      <c r="S266" s="1">
        <v>2</v>
      </c>
      <c r="T266" s="1">
        <v>3</v>
      </c>
      <c r="U266" s="1">
        <v>3</v>
      </c>
      <c r="V266" s="1">
        <v>2</v>
      </c>
      <c r="W266" s="1">
        <v>3</v>
      </c>
      <c r="X266" s="1">
        <v>5</v>
      </c>
      <c r="Y266" s="1">
        <v>4</v>
      </c>
      <c r="Z266" s="1">
        <v>4</v>
      </c>
      <c r="AA266" s="1">
        <v>3</v>
      </c>
      <c r="AB266" s="1">
        <v>3</v>
      </c>
      <c r="AC266" s="1">
        <v>4</v>
      </c>
      <c r="AD266" s="1">
        <v>4</v>
      </c>
      <c r="AE266" s="1">
        <v>3</v>
      </c>
      <c r="AF266" s="1">
        <v>3</v>
      </c>
      <c r="AG266" s="1">
        <v>3</v>
      </c>
      <c r="AH266" s="1">
        <v>3</v>
      </c>
      <c r="AI266" s="1">
        <v>4</v>
      </c>
      <c r="AJ266" s="1">
        <v>3</v>
      </c>
      <c r="AK266" s="1">
        <v>3</v>
      </c>
      <c r="AL266" s="1">
        <v>3</v>
      </c>
      <c r="AM266" s="1">
        <v>3</v>
      </c>
      <c r="AN266" s="1">
        <v>2</v>
      </c>
      <c r="AO266" s="1">
        <v>3</v>
      </c>
      <c r="AP266" s="1">
        <v>4</v>
      </c>
      <c r="AQ266" s="1">
        <v>4</v>
      </c>
      <c r="AR266" s="1">
        <v>2</v>
      </c>
      <c r="AS266" s="1">
        <v>3</v>
      </c>
      <c r="AT266" s="1">
        <v>2</v>
      </c>
      <c r="AU266" s="1">
        <v>3</v>
      </c>
      <c r="AV266" s="1">
        <v>3</v>
      </c>
      <c r="AW266" s="1">
        <v>5</v>
      </c>
      <c r="AX266" s="1">
        <v>4</v>
      </c>
      <c r="AY266" s="1">
        <v>5</v>
      </c>
      <c r="AZ266" s="1">
        <v>4</v>
      </c>
      <c r="BA266" s="1">
        <v>4</v>
      </c>
      <c r="BB266" s="1">
        <v>4</v>
      </c>
      <c r="BC266" s="1">
        <v>3</v>
      </c>
    </row>
    <row r="267" spans="1:55">
      <c r="A267" s="1" t="s">
        <v>464</v>
      </c>
      <c r="B267" s="1" t="s">
        <v>66</v>
      </c>
      <c r="C267" s="1" t="s">
        <v>463</v>
      </c>
      <c r="D267" s="1">
        <v>3</v>
      </c>
      <c r="E267" s="1">
        <v>3</v>
      </c>
      <c r="F267" s="1">
        <v>4</v>
      </c>
      <c r="G267" s="1">
        <v>2</v>
      </c>
      <c r="H267" s="1">
        <v>2</v>
      </c>
      <c r="I267" s="1">
        <v>3</v>
      </c>
      <c r="J267" s="1">
        <v>3</v>
      </c>
      <c r="K267" s="1">
        <v>5</v>
      </c>
      <c r="L267" s="1">
        <v>4</v>
      </c>
      <c r="M267" s="1">
        <v>2</v>
      </c>
      <c r="N267" s="1">
        <v>2</v>
      </c>
      <c r="O267" s="1">
        <v>4</v>
      </c>
      <c r="P267" s="1">
        <v>3</v>
      </c>
      <c r="Q267" s="1">
        <v>3</v>
      </c>
      <c r="R267" s="1">
        <v>3</v>
      </c>
      <c r="S267" s="1">
        <v>2</v>
      </c>
      <c r="T267" s="1">
        <v>3</v>
      </c>
      <c r="U267" s="1">
        <v>2</v>
      </c>
      <c r="V267" s="1">
        <v>3</v>
      </c>
      <c r="W267" s="1">
        <v>4</v>
      </c>
      <c r="X267" s="1">
        <v>2</v>
      </c>
      <c r="Y267" s="1">
        <v>2</v>
      </c>
      <c r="Z267" s="1">
        <v>4</v>
      </c>
      <c r="AA267" s="1">
        <v>3</v>
      </c>
      <c r="AB267" s="1">
        <v>4</v>
      </c>
      <c r="AC267" s="1">
        <v>3</v>
      </c>
      <c r="AD267" s="1">
        <v>4</v>
      </c>
      <c r="AE267" s="1">
        <v>2</v>
      </c>
      <c r="AF267" s="1">
        <v>3</v>
      </c>
      <c r="AG267" s="1">
        <v>4</v>
      </c>
      <c r="AH267" s="1">
        <v>3</v>
      </c>
      <c r="AI267" s="1">
        <v>3</v>
      </c>
      <c r="AJ267" s="1">
        <v>2</v>
      </c>
      <c r="AK267" s="1">
        <v>4</v>
      </c>
      <c r="AL267" s="1">
        <v>4</v>
      </c>
      <c r="AM267" s="1">
        <v>3</v>
      </c>
      <c r="AN267" s="1">
        <v>3</v>
      </c>
      <c r="AO267" s="1">
        <v>4</v>
      </c>
      <c r="AP267" s="1">
        <v>4</v>
      </c>
      <c r="AQ267" s="1">
        <v>4</v>
      </c>
      <c r="AR267" s="1">
        <v>3</v>
      </c>
      <c r="AS267" s="1">
        <v>4</v>
      </c>
      <c r="AT267" s="1">
        <v>3</v>
      </c>
      <c r="AU267" s="1">
        <v>3</v>
      </c>
      <c r="AV267" s="1">
        <v>2</v>
      </c>
      <c r="AW267" s="1">
        <v>4</v>
      </c>
      <c r="AX267" s="1">
        <v>4</v>
      </c>
      <c r="AY267" s="1">
        <v>5</v>
      </c>
      <c r="AZ267" s="1">
        <v>3</v>
      </c>
      <c r="BA267" s="1">
        <v>3</v>
      </c>
      <c r="BB267" s="1">
        <v>3</v>
      </c>
      <c r="BC267" s="1">
        <v>2</v>
      </c>
    </row>
    <row r="268" spans="1:55">
      <c r="A268" s="1" t="s">
        <v>465</v>
      </c>
      <c r="B268" s="1" t="s">
        <v>66</v>
      </c>
      <c r="C268" s="1" t="s">
        <v>466</v>
      </c>
      <c r="D268" s="1">
        <v>4</v>
      </c>
      <c r="E268" s="1">
        <v>4</v>
      </c>
      <c r="F268" s="1">
        <v>3</v>
      </c>
      <c r="G268" s="1">
        <v>3</v>
      </c>
      <c r="H268" s="1">
        <v>3</v>
      </c>
      <c r="I268" s="1">
        <v>4</v>
      </c>
      <c r="J268" s="1">
        <v>4</v>
      </c>
      <c r="K268" s="1">
        <v>4</v>
      </c>
      <c r="L268" s="1">
        <v>5</v>
      </c>
      <c r="M268" s="1">
        <v>4</v>
      </c>
      <c r="N268" s="1">
        <v>3</v>
      </c>
      <c r="O268" s="1">
        <v>5</v>
      </c>
      <c r="P268" s="1">
        <v>4</v>
      </c>
      <c r="Q268" s="1">
        <v>4</v>
      </c>
      <c r="R268" s="1">
        <v>4</v>
      </c>
      <c r="S268" s="1">
        <v>5</v>
      </c>
      <c r="T268" s="1">
        <v>4</v>
      </c>
      <c r="U268" s="1">
        <v>3</v>
      </c>
      <c r="V268" s="1">
        <v>4</v>
      </c>
      <c r="W268" s="1">
        <v>3</v>
      </c>
      <c r="X268" s="1">
        <v>2</v>
      </c>
      <c r="Y268" s="1">
        <v>3</v>
      </c>
      <c r="Z268" s="1">
        <v>5</v>
      </c>
      <c r="AA268" s="1">
        <v>4</v>
      </c>
      <c r="AB268" s="1">
        <v>4</v>
      </c>
      <c r="AC268" s="1">
        <v>2</v>
      </c>
      <c r="AD268" s="1">
        <v>4</v>
      </c>
      <c r="AE268" s="1">
        <v>4</v>
      </c>
      <c r="AF268" s="1">
        <v>2</v>
      </c>
      <c r="AG268" s="1">
        <v>2</v>
      </c>
      <c r="AH268" s="1">
        <v>4</v>
      </c>
      <c r="AI268" s="1">
        <v>4</v>
      </c>
      <c r="AJ268" s="1">
        <v>5</v>
      </c>
      <c r="AK268" s="1">
        <v>4</v>
      </c>
      <c r="AL268" s="1">
        <v>4</v>
      </c>
      <c r="AM268" s="1">
        <v>4</v>
      </c>
      <c r="AN268" s="1">
        <v>4</v>
      </c>
      <c r="AO268" s="1">
        <v>4</v>
      </c>
      <c r="AP268" s="1">
        <v>4</v>
      </c>
      <c r="AQ268" s="1">
        <v>4</v>
      </c>
      <c r="AR268" s="1">
        <v>5</v>
      </c>
      <c r="AS268" s="1">
        <v>4</v>
      </c>
      <c r="AT268" s="1">
        <v>4</v>
      </c>
      <c r="AU268" s="1">
        <v>4</v>
      </c>
      <c r="AV268" s="1">
        <v>4</v>
      </c>
      <c r="AW268" s="1">
        <v>4</v>
      </c>
      <c r="AX268" s="1">
        <v>3</v>
      </c>
      <c r="AY268" s="1">
        <v>5</v>
      </c>
      <c r="AZ268" s="1">
        <v>5</v>
      </c>
      <c r="BA268" s="1">
        <v>5</v>
      </c>
      <c r="BB268" s="1">
        <v>5</v>
      </c>
      <c r="BC268" s="1">
        <v>2</v>
      </c>
    </row>
    <row r="269" spans="1:55">
      <c r="A269" s="1" t="s">
        <v>467</v>
      </c>
      <c r="B269" s="1" t="s">
        <v>66</v>
      </c>
      <c r="C269" s="1" t="s">
        <v>466</v>
      </c>
      <c r="D269" s="1">
        <v>2</v>
      </c>
      <c r="E269" s="1">
        <v>2</v>
      </c>
      <c r="F269" s="1">
        <v>3</v>
      </c>
      <c r="G269" s="1">
        <v>2</v>
      </c>
      <c r="H269" s="1">
        <v>3</v>
      </c>
      <c r="I269" s="1">
        <v>3</v>
      </c>
      <c r="J269" s="1">
        <v>3</v>
      </c>
      <c r="K269" s="1">
        <v>4</v>
      </c>
      <c r="L269" s="1">
        <v>3</v>
      </c>
      <c r="M269" s="1">
        <v>4</v>
      </c>
      <c r="N269" s="1">
        <v>2</v>
      </c>
      <c r="O269" s="1">
        <v>3</v>
      </c>
      <c r="P269" s="1">
        <v>4</v>
      </c>
      <c r="Q269" s="1">
        <v>4</v>
      </c>
      <c r="R269" s="1">
        <v>4</v>
      </c>
      <c r="S269" s="1">
        <v>3</v>
      </c>
      <c r="T269" s="1">
        <v>2</v>
      </c>
      <c r="U269" s="1">
        <v>3</v>
      </c>
      <c r="V269" s="1">
        <v>2</v>
      </c>
      <c r="W269" s="1">
        <v>3</v>
      </c>
      <c r="X269" s="1">
        <v>3</v>
      </c>
      <c r="Y269" s="1">
        <v>2</v>
      </c>
      <c r="Z269" s="1">
        <v>3</v>
      </c>
      <c r="AA269" s="1">
        <v>4</v>
      </c>
      <c r="AB269" s="1">
        <v>3</v>
      </c>
      <c r="AC269" s="1">
        <v>4</v>
      </c>
      <c r="AD269" s="1">
        <v>4</v>
      </c>
      <c r="AE269" s="1">
        <v>2</v>
      </c>
      <c r="AF269" s="1">
        <v>3</v>
      </c>
      <c r="AG269" s="1">
        <v>3</v>
      </c>
      <c r="AH269" s="1">
        <v>4</v>
      </c>
      <c r="AI269" s="1">
        <v>3</v>
      </c>
      <c r="AJ269" s="1">
        <v>3</v>
      </c>
      <c r="AK269" s="1">
        <v>3</v>
      </c>
      <c r="AL269" s="1">
        <v>4</v>
      </c>
      <c r="AM269" s="1">
        <v>3</v>
      </c>
      <c r="AN269" s="1">
        <v>3</v>
      </c>
      <c r="AO269" s="1">
        <v>4</v>
      </c>
      <c r="AP269" s="1">
        <v>3</v>
      </c>
      <c r="AQ269" s="1">
        <v>4</v>
      </c>
      <c r="AR269" s="1">
        <v>3</v>
      </c>
      <c r="AS269" s="1">
        <v>2</v>
      </c>
      <c r="AT269" s="1">
        <v>4</v>
      </c>
      <c r="AU269" s="1">
        <v>4</v>
      </c>
      <c r="AV269" s="1">
        <v>3</v>
      </c>
      <c r="AW269" s="1">
        <v>4</v>
      </c>
      <c r="AX269" s="1">
        <v>4</v>
      </c>
      <c r="AY269" s="1">
        <v>4</v>
      </c>
      <c r="AZ269" s="1">
        <v>4</v>
      </c>
      <c r="BA269" s="1">
        <v>4</v>
      </c>
      <c r="BB269" s="1">
        <v>3</v>
      </c>
      <c r="BC269" s="1">
        <v>4</v>
      </c>
    </row>
    <row r="270" spans="1:55">
      <c r="A270" s="1" t="s">
        <v>468</v>
      </c>
      <c r="B270" s="1" t="s">
        <v>66</v>
      </c>
      <c r="C270" s="1" t="s">
        <v>469</v>
      </c>
      <c r="D270" s="1">
        <v>3</v>
      </c>
      <c r="E270" s="1">
        <v>2</v>
      </c>
      <c r="F270" s="1">
        <v>4</v>
      </c>
      <c r="G270" s="1">
        <v>3</v>
      </c>
      <c r="H270" s="1">
        <v>2</v>
      </c>
      <c r="I270" s="1">
        <v>2</v>
      </c>
      <c r="J270" s="1">
        <v>3</v>
      </c>
      <c r="K270" s="1">
        <v>3</v>
      </c>
      <c r="L270" s="1">
        <v>4</v>
      </c>
      <c r="M270" s="1">
        <v>3</v>
      </c>
      <c r="N270" s="1">
        <v>3</v>
      </c>
      <c r="O270" s="1">
        <v>4</v>
      </c>
      <c r="P270" s="1">
        <v>3</v>
      </c>
      <c r="Q270" s="1">
        <v>5</v>
      </c>
      <c r="R270" s="1">
        <v>3</v>
      </c>
      <c r="S270" s="1">
        <v>3</v>
      </c>
      <c r="T270" s="1">
        <v>3</v>
      </c>
      <c r="U270" s="1">
        <v>3</v>
      </c>
      <c r="V270" s="1">
        <v>3</v>
      </c>
      <c r="W270" s="1">
        <v>2</v>
      </c>
      <c r="X270" s="1">
        <v>3</v>
      </c>
      <c r="Y270" s="1">
        <v>2</v>
      </c>
      <c r="Z270" s="1">
        <v>4</v>
      </c>
      <c r="AA270" s="1">
        <v>4</v>
      </c>
      <c r="AB270" s="1">
        <v>4</v>
      </c>
      <c r="AC270" s="1">
        <v>3</v>
      </c>
      <c r="AD270" s="1">
        <v>4</v>
      </c>
      <c r="AE270" s="1">
        <v>3</v>
      </c>
      <c r="AF270" s="1">
        <v>2</v>
      </c>
      <c r="AG270" s="1">
        <v>3</v>
      </c>
      <c r="AH270" s="1">
        <v>4</v>
      </c>
      <c r="AI270" s="1">
        <v>3</v>
      </c>
      <c r="AJ270" s="1">
        <v>4</v>
      </c>
      <c r="AK270" s="1">
        <v>5</v>
      </c>
      <c r="AL270" s="1">
        <v>4</v>
      </c>
      <c r="AM270" s="1">
        <v>4</v>
      </c>
      <c r="AN270" s="1">
        <v>3</v>
      </c>
      <c r="AO270" s="1">
        <v>3</v>
      </c>
      <c r="AP270" s="1">
        <v>4</v>
      </c>
      <c r="AQ270" s="1">
        <v>4</v>
      </c>
      <c r="AR270" s="1">
        <v>3</v>
      </c>
      <c r="AS270" s="1">
        <v>3</v>
      </c>
      <c r="AT270" s="1">
        <v>4</v>
      </c>
      <c r="AU270" s="1">
        <v>4</v>
      </c>
      <c r="AV270" s="1">
        <v>4</v>
      </c>
      <c r="AW270" s="1">
        <v>2</v>
      </c>
      <c r="AX270" s="1">
        <v>3</v>
      </c>
      <c r="AY270" s="1">
        <v>4</v>
      </c>
      <c r="AZ270" s="1">
        <v>3</v>
      </c>
      <c r="BA270" s="1">
        <v>3</v>
      </c>
      <c r="BB270" s="1">
        <v>5</v>
      </c>
      <c r="BC270" s="1">
        <v>3</v>
      </c>
    </row>
    <row r="271" spans="1:55">
      <c r="A271" s="1" t="s">
        <v>470</v>
      </c>
      <c r="B271" s="1" t="s">
        <v>66</v>
      </c>
      <c r="C271" s="1" t="s">
        <v>469</v>
      </c>
      <c r="D271" s="1">
        <v>3</v>
      </c>
      <c r="E271" s="1">
        <v>4</v>
      </c>
      <c r="F271" s="1">
        <v>4</v>
      </c>
      <c r="G271" s="1">
        <v>2</v>
      </c>
      <c r="H271" s="1">
        <v>4</v>
      </c>
      <c r="I271" s="1">
        <v>4</v>
      </c>
      <c r="J271" s="1">
        <v>2</v>
      </c>
      <c r="K271" s="1">
        <v>2</v>
      </c>
      <c r="L271" s="1">
        <v>3</v>
      </c>
      <c r="M271" s="1">
        <v>4</v>
      </c>
      <c r="N271" s="1">
        <v>2</v>
      </c>
      <c r="O271" s="1">
        <v>3</v>
      </c>
      <c r="P271" s="1">
        <v>3</v>
      </c>
      <c r="Q271" s="1">
        <v>3</v>
      </c>
      <c r="R271" s="1">
        <v>3</v>
      </c>
      <c r="S271" s="1">
        <v>4</v>
      </c>
      <c r="T271" s="1">
        <v>3</v>
      </c>
      <c r="U271" s="1">
        <v>3</v>
      </c>
      <c r="V271" s="1">
        <v>3</v>
      </c>
      <c r="W271" s="1">
        <v>3</v>
      </c>
      <c r="X271" s="1">
        <v>3</v>
      </c>
      <c r="Y271" s="1">
        <v>4</v>
      </c>
      <c r="Z271" s="1">
        <v>3</v>
      </c>
      <c r="AA271" s="1">
        <v>3</v>
      </c>
      <c r="AB271" s="1">
        <v>2</v>
      </c>
      <c r="AC271" s="1">
        <v>3</v>
      </c>
      <c r="AD271" s="1">
        <v>4</v>
      </c>
      <c r="AE271" s="1">
        <v>3</v>
      </c>
      <c r="AF271" s="1">
        <v>3</v>
      </c>
      <c r="AG271" s="1">
        <v>2</v>
      </c>
      <c r="AH271" s="1">
        <v>3</v>
      </c>
      <c r="AI271" s="1">
        <v>4</v>
      </c>
      <c r="AJ271" s="1">
        <v>4</v>
      </c>
      <c r="AK271" s="1">
        <v>3</v>
      </c>
      <c r="AL271" s="1">
        <v>4</v>
      </c>
      <c r="AM271" s="1">
        <v>4</v>
      </c>
      <c r="AN271" s="1">
        <v>3</v>
      </c>
      <c r="AO271" s="1">
        <v>4</v>
      </c>
      <c r="AP271" s="1">
        <v>3</v>
      </c>
      <c r="AQ271" s="1">
        <v>4</v>
      </c>
      <c r="AR271" s="1">
        <v>3</v>
      </c>
      <c r="AS271" s="1">
        <v>4</v>
      </c>
      <c r="AT271" s="1">
        <v>4</v>
      </c>
      <c r="AU271" s="1">
        <v>3</v>
      </c>
      <c r="AV271" s="1">
        <v>4</v>
      </c>
      <c r="AW271" s="1">
        <v>5</v>
      </c>
      <c r="AX271" s="1">
        <v>5</v>
      </c>
      <c r="AY271" s="1">
        <v>4</v>
      </c>
      <c r="AZ271" s="1">
        <v>3</v>
      </c>
      <c r="BA271" s="1">
        <v>2</v>
      </c>
      <c r="BB271" s="1">
        <v>3</v>
      </c>
      <c r="BC271" s="1">
        <v>2</v>
      </c>
    </row>
    <row r="272" spans="1:55">
      <c r="A272" s="1" t="s">
        <v>471</v>
      </c>
      <c r="B272" s="1" t="s">
        <v>66</v>
      </c>
      <c r="C272" s="1" t="s">
        <v>472</v>
      </c>
      <c r="D272" s="1">
        <v>3</v>
      </c>
      <c r="E272" s="1">
        <v>3</v>
      </c>
      <c r="F272" s="1">
        <v>3</v>
      </c>
      <c r="G272" s="1">
        <v>3</v>
      </c>
      <c r="H272" s="1">
        <v>4</v>
      </c>
      <c r="I272" s="1">
        <v>3</v>
      </c>
      <c r="J272" s="1">
        <v>3</v>
      </c>
      <c r="K272" s="1">
        <v>2</v>
      </c>
      <c r="L272" s="1">
        <v>3</v>
      </c>
      <c r="M272" s="1">
        <v>3</v>
      </c>
      <c r="N272" s="1">
        <v>3</v>
      </c>
      <c r="O272" s="1">
        <v>3</v>
      </c>
      <c r="P272" s="1">
        <v>2</v>
      </c>
      <c r="Q272" s="1">
        <v>3</v>
      </c>
      <c r="R272" s="1">
        <v>4</v>
      </c>
      <c r="S272" s="1">
        <v>3</v>
      </c>
      <c r="T272" s="1">
        <v>2</v>
      </c>
      <c r="U272" s="1">
        <v>3</v>
      </c>
      <c r="V272" s="1">
        <v>3</v>
      </c>
      <c r="W272" s="1">
        <v>3</v>
      </c>
      <c r="X272" s="1">
        <v>3</v>
      </c>
      <c r="Y272" s="1">
        <v>4</v>
      </c>
      <c r="Z272" s="1">
        <v>2</v>
      </c>
      <c r="AA272" s="1">
        <v>2</v>
      </c>
      <c r="AB272" s="1">
        <v>2</v>
      </c>
      <c r="AC272" s="1">
        <v>2</v>
      </c>
      <c r="AD272" s="1">
        <v>4</v>
      </c>
      <c r="AE272" s="1">
        <v>3</v>
      </c>
      <c r="AF272" s="1">
        <v>3</v>
      </c>
      <c r="AG272" s="1">
        <v>2</v>
      </c>
      <c r="AH272" s="1">
        <v>3</v>
      </c>
      <c r="AI272" s="1">
        <v>4</v>
      </c>
      <c r="AJ272" s="1">
        <v>4</v>
      </c>
      <c r="AK272" s="1">
        <v>2</v>
      </c>
      <c r="AL272" s="1">
        <v>3</v>
      </c>
      <c r="AM272" s="1">
        <v>4</v>
      </c>
      <c r="AN272" s="1">
        <v>4</v>
      </c>
      <c r="AO272" s="1">
        <v>2</v>
      </c>
      <c r="AP272" s="1">
        <v>3</v>
      </c>
      <c r="AQ272" s="1">
        <v>3</v>
      </c>
      <c r="AR272" s="1">
        <v>4</v>
      </c>
      <c r="AS272" s="1">
        <v>4</v>
      </c>
      <c r="AT272" s="1">
        <v>4</v>
      </c>
      <c r="AU272" s="1">
        <v>3</v>
      </c>
      <c r="AV272" s="1">
        <v>4</v>
      </c>
      <c r="AW272" s="1">
        <v>4</v>
      </c>
      <c r="AX272" s="1">
        <v>4</v>
      </c>
      <c r="AY272" s="1">
        <v>4</v>
      </c>
      <c r="AZ272" s="1">
        <v>3</v>
      </c>
      <c r="BA272" s="1">
        <v>3</v>
      </c>
      <c r="BB272" s="1">
        <v>3</v>
      </c>
      <c r="BC272" s="1">
        <v>3</v>
      </c>
    </row>
    <row r="273" spans="1:55">
      <c r="A273" s="1" t="s">
        <v>473</v>
      </c>
      <c r="B273" s="1" t="s">
        <v>66</v>
      </c>
      <c r="C273" s="1" t="s">
        <v>472</v>
      </c>
      <c r="D273" s="1">
        <v>3</v>
      </c>
      <c r="E273" s="1">
        <v>3</v>
      </c>
      <c r="F273" s="1">
        <v>3</v>
      </c>
      <c r="G273" s="1">
        <v>3</v>
      </c>
      <c r="H273" s="1">
        <v>3</v>
      </c>
      <c r="I273" s="1">
        <v>3</v>
      </c>
      <c r="J273" s="1">
        <v>3</v>
      </c>
      <c r="K273" s="1">
        <v>3</v>
      </c>
      <c r="L273" s="1">
        <v>3</v>
      </c>
      <c r="M273" s="1">
        <v>3</v>
      </c>
      <c r="N273" s="1">
        <v>3</v>
      </c>
      <c r="O273" s="1">
        <v>4</v>
      </c>
      <c r="P273" s="1">
        <v>4</v>
      </c>
      <c r="Q273" s="1">
        <v>3</v>
      </c>
      <c r="R273" s="1">
        <v>3</v>
      </c>
      <c r="S273" s="1">
        <v>3</v>
      </c>
      <c r="T273" s="1">
        <v>4</v>
      </c>
      <c r="U273" s="1">
        <v>2</v>
      </c>
      <c r="V273" s="1">
        <v>4</v>
      </c>
      <c r="W273" s="1">
        <v>3</v>
      </c>
      <c r="X273" s="1">
        <v>3</v>
      </c>
      <c r="Y273" s="1">
        <v>3</v>
      </c>
      <c r="Z273" s="1">
        <v>3</v>
      </c>
      <c r="AA273" s="1">
        <v>4</v>
      </c>
      <c r="AB273" s="1">
        <v>3</v>
      </c>
      <c r="AC273" s="1">
        <v>4</v>
      </c>
      <c r="AD273" s="1">
        <v>3</v>
      </c>
      <c r="AE273" s="1">
        <v>4</v>
      </c>
      <c r="AF273" s="1">
        <v>3</v>
      </c>
      <c r="AG273" s="1">
        <v>4</v>
      </c>
      <c r="AH273" s="1">
        <v>3</v>
      </c>
      <c r="AI273" s="1">
        <v>4</v>
      </c>
      <c r="AJ273" s="1">
        <v>4</v>
      </c>
      <c r="AK273" s="1">
        <v>4</v>
      </c>
      <c r="AL273" s="1">
        <v>4</v>
      </c>
      <c r="AM273" s="1">
        <v>4</v>
      </c>
      <c r="AN273" s="1">
        <v>4</v>
      </c>
      <c r="AO273" s="1">
        <v>3</v>
      </c>
      <c r="AP273" s="1">
        <v>5</v>
      </c>
      <c r="AQ273" s="1">
        <v>3</v>
      </c>
      <c r="AR273" s="1">
        <v>3</v>
      </c>
      <c r="AS273" s="1">
        <v>4</v>
      </c>
      <c r="AT273" s="1">
        <v>5</v>
      </c>
      <c r="AU273" s="1">
        <v>3</v>
      </c>
      <c r="AV273" s="1">
        <v>4</v>
      </c>
      <c r="AW273" s="1">
        <v>3</v>
      </c>
      <c r="AX273" s="1">
        <v>3</v>
      </c>
      <c r="AY273" s="1">
        <v>4</v>
      </c>
      <c r="AZ273" s="1">
        <v>3</v>
      </c>
      <c r="BA273" s="1">
        <v>3</v>
      </c>
      <c r="BB273" s="1">
        <v>4</v>
      </c>
      <c r="BC273" s="1">
        <v>2</v>
      </c>
    </row>
    <row r="274" spans="1:55">
      <c r="A274" s="1" t="s">
        <v>474</v>
      </c>
      <c r="B274" s="1" t="s">
        <v>66</v>
      </c>
      <c r="C274" s="1" t="s">
        <v>475</v>
      </c>
      <c r="D274" s="1">
        <v>4</v>
      </c>
      <c r="E274" s="1">
        <v>3</v>
      </c>
      <c r="F274" s="1">
        <v>2</v>
      </c>
      <c r="G274" s="1">
        <v>3</v>
      </c>
      <c r="H274" s="1">
        <v>4</v>
      </c>
      <c r="I274" s="1">
        <v>4</v>
      </c>
      <c r="J274" s="1">
        <v>4</v>
      </c>
      <c r="K274" s="1">
        <v>3</v>
      </c>
      <c r="L274" s="1">
        <v>4</v>
      </c>
      <c r="M274" s="1">
        <v>4</v>
      </c>
      <c r="N274" s="1">
        <v>4</v>
      </c>
      <c r="O274" s="1">
        <v>4</v>
      </c>
      <c r="P274" s="1">
        <v>3</v>
      </c>
      <c r="Q274" s="1">
        <v>4</v>
      </c>
      <c r="R274" s="1">
        <v>3</v>
      </c>
      <c r="S274" s="1">
        <v>3</v>
      </c>
      <c r="T274" s="1">
        <v>4</v>
      </c>
      <c r="U274" s="1">
        <v>3</v>
      </c>
      <c r="V274" s="1">
        <v>4</v>
      </c>
      <c r="W274" s="1">
        <v>3</v>
      </c>
      <c r="X274" s="1">
        <v>3</v>
      </c>
      <c r="Y274" s="1">
        <v>3</v>
      </c>
      <c r="Z274" s="1">
        <v>3</v>
      </c>
      <c r="AA274" s="1">
        <v>4</v>
      </c>
      <c r="AB274" s="1">
        <v>3</v>
      </c>
      <c r="AC274" s="1">
        <v>2</v>
      </c>
      <c r="AD274" s="1">
        <v>4</v>
      </c>
      <c r="AE274" s="1">
        <v>3</v>
      </c>
      <c r="AF274" s="1">
        <v>4</v>
      </c>
      <c r="AG274" s="1">
        <v>3</v>
      </c>
      <c r="AH274" s="1">
        <v>3</v>
      </c>
      <c r="AI274" s="1">
        <v>3</v>
      </c>
      <c r="AJ274" s="1">
        <v>4</v>
      </c>
      <c r="AK274" s="1">
        <v>4</v>
      </c>
      <c r="AL274" s="1">
        <v>4</v>
      </c>
      <c r="AM274" s="1">
        <v>4</v>
      </c>
      <c r="AN274" s="1">
        <v>4</v>
      </c>
      <c r="AO274" s="1">
        <v>4</v>
      </c>
      <c r="AP274" s="1">
        <v>4</v>
      </c>
      <c r="AQ274" s="1">
        <v>4</v>
      </c>
      <c r="AR274" s="1">
        <v>4</v>
      </c>
      <c r="AS274" s="1">
        <v>4</v>
      </c>
      <c r="AT274" s="1">
        <v>4</v>
      </c>
      <c r="AU274" s="1">
        <v>4</v>
      </c>
      <c r="AV274" s="1">
        <v>4</v>
      </c>
      <c r="AW274" s="1">
        <v>3</v>
      </c>
      <c r="AX274" s="1">
        <v>4</v>
      </c>
      <c r="AY274" s="1">
        <v>3</v>
      </c>
      <c r="AZ274" s="1">
        <v>4</v>
      </c>
      <c r="BA274" s="1">
        <v>4</v>
      </c>
      <c r="BB274" s="1">
        <v>4</v>
      </c>
      <c r="BC274" s="1">
        <v>2</v>
      </c>
    </row>
    <row r="275" spans="1:55">
      <c r="A275" s="1" t="s">
        <v>476</v>
      </c>
      <c r="B275" s="1" t="s">
        <v>66</v>
      </c>
      <c r="C275" s="1" t="s">
        <v>475</v>
      </c>
      <c r="D275" s="1">
        <v>3</v>
      </c>
      <c r="E275" s="1">
        <v>3</v>
      </c>
      <c r="F275" s="1">
        <v>3</v>
      </c>
      <c r="G275" s="1">
        <v>3</v>
      </c>
      <c r="H275" s="1">
        <v>3</v>
      </c>
      <c r="I275" s="1">
        <v>3</v>
      </c>
      <c r="J275" s="1">
        <v>4</v>
      </c>
      <c r="K275" s="1">
        <v>3</v>
      </c>
      <c r="L275" s="1">
        <v>3</v>
      </c>
      <c r="M275" s="1">
        <v>4</v>
      </c>
      <c r="N275" s="1">
        <v>3</v>
      </c>
      <c r="O275" s="1">
        <v>3</v>
      </c>
      <c r="P275" s="1">
        <v>3</v>
      </c>
      <c r="Q275" s="1">
        <v>3</v>
      </c>
      <c r="R275" s="1">
        <v>2</v>
      </c>
      <c r="S275" s="1">
        <v>3</v>
      </c>
      <c r="T275" s="1">
        <v>3</v>
      </c>
      <c r="U275" s="1">
        <v>4</v>
      </c>
      <c r="V275" s="1">
        <v>4</v>
      </c>
      <c r="W275" s="1">
        <v>4</v>
      </c>
      <c r="X275" s="1">
        <v>3</v>
      </c>
      <c r="Y275" s="1">
        <v>4</v>
      </c>
      <c r="Z275" s="1">
        <v>3</v>
      </c>
      <c r="AA275" s="1">
        <v>3</v>
      </c>
      <c r="AB275" s="1">
        <v>4</v>
      </c>
      <c r="AC275" s="1">
        <v>3</v>
      </c>
      <c r="AD275" s="1">
        <v>4</v>
      </c>
      <c r="AE275" s="1">
        <v>4</v>
      </c>
      <c r="AF275" s="1">
        <v>3</v>
      </c>
      <c r="AG275" s="1">
        <v>2</v>
      </c>
      <c r="AH275" s="1">
        <v>3</v>
      </c>
      <c r="AI275" s="1">
        <v>4</v>
      </c>
      <c r="AJ275" s="1">
        <v>4</v>
      </c>
      <c r="AK275" s="1">
        <v>4</v>
      </c>
      <c r="AL275" s="1">
        <v>4</v>
      </c>
      <c r="AM275" s="1">
        <v>4</v>
      </c>
      <c r="AN275" s="1">
        <v>4</v>
      </c>
      <c r="AO275" s="1">
        <v>3</v>
      </c>
      <c r="AP275" s="1">
        <v>3</v>
      </c>
      <c r="AQ275" s="1">
        <v>3</v>
      </c>
      <c r="AR275" s="1">
        <v>3</v>
      </c>
      <c r="AS275" s="1">
        <v>4</v>
      </c>
      <c r="AT275" s="1">
        <v>4</v>
      </c>
      <c r="AU275" s="1">
        <v>5</v>
      </c>
      <c r="AV275" s="1">
        <v>3</v>
      </c>
      <c r="AW275" s="1">
        <v>4</v>
      </c>
      <c r="AX275" s="1">
        <v>4</v>
      </c>
      <c r="AY275" s="1">
        <v>2</v>
      </c>
      <c r="AZ275" s="1">
        <v>4</v>
      </c>
      <c r="BA275" s="1">
        <v>4</v>
      </c>
      <c r="BB275" s="1">
        <v>4</v>
      </c>
      <c r="BC275" s="1">
        <v>3</v>
      </c>
    </row>
    <row r="276" spans="1:55">
      <c r="A276" s="1" t="s">
        <v>477</v>
      </c>
      <c r="B276" s="1" t="s">
        <v>66</v>
      </c>
      <c r="C276" s="1" t="s">
        <v>478</v>
      </c>
      <c r="D276" s="1">
        <v>3</v>
      </c>
      <c r="E276" s="1">
        <v>3</v>
      </c>
      <c r="F276" s="1">
        <v>2</v>
      </c>
      <c r="G276" s="1">
        <v>4</v>
      </c>
      <c r="H276" s="1">
        <v>4</v>
      </c>
      <c r="I276" s="1">
        <v>3</v>
      </c>
      <c r="J276" s="1">
        <v>3</v>
      </c>
      <c r="K276" s="1">
        <v>3</v>
      </c>
      <c r="L276" s="1">
        <v>4</v>
      </c>
      <c r="M276" s="1">
        <v>3</v>
      </c>
      <c r="N276" s="1">
        <v>3</v>
      </c>
      <c r="O276" s="1">
        <v>3</v>
      </c>
      <c r="P276" s="1">
        <v>3</v>
      </c>
      <c r="Q276" s="1">
        <v>3</v>
      </c>
      <c r="R276" s="1">
        <v>3</v>
      </c>
      <c r="S276" s="1">
        <v>3</v>
      </c>
      <c r="T276" s="1">
        <v>3</v>
      </c>
      <c r="U276" s="1">
        <v>2</v>
      </c>
      <c r="V276" s="1">
        <v>4</v>
      </c>
      <c r="W276" s="1">
        <v>3</v>
      </c>
      <c r="X276" s="1">
        <v>2</v>
      </c>
      <c r="Y276" s="1">
        <v>2</v>
      </c>
      <c r="Z276" s="1">
        <v>3</v>
      </c>
      <c r="AA276" s="1">
        <v>4</v>
      </c>
      <c r="AB276" s="1">
        <v>3</v>
      </c>
      <c r="AC276" s="1">
        <v>1</v>
      </c>
      <c r="AD276" s="1">
        <v>4</v>
      </c>
      <c r="AE276" s="1">
        <v>2</v>
      </c>
      <c r="AF276" s="1">
        <v>2</v>
      </c>
      <c r="AG276" s="1">
        <v>4</v>
      </c>
      <c r="AH276" s="1">
        <v>3</v>
      </c>
      <c r="AI276" s="1">
        <v>3</v>
      </c>
      <c r="AJ276" s="1">
        <v>3</v>
      </c>
      <c r="AK276" s="1">
        <v>4</v>
      </c>
      <c r="AL276" s="1">
        <v>4</v>
      </c>
      <c r="AM276" s="1">
        <v>3</v>
      </c>
      <c r="AN276" s="1">
        <v>3</v>
      </c>
      <c r="AO276" s="1">
        <v>3</v>
      </c>
      <c r="AP276" s="1">
        <v>5</v>
      </c>
      <c r="AQ276" s="1">
        <v>4</v>
      </c>
      <c r="AR276" s="1">
        <v>3</v>
      </c>
      <c r="AS276" s="1">
        <v>3</v>
      </c>
      <c r="AT276" s="1">
        <v>2</v>
      </c>
      <c r="AU276" s="1">
        <v>2</v>
      </c>
      <c r="AV276" s="1">
        <v>4</v>
      </c>
      <c r="AW276" s="1">
        <v>3</v>
      </c>
      <c r="AX276" s="1">
        <v>4</v>
      </c>
      <c r="AY276" s="1">
        <v>4</v>
      </c>
      <c r="AZ276" s="1">
        <v>4</v>
      </c>
      <c r="BA276" s="1">
        <v>3</v>
      </c>
      <c r="BB276" s="1">
        <v>4</v>
      </c>
      <c r="BC276" s="1">
        <v>2</v>
      </c>
    </row>
    <row r="277" spans="1:55">
      <c r="A277" s="1" t="s">
        <v>479</v>
      </c>
      <c r="B277" s="1" t="s">
        <v>66</v>
      </c>
      <c r="C277" s="1" t="s">
        <v>478</v>
      </c>
      <c r="D277" s="1">
        <v>3</v>
      </c>
      <c r="E277" s="1">
        <v>4</v>
      </c>
      <c r="F277" s="1">
        <v>3</v>
      </c>
      <c r="G277" s="1">
        <v>3</v>
      </c>
      <c r="H277" s="1">
        <v>3</v>
      </c>
      <c r="I277" s="1">
        <v>3</v>
      </c>
      <c r="J277" s="1">
        <v>3</v>
      </c>
      <c r="K277" s="1">
        <v>2</v>
      </c>
      <c r="L277" s="1">
        <v>3</v>
      </c>
      <c r="M277" s="1">
        <v>3</v>
      </c>
      <c r="N277" s="1">
        <v>3</v>
      </c>
      <c r="O277" s="1">
        <v>3</v>
      </c>
      <c r="P277" s="1">
        <v>4</v>
      </c>
      <c r="Q277" s="1">
        <v>3</v>
      </c>
      <c r="R277" s="1">
        <v>3</v>
      </c>
      <c r="S277" s="1">
        <v>4</v>
      </c>
      <c r="T277" s="1">
        <v>3</v>
      </c>
      <c r="U277" s="1">
        <v>3</v>
      </c>
      <c r="V277" s="1">
        <v>3</v>
      </c>
      <c r="W277" s="1">
        <v>3</v>
      </c>
      <c r="X277" s="1">
        <v>4</v>
      </c>
      <c r="Y277" s="1">
        <v>3</v>
      </c>
      <c r="Z277" s="1">
        <v>3</v>
      </c>
      <c r="AA277" s="1">
        <v>2</v>
      </c>
      <c r="AB277" s="1">
        <v>3</v>
      </c>
      <c r="AC277" s="1">
        <v>3</v>
      </c>
      <c r="AD277" s="1">
        <v>4</v>
      </c>
      <c r="AE277" s="1">
        <v>2</v>
      </c>
      <c r="AF277" s="1">
        <v>3</v>
      </c>
      <c r="AG277" s="1">
        <v>3</v>
      </c>
      <c r="AH277" s="1">
        <v>3</v>
      </c>
      <c r="AI277" s="1">
        <v>4</v>
      </c>
      <c r="AJ277" s="1">
        <v>4</v>
      </c>
      <c r="AK277" s="1">
        <v>4</v>
      </c>
      <c r="AL277" s="1">
        <v>4</v>
      </c>
      <c r="AM277" s="1">
        <v>3</v>
      </c>
      <c r="AN277" s="1">
        <v>4</v>
      </c>
      <c r="AO277" s="1">
        <v>3</v>
      </c>
      <c r="AP277" s="1">
        <v>4</v>
      </c>
      <c r="AQ277" s="1">
        <v>3</v>
      </c>
      <c r="AR277" s="1">
        <v>2</v>
      </c>
      <c r="AS277" s="1">
        <v>3</v>
      </c>
      <c r="AT277" s="1">
        <v>3</v>
      </c>
      <c r="AU277" s="1">
        <v>2</v>
      </c>
      <c r="AV277" s="1">
        <v>4</v>
      </c>
      <c r="AW277" s="1">
        <v>3</v>
      </c>
      <c r="AX277" s="1">
        <v>4</v>
      </c>
      <c r="AY277" s="1">
        <v>3</v>
      </c>
      <c r="AZ277" s="1">
        <v>4</v>
      </c>
      <c r="BA277" s="1">
        <v>4</v>
      </c>
      <c r="BB277" s="1">
        <v>3</v>
      </c>
      <c r="BC277" s="1">
        <v>2</v>
      </c>
    </row>
    <row r="278" spans="1:55">
      <c r="A278" s="1" t="s">
        <v>480</v>
      </c>
      <c r="B278" s="1" t="s">
        <v>66</v>
      </c>
      <c r="C278" s="1" t="s">
        <v>481</v>
      </c>
      <c r="D278" s="1">
        <v>3</v>
      </c>
      <c r="E278" s="1">
        <v>3</v>
      </c>
      <c r="F278" s="1">
        <v>3</v>
      </c>
      <c r="G278" s="1">
        <v>4</v>
      </c>
      <c r="H278" s="1">
        <v>3</v>
      </c>
      <c r="I278" s="1">
        <v>4</v>
      </c>
      <c r="J278" s="1">
        <v>4</v>
      </c>
      <c r="K278" s="1">
        <v>3</v>
      </c>
      <c r="L278" s="1">
        <v>3</v>
      </c>
      <c r="M278" s="1">
        <v>4</v>
      </c>
      <c r="N278" s="1">
        <v>3</v>
      </c>
      <c r="O278" s="1">
        <v>3</v>
      </c>
      <c r="P278" s="1">
        <v>3</v>
      </c>
      <c r="Q278" s="1">
        <v>3</v>
      </c>
      <c r="R278" s="1">
        <v>3</v>
      </c>
      <c r="S278" s="1">
        <v>4</v>
      </c>
      <c r="T278" s="1">
        <v>3</v>
      </c>
      <c r="U278" s="1">
        <v>3</v>
      </c>
      <c r="V278" s="1">
        <v>3</v>
      </c>
      <c r="W278" s="1">
        <v>2</v>
      </c>
      <c r="X278" s="1">
        <v>3</v>
      </c>
      <c r="Y278" s="1">
        <v>2</v>
      </c>
      <c r="Z278" s="1">
        <v>3</v>
      </c>
      <c r="AA278" s="1">
        <v>3</v>
      </c>
      <c r="AB278" s="1">
        <v>3</v>
      </c>
      <c r="AC278" s="1">
        <v>2</v>
      </c>
      <c r="AD278" s="1">
        <v>3</v>
      </c>
      <c r="AE278" s="1">
        <v>3</v>
      </c>
      <c r="AF278" s="1">
        <v>2</v>
      </c>
      <c r="AG278" s="1">
        <v>2</v>
      </c>
      <c r="AH278" s="1">
        <v>4</v>
      </c>
      <c r="AI278" s="1">
        <v>4</v>
      </c>
      <c r="AJ278" s="1">
        <v>5</v>
      </c>
      <c r="AK278" s="1">
        <v>2</v>
      </c>
      <c r="AL278" s="1">
        <v>3</v>
      </c>
      <c r="AM278" s="1">
        <v>3</v>
      </c>
      <c r="AN278" s="1">
        <v>4</v>
      </c>
      <c r="AO278" s="1">
        <v>3</v>
      </c>
      <c r="AP278" s="1">
        <v>4</v>
      </c>
      <c r="AQ278" s="1">
        <v>4</v>
      </c>
      <c r="AR278" s="1">
        <v>3</v>
      </c>
      <c r="AS278" s="1">
        <v>3</v>
      </c>
      <c r="AT278" s="1">
        <v>2</v>
      </c>
      <c r="AU278" s="1">
        <v>3</v>
      </c>
      <c r="AV278" s="1">
        <v>5</v>
      </c>
      <c r="AW278" s="1">
        <v>3</v>
      </c>
      <c r="AX278" s="1">
        <v>2</v>
      </c>
      <c r="AY278" s="1">
        <v>2</v>
      </c>
      <c r="AZ278" s="1">
        <v>3</v>
      </c>
      <c r="BA278" s="1">
        <v>3</v>
      </c>
      <c r="BB278" s="1">
        <v>3</v>
      </c>
      <c r="BC278" s="1">
        <v>1</v>
      </c>
    </row>
    <row r="279" spans="1:55">
      <c r="A279" s="1" t="s">
        <v>482</v>
      </c>
      <c r="B279" s="1" t="s">
        <v>66</v>
      </c>
      <c r="C279" s="1" t="s">
        <v>481</v>
      </c>
      <c r="D279" s="1">
        <v>2</v>
      </c>
      <c r="E279" s="1">
        <v>3</v>
      </c>
      <c r="F279" s="1">
        <v>4</v>
      </c>
      <c r="G279" s="1">
        <v>3</v>
      </c>
      <c r="H279" s="1">
        <v>2</v>
      </c>
      <c r="I279" s="1">
        <v>2</v>
      </c>
      <c r="J279" s="1">
        <v>2</v>
      </c>
      <c r="K279" s="1">
        <v>3</v>
      </c>
      <c r="L279" s="1">
        <v>3</v>
      </c>
      <c r="M279" s="1">
        <v>4</v>
      </c>
      <c r="N279" s="1">
        <v>2</v>
      </c>
      <c r="O279" s="1">
        <v>4</v>
      </c>
      <c r="P279" s="1">
        <v>3</v>
      </c>
      <c r="Q279" s="1">
        <v>3</v>
      </c>
      <c r="R279" s="1">
        <v>3</v>
      </c>
      <c r="S279" s="1">
        <v>3</v>
      </c>
      <c r="T279" s="1">
        <v>3</v>
      </c>
      <c r="U279" s="1">
        <v>2</v>
      </c>
      <c r="V279" s="1">
        <v>3</v>
      </c>
      <c r="W279" s="1">
        <v>2</v>
      </c>
      <c r="X279" s="1">
        <v>3</v>
      </c>
      <c r="Y279" s="1">
        <v>2</v>
      </c>
      <c r="Z279" s="1">
        <v>3</v>
      </c>
      <c r="AA279" s="1">
        <v>4</v>
      </c>
      <c r="AB279" s="1">
        <v>3</v>
      </c>
      <c r="AC279" s="1">
        <v>3</v>
      </c>
      <c r="AD279" s="1">
        <v>3</v>
      </c>
      <c r="AE279" s="1">
        <v>4</v>
      </c>
      <c r="AF279" s="1">
        <v>2</v>
      </c>
      <c r="AG279" s="1">
        <v>3</v>
      </c>
      <c r="AH279" s="1">
        <v>3</v>
      </c>
      <c r="AI279" s="1">
        <v>2</v>
      </c>
      <c r="AJ279" s="1">
        <v>4</v>
      </c>
      <c r="AK279" s="1">
        <v>3</v>
      </c>
      <c r="AL279" s="1">
        <v>3</v>
      </c>
      <c r="AM279" s="1">
        <v>4</v>
      </c>
      <c r="AN279" s="1">
        <v>4</v>
      </c>
      <c r="AO279" s="1">
        <v>4</v>
      </c>
      <c r="AP279" s="1">
        <v>4</v>
      </c>
      <c r="AQ279" s="1">
        <v>4</v>
      </c>
      <c r="AR279" s="1">
        <v>4</v>
      </c>
      <c r="AS279" s="1">
        <v>4</v>
      </c>
      <c r="AT279" s="1">
        <v>4</v>
      </c>
      <c r="AU279" s="1">
        <v>3</v>
      </c>
      <c r="AV279" s="1">
        <v>3</v>
      </c>
      <c r="AW279" s="1">
        <v>2</v>
      </c>
      <c r="AX279" s="1">
        <v>2</v>
      </c>
      <c r="AY279" s="1">
        <v>2</v>
      </c>
      <c r="AZ279" s="1">
        <v>4</v>
      </c>
      <c r="BA279" s="1">
        <v>3</v>
      </c>
      <c r="BB279" s="1">
        <v>4</v>
      </c>
      <c r="BC279" s="1">
        <v>3</v>
      </c>
    </row>
    <row r="280" spans="1:55">
      <c r="A280" s="1" t="s">
        <v>483</v>
      </c>
      <c r="B280" s="1" t="s">
        <v>66</v>
      </c>
      <c r="C280" s="1" t="s">
        <v>484</v>
      </c>
      <c r="D280" s="1">
        <v>2</v>
      </c>
      <c r="E280" s="1">
        <v>3</v>
      </c>
      <c r="F280" s="1">
        <v>3</v>
      </c>
      <c r="G280" s="1">
        <v>3</v>
      </c>
      <c r="H280" s="1">
        <v>2</v>
      </c>
      <c r="I280" s="1">
        <v>3</v>
      </c>
      <c r="J280" s="1">
        <v>2</v>
      </c>
      <c r="K280" s="1">
        <v>3</v>
      </c>
      <c r="L280" s="1">
        <v>4</v>
      </c>
      <c r="M280" s="1">
        <v>2</v>
      </c>
      <c r="N280" s="1">
        <v>2</v>
      </c>
      <c r="O280" s="1">
        <v>3</v>
      </c>
      <c r="P280" s="1">
        <v>4</v>
      </c>
      <c r="Q280" s="1">
        <v>3</v>
      </c>
      <c r="R280" s="1">
        <v>2</v>
      </c>
      <c r="S280" s="1">
        <v>2</v>
      </c>
      <c r="T280" s="1">
        <v>3</v>
      </c>
      <c r="U280" s="1">
        <v>2</v>
      </c>
      <c r="V280" s="1">
        <v>3</v>
      </c>
      <c r="W280" s="1">
        <v>2</v>
      </c>
      <c r="X280" s="1">
        <v>2</v>
      </c>
      <c r="Y280" s="1">
        <v>2</v>
      </c>
      <c r="Z280" s="1">
        <v>3</v>
      </c>
      <c r="AA280" s="1">
        <v>4</v>
      </c>
      <c r="AB280" s="1">
        <v>4</v>
      </c>
      <c r="AC280" s="1">
        <v>4</v>
      </c>
      <c r="AD280" s="1">
        <v>2</v>
      </c>
      <c r="AE280" s="1">
        <v>4</v>
      </c>
      <c r="AF280" s="1">
        <v>3</v>
      </c>
      <c r="AG280" s="1">
        <v>2</v>
      </c>
      <c r="AH280" s="1">
        <v>3</v>
      </c>
      <c r="AI280" s="1">
        <v>3</v>
      </c>
      <c r="AJ280" s="1">
        <v>3</v>
      </c>
      <c r="AK280" s="1">
        <v>3</v>
      </c>
      <c r="AL280" s="1">
        <v>4</v>
      </c>
      <c r="AM280" s="1">
        <v>4</v>
      </c>
      <c r="AN280" s="1">
        <v>3</v>
      </c>
      <c r="AO280" s="1">
        <v>4</v>
      </c>
      <c r="AP280" s="1">
        <v>4</v>
      </c>
      <c r="AQ280" s="1">
        <v>4</v>
      </c>
      <c r="AR280" s="1">
        <v>3</v>
      </c>
      <c r="AS280" s="1">
        <v>3</v>
      </c>
      <c r="AT280" s="1">
        <v>3</v>
      </c>
      <c r="AU280" s="1">
        <v>3</v>
      </c>
      <c r="AV280" s="1">
        <v>3</v>
      </c>
      <c r="AW280" s="1">
        <v>4</v>
      </c>
      <c r="AX280" s="1">
        <v>3</v>
      </c>
      <c r="AY280" s="1">
        <v>4</v>
      </c>
      <c r="AZ280" s="1">
        <v>4</v>
      </c>
      <c r="BA280" s="1">
        <v>5</v>
      </c>
      <c r="BB280" s="1">
        <v>3</v>
      </c>
      <c r="BC280" s="1">
        <v>4</v>
      </c>
    </row>
    <row r="281" spans="1:55">
      <c r="A281" s="1" t="s">
        <v>485</v>
      </c>
      <c r="B281" s="1" t="s">
        <v>66</v>
      </c>
      <c r="C281" s="1" t="s">
        <v>484</v>
      </c>
      <c r="D281" s="1">
        <v>3</v>
      </c>
      <c r="E281" s="1">
        <v>3</v>
      </c>
      <c r="F281" s="1">
        <v>3</v>
      </c>
      <c r="G281" s="1">
        <v>3</v>
      </c>
      <c r="H281" s="1">
        <v>2</v>
      </c>
      <c r="I281" s="1">
        <v>4</v>
      </c>
      <c r="J281" s="1">
        <v>3</v>
      </c>
      <c r="K281" s="1">
        <v>3</v>
      </c>
      <c r="L281" s="1">
        <v>3</v>
      </c>
      <c r="M281" s="1">
        <v>3</v>
      </c>
      <c r="N281" s="1">
        <v>4</v>
      </c>
      <c r="O281" s="1">
        <v>3</v>
      </c>
      <c r="P281" s="1">
        <v>3</v>
      </c>
      <c r="Q281" s="1">
        <v>2</v>
      </c>
      <c r="R281" s="1">
        <v>3</v>
      </c>
      <c r="S281" s="1">
        <v>4</v>
      </c>
      <c r="T281" s="1">
        <v>3</v>
      </c>
      <c r="U281" s="1">
        <v>3</v>
      </c>
      <c r="V281" s="1">
        <v>4</v>
      </c>
      <c r="W281" s="1">
        <v>4</v>
      </c>
      <c r="X281" s="1">
        <v>3</v>
      </c>
      <c r="Y281" s="1">
        <v>3</v>
      </c>
      <c r="Z281" s="1">
        <v>2</v>
      </c>
      <c r="AA281" s="1">
        <v>2</v>
      </c>
      <c r="AB281" s="1">
        <v>2</v>
      </c>
      <c r="AC281" s="1">
        <v>2</v>
      </c>
      <c r="AD281" s="1">
        <v>3</v>
      </c>
      <c r="AE281" s="1">
        <v>4</v>
      </c>
      <c r="AF281" s="1">
        <v>3</v>
      </c>
      <c r="AG281" s="1">
        <v>2</v>
      </c>
      <c r="AH281" s="1">
        <v>5</v>
      </c>
      <c r="AI281" s="1">
        <v>4</v>
      </c>
      <c r="AJ281" s="1">
        <v>5</v>
      </c>
      <c r="AK281" s="1">
        <v>3</v>
      </c>
      <c r="AL281" s="1">
        <v>4</v>
      </c>
      <c r="AM281" s="1">
        <v>3</v>
      </c>
      <c r="AN281" s="1">
        <v>4</v>
      </c>
      <c r="AO281" s="1">
        <v>4</v>
      </c>
      <c r="AP281" s="1">
        <v>3</v>
      </c>
      <c r="AQ281" s="1">
        <v>4</v>
      </c>
      <c r="AR281" s="1">
        <v>4</v>
      </c>
      <c r="AS281" s="1">
        <v>4</v>
      </c>
      <c r="AT281" s="1">
        <v>3</v>
      </c>
      <c r="AU281" s="1">
        <v>3</v>
      </c>
      <c r="AV281" s="1">
        <v>5</v>
      </c>
      <c r="AW281" s="1">
        <v>5</v>
      </c>
      <c r="AX281" s="1">
        <v>4</v>
      </c>
      <c r="AY281" s="1">
        <v>5</v>
      </c>
      <c r="AZ281" s="1">
        <v>3</v>
      </c>
      <c r="BA281" s="1">
        <v>3</v>
      </c>
      <c r="BB281" s="1">
        <v>3</v>
      </c>
      <c r="BC281" s="1">
        <v>1</v>
      </c>
    </row>
    <row r="282" spans="1:55">
      <c r="A282" s="1" t="s">
        <v>486</v>
      </c>
      <c r="B282" s="1" t="s">
        <v>66</v>
      </c>
      <c r="C282" s="1" t="s">
        <v>487</v>
      </c>
      <c r="D282" s="1">
        <v>3</v>
      </c>
      <c r="E282" s="1">
        <v>4</v>
      </c>
      <c r="F282" s="1">
        <v>3</v>
      </c>
      <c r="G282" s="1">
        <v>2</v>
      </c>
      <c r="H282" s="1">
        <v>4</v>
      </c>
      <c r="I282" s="1">
        <v>3</v>
      </c>
      <c r="J282" s="1">
        <v>4</v>
      </c>
      <c r="K282" s="1">
        <v>2</v>
      </c>
      <c r="L282" s="1">
        <v>3</v>
      </c>
      <c r="M282" s="1">
        <v>5</v>
      </c>
      <c r="N282" s="1">
        <v>3</v>
      </c>
      <c r="O282" s="1">
        <v>1</v>
      </c>
      <c r="P282" s="1">
        <v>2</v>
      </c>
      <c r="Q282" s="1">
        <v>3</v>
      </c>
      <c r="R282" s="1">
        <v>4</v>
      </c>
      <c r="S282" s="1">
        <v>4</v>
      </c>
      <c r="T282" s="1">
        <v>4</v>
      </c>
      <c r="U282" s="1">
        <v>3</v>
      </c>
      <c r="V282" s="1">
        <v>3</v>
      </c>
      <c r="W282" s="1">
        <v>2</v>
      </c>
      <c r="X282" s="1">
        <v>2</v>
      </c>
      <c r="Y282" s="1">
        <v>2</v>
      </c>
      <c r="Z282" s="1">
        <v>2</v>
      </c>
      <c r="AA282" s="1">
        <v>3</v>
      </c>
      <c r="AB282" s="1">
        <v>3</v>
      </c>
      <c r="AC282" s="1">
        <v>2</v>
      </c>
      <c r="AD282" s="1">
        <v>4</v>
      </c>
      <c r="AE282" s="1">
        <v>5</v>
      </c>
      <c r="AF282" s="1">
        <v>2</v>
      </c>
      <c r="AG282" s="1">
        <v>3</v>
      </c>
      <c r="AH282" s="1">
        <v>4</v>
      </c>
      <c r="AI282" s="1">
        <v>4</v>
      </c>
      <c r="AJ282" s="1">
        <v>3</v>
      </c>
      <c r="AK282" s="1">
        <v>3</v>
      </c>
      <c r="AL282" s="1">
        <v>4</v>
      </c>
      <c r="AM282" s="1">
        <v>4</v>
      </c>
      <c r="AN282" s="1">
        <v>4</v>
      </c>
      <c r="AO282" s="1">
        <v>2</v>
      </c>
      <c r="AP282" s="1">
        <v>2</v>
      </c>
      <c r="AQ282" s="1">
        <v>1</v>
      </c>
      <c r="AR282" s="1">
        <v>4</v>
      </c>
      <c r="AS282" s="1">
        <v>5</v>
      </c>
      <c r="AT282" s="1">
        <v>4</v>
      </c>
      <c r="AU282" s="1">
        <v>5</v>
      </c>
      <c r="AV282" s="1">
        <v>4</v>
      </c>
      <c r="AW282" s="1">
        <v>2</v>
      </c>
      <c r="AX282" s="1">
        <v>4</v>
      </c>
      <c r="AY282" s="1">
        <v>3</v>
      </c>
      <c r="AZ282" s="1">
        <v>3</v>
      </c>
      <c r="BA282" s="1">
        <v>3</v>
      </c>
      <c r="BB282" s="1">
        <v>3</v>
      </c>
      <c r="BC282" s="1">
        <v>3</v>
      </c>
    </row>
    <row r="283" spans="1:55">
      <c r="A283" s="1" t="s">
        <v>488</v>
      </c>
      <c r="B283" s="1" t="s">
        <v>489</v>
      </c>
      <c r="C283" s="1" t="s">
        <v>490</v>
      </c>
      <c r="D283" s="1">
        <v>3</v>
      </c>
      <c r="E283" s="1">
        <v>3</v>
      </c>
      <c r="F283" s="1">
        <v>3</v>
      </c>
      <c r="G283" s="1">
        <v>3</v>
      </c>
      <c r="H283" s="1">
        <v>1</v>
      </c>
      <c r="I283" s="1">
        <v>3</v>
      </c>
      <c r="J283" s="1">
        <v>3</v>
      </c>
      <c r="K283" s="1">
        <v>3</v>
      </c>
      <c r="L283" s="1">
        <v>3</v>
      </c>
      <c r="M283" s="1">
        <v>4</v>
      </c>
      <c r="N283" s="1">
        <v>2</v>
      </c>
      <c r="O283" s="1">
        <v>3</v>
      </c>
      <c r="P283" s="1">
        <v>3</v>
      </c>
      <c r="Q283" s="1">
        <v>3</v>
      </c>
      <c r="R283" s="1">
        <v>3</v>
      </c>
      <c r="S283" s="1">
        <v>3</v>
      </c>
      <c r="T283" s="1">
        <v>3</v>
      </c>
      <c r="U283" s="1">
        <v>4</v>
      </c>
      <c r="V283" s="1">
        <v>2</v>
      </c>
      <c r="W283" s="1">
        <v>3</v>
      </c>
      <c r="X283" s="1">
        <v>3</v>
      </c>
      <c r="Y283" s="1">
        <v>3</v>
      </c>
      <c r="Z283" s="1">
        <v>3</v>
      </c>
      <c r="AA283" s="1">
        <v>3</v>
      </c>
      <c r="AB283" s="1">
        <v>3</v>
      </c>
      <c r="AC283" s="1">
        <v>3</v>
      </c>
      <c r="AD283" s="1">
        <v>3</v>
      </c>
      <c r="AE283" s="1">
        <v>2</v>
      </c>
      <c r="AF283" s="1">
        <v>3</v>
      </c>
      <c r="AG283" s="1">
        <v>4</v>
      </c>
      <c r="AH283" s="1">
        <v>3</v>
      </c>
      <c r="AI283" s="1">
        <v>3</v>
      </c>
      <c r="AJ283" s="1">
        <v>2</v>
      </c>
      <c r="AK283" s="1">
        <v>4</v>
      </c>
      <c r="AL283" s="1">
        <v>4</v>
      </c>
      <c r="AM283" s="1">
        <v>3</v>
      </c>
      <c r="AN283" s="1">
        <v>2</v>
      </c>
      <c r="AO283" s="1">
        <v>4</v>
      </c>
      <c r="AP283" s="1">
        <v>2</v>
      </c>
      <c r="AQ283" s="1">
        <v>4</v>
      </c>
      <c r="AR283" s="1">
        <v>2</v>
      </c>
      <c r="AS283" s="1">
        <v>3</v>
      </c>
      <c r="AT283" s="1">
        <v>3</v>
      </c>
      <c r="AU283" s="1">
        <v>4</v>
      </c>
      <c r="AV283" s="1">
        <v>2</v>
      </c>
      <c r="AW283" s="1">
        <v>3</v>
      </c>
      <c r="AX283" s="1">
        <v>2</v>
      </c>
      <c r="AY283" s="1">
        <v>3</v>
      </c>
      <c r="AZ283" s="1">
        <v>3</v>
      </c>
      <c r="BA283" s="1">
        <v>4</v>
      </c>
      <c r="BB283" s="1">
        <v>3</v>
      </c>
      <c r="BC283" s="1">
        <v>4</v>
      </c>
    </row>
    <row r="284" spans="1:55">
      <c r="A284" s="1" t="s">
        <v>491</v>
      </c>
      <c r="B284" s="1" t="s">
        <v>489</v>
      </c>
      <c r="C284" s="1" t="s">
        <v>490</v>
      </c>
      <c r="D284" s="1">
        <v>4</v>
      </c>
      <c r="E284" s="1">
        <v>4</v>
      </c>
      <c r="F284" s="1">
        <v>3</v>
      </c>
      <c r="G284" s="1">
        <v>2</v>
      </c>
      <c r="H284" s="1">
        <v>3</v>
      </c>
      <c r="I284" s="1">
        <v>3</v>
      </c>
      <c r="J284" s="1">
        <v>4</v>
      </c>
      <c r="K284" s="1">
        <v>3</v>
      </c>
      <c r="L284" s="1">
        <v>2</v>
      </c>
      <c r="M284" s="1">
        <v>4</v>
      </c>
      <c r="N284" s="1">
        <v>4</v>
      </c>
      <c r="O284" s="1">
        <v>2</v>
      </c>
      <c r="P284" s="1">
        <v>3</v>
      </c>
      <c r="Q284" s="1">
        <v>4</v>
      </c>
      <c r="R284" s="1">
        <v>3</v>
      </c>
      <c r="S284" s="1">
        <v>3</v>
      </c>
      <c r="T284" s="1">
        <v>3</v>
      </c>
      <c r="U284" s="1">
        <v>3</v>
      </c>
      <c r="V284" s="1">
        <v>3</v>
      </c>
      <c r="W284" s="1">
        <v>3</v>
      </c>
      <c r="X284" s="1">
        <v>4</v>
      </c>
      <c r="Y284" s="1">
        <v>4</v>
      </c>
      <c r="Z284" s="1">
        <v>2</v>
      </c>
      <c r="AA284" s="1">
        <v>3</v>
      </c>
      <c r="AB284" s="1">
        <v>2</v>
      </c>
      <c r="AC284" s="1">
        <v>3</v>
      </c>
      <c r="AD284" s="1">
        <v>3</v>
      </c>
      <c r="AE284" s="1">
        <v>3</v>
      </c>
      <c r="AF284" s="1">
        <v>3</v>
      </c>
      <c r="AG284" s="1">
        <v>2</v>
      </c>
      <c r="AH284" s="1">
        <v>3</v>
      </c>
      <c r="AI284" s="1">
        <v>3</v>
      </c>
      <c r="AJ284" s="1">
        <v>4</v>
      </c>
      <c r="AK284" s="1">
        <v>4</v>
      </c>
      <c r="AL284" s="1">
        <v>2</v>
      </c>
      <c r="AM284" s="1">
        <v>4</v>
      </c>
      <c r="AN284" s="1">
        <v>3</v>
      </c>
      <c r="AO284" s="1">
        <v>2</v>
      </c>
      <c r="AP284" s="1">
        <v>3</v>
      </c>
      <c r="AQ284" s="1">
        <v>4</v>
      </c>
      <c r="AR284" s="1">
        <v>4</v>
      </c>
      <c r="AS284" s="1">
        <v>4</v>
      </c>
      <c r="AT284" s="1">
        <v>2</v>
      </c>
      <c r="AU284" s="1">
        <v>3</v>
      </c>
      <c r="AV284" s="1">
        <v>4</v>
      </c>
      <c r="AW284" s="1">
        <v>3</v>
      </c>
      <c r="AX284" s="1">
        <v>4</v>
      </c>
      <c r="AY284" s="1">
        <v>4</v>
      </c>
      <c r="AZ284" s="1">
        <v>3</v>
      </c>
      <c r="BA284" s="1">
        <v>3</v>
      </c>
      <c r="BB284" s="1">
        <v>2</v>
      </c>
      <c r="BC284" s="1">
        <v>2</v>
      </c>
    </row>
    <row r="285" spans="1:55">
      <c r="A285" s="1" t="s">
        <v>492</v>
      </c>
      <c r="B285" s="1" t="s">
        <v>489</v>
      </c>
      <c r="C285" s="1" t="s">
        <v>493</v>
      </c>
      <c r="D285" s="1">
        <v>2</v>
      </c>
      <c r="E285" s="1">
        <v>2</v>
      </c>
      <c r="F285" s="1">
        <v>3</v>
      </c>
      <c r="G285" s="1">
        <v>4</v>
      </c>
      <c r="H285" s="1">
        <v>4</v>
      </c>
      <c r="I285" s="1">
        <v>3</v>
      </c>
      <c r="J285" s="1">
        <v>3</v>
      </c>
      <c r="K285" s="1">
        <v>3</v>
      </c>
      <c r="L285" s="1">
        <v>3</v>
      </c>
      <c r="M285" s="1">
        <v>2</v>
      </c>
      <c r="N285" s="1">
        <v>3</v>
      </c>
      <c r="O285" s="1">
        <v>3</v>
      </c>
      <c r="P285" s="1">
        <v>3</v>
      </c>
      <c r="Q285" s="1">
        <v>3</v>
      </c>
      <c r="R285" s="1">
        <v>2</v>
      </c>
      <c r="S285" s="1">
        <v>1</v>
      </c>
      <c r="T285" s="1">
        <v>2</v>
      </c>
      <c r="U285" s="1">
        <v>1</v>
      </c>
      <c r="V285" s="1">
        <v>4</v>
      </c>
      <c r="W285" s="1">
        <v>2</v>
      </c>
      <c r="X285" s="1">
        <v>2</v>
      </c>
      <c r="Y285" s="1">
        <v>4</v>
      </c>
      <c r="Z285" s="1">
        <v>3</v>
      </c>
      <c r="AA285" s="1">
        <v>3</v>
      </c>
      <c r="AB285" s="1">
        <v>3</v>
      </c>
      <c r="AC285" s="1">
        <v>3</v>
      </c>
      <c r="AD285" s="1">
        <v>2</v>
      </c>
      <c r="AE285" s="1">
        <v>1</v>
      </c>
      <c r="AF285" s="1">
        <v>5</v>
      </c>
      <c r="AG285" s="1">
        <v>4</v>
      </c>
      <c r="AH285" s="1">
        <v>3</v>
      </c>
      <c r="AI285" s="1">
        <v>3</v>
      </c>
      <c r="AJ285" s="1">
        <v>3</v>
      </c>
      <c r="AK285" s="1">
        <v>3</v>
      </c>
      <c r="AL285" s="1">
        <v>2</v>
      </c>
      <c r="AM285" s="1">
        <v>2</v>
      </c>
      <c r="AN285" s="1">
        <v>3</v>
      </c>
      <c r="AO285" s="1">
        <v>3</v>
      </c>
      <c r="AP285" s="1">
        <v>4</v>
      </c>
      <c r="AQ285" s="1">
        <v>3</v>
      </c>
      <c r="AR285" s="1">
        <v>2</v>
      </c>
      <c r="AS285" s="1">
        <v>1</v>
      </c>
      <c r="AT285" s="1">
        <v>2</v>
      </c>
      <c r="AU285" s="1">
        <v>2</v>
      </c>
      <c r="AV285" s="1">
        <v>3</v>
      </c>
      <c r="AW285" s="1">
        <v>2</v>
      </c>
      <c r="AX285" s="1">
        <v>4</v>
      </c>
      <c r="AY285" s="1">
        <v>3</v>
      </c>
      <c r="AZ285" s="1">
        <v>4</v>
      </c>
      <c r="BA285" s="1">
        <v>4</v>
      </c>
      <c r="BB285" s="1">
        <v>4</v>
      </c>
      <c r="BC285" s="1">
        <v>3</v>
      </c>
    </row>
    <row r="286" spans="1:55">
      <c r="A286" s="1" t="s">
        <v>494</v>
      </c>
      <c r="B286" s="1" t="s">
        <v>489</v>
      </c>
      <c r="C286" s="1" t="s">
        <v>493</v>
      </c>
      <c r="D286" s="1">
        <v>2</v>
      </c>
      <c r="E286" s="1">
        <v>3</v>
      </c>
      <c r="F286" s="1">
        <v>3</v>
      </c>
      <c r="G286" s="1">
        <v>3</v>
      </c>
      <c r="H286" s="1">
        <v>4</v>
      </c>
      <c r="I286" s="1">
        <v>3</v>
      </c>
      <c r="J286" s="1">
        <v>3</v>
      </c>
      <c r="K286" s="1">
        <v>2</v>
      </c>
      <c r="L286" s="1">
        <v>3</v>
      </c>
      <c r="M286" s="1">
        <v>3</v>
      </c>
      <c r="N286" s="1">
        <v>3</v>
      </c>
      <c r="O286" s="1">
        <v>3</v>
      </c>
      <c r="P286" s="1">
        <v>3</v>
      </c>
      <c r="Q286" s="1">
        <v>1</v>
      </c>
      <c r="R286" s="1">
        <v>3</v>
      </c>
      <c r="S286" s="1">
        <v>3</v>
      </c>
      <c r="T286" s="1">
        <v>3</v>
      </c>
      <c r="U286" s="1">
        <v>2</v>
      </c>
      <c r="V286" s="1">
        <v>4</v>
      </c>
      <c r="W286" s="1">
        <v>4</v>
      </c>
      <c r="X286" s="1">
        <v>3</v>
      </c>
      <c r="Y286" s="1">
        <v>3</v>
      </c>
      <c r="Z286" s="1">
        <v>2</v>
      </c>
      <c r="AA286" s="1">
        <v>2</v>
      </c>
      <c r="AB286" s="1">
        <v>2</v>
      </c>
      <c r="AC286" s="1">
        <v>3</v>
      </c>
      <c r="AD286" s="1">
        <v>3</v>
      </c>
      <c r="AE286" s="1">
        <v>3</v>
      </c>
      <c r="AF286" s="1">
        <v>2</v>
      </c>
      <c r="AG286" s="1">
        <v>4</v>
      </c>
      <c r="AH286" s="1">
        <v>3</v>
      </c>
      <c r="AI286" s="1">
        <v>3</v>
      </c>
      <c r="AJ286" s="1">
        <v>4</v>
      </c>
      <c r="AK286" s="1">
        <v>1</v>
      </c>
      <c r="AL286" s="1">
        <v>3</v>
      </c>
      <c r="AM286" s="1">
        <v>3</v>
      </c>
      <c r="AN286" s="1">
        <v>4</v>
      </c>
      <c r="AO286" s="1">
        <v>3</v>
      </c>
      <c r="AP286" s="1">
        <v>3</v>
      </c>
      <c r="AQ286" s="1">
        <v>3</v>
      </c>
      <c r="AR286" s="1">
        <v>3</v>
      </c>
      <c r="AS286" s="1">
        <v>3</v>
      </c>
      <c r="AT286" s="1">
        <v>2</v>
      </c>
      <c r="AU286" s="1">
        <v>2</v>
      </c>
      <c r="AV286" s="1">
        <v>4</v>
      </c>
      <c r="AW286" s="1">
        <v>3</v>
      </c>
      <c r="AX286" s="1">
        <v>3</v>
      </c>
      <c r="AY286" s="1">
        <v>3</v>
      </c>
      <c r="AZ286" s="1">
        <v>3</v>
      </c>
      <c r="BA286" s="1">
        <v>2</v>
      </c>
      <c r="BB286" s="1">
        <v>2</v>
      </c>
      <c r="BC286" s="1">
        <v>3</v>
      </c>
    </row>
    <row r="287" spans="1:55">
      <c r="A287" s="1" t="s">
        <v>495</v>
      </c>
      <c r="B287" s="1" t="s">
        <v>489</v>
      </c>
      <c r="C287" s="1" t="s">
        <v>496</v>
      </c>
      <c r="D287" s="1">
        <v>3</v>
      </c>
      <c r="E287" s="1">
        <v>3</v>
      </c>
      <c r="F287" s="1">
        <v>3</v>
      </c>
      <c r="G287" s="1">
        <v>3</v>
      </c>
      <c r="H287" s="1">
        <v>4</v>
      </c>
      <c r="I287" s="1">
        <v>4</v>
      </c>
      <c r="J287" s="1">
        <v>3</v>
      </c>
      <c r="K287" s="1">
        <v>3</v>
      </c>
      <c r="L287" s="1">
        <v>3</v>
      </c>
      <c r="M287" s="1">
        <v>4</v>
      </c>
      <c r="N287" s="1">
        <v>4</v>
      </c>
      <c r="O287" s="1">
        <v>3</v>
      </c>
      <c r="P287" s="1">
        <v>3</v>
      </c>
      <c r="Q287" s="1">
        <v>3</v>
      </c>
      <c r="R287" s="1">
        <v>2</v>
      </c>
      <c r="S287" s="1">
        <v>3</v>
      </c>
      <c r="T287" s="1">
        <v>3</v>
      </c>
      <c r="U287" s="1">
        <v>4</v>
      </c>
      <c r="V287" s="1">
        <v>4</v>
      </c>
      <c r="W287" s="1">
        <v>3</v>
      </c>
      <c r="X287" s="1">
        <v>3</v>
      </c>
      <c r="Y287" s="1">
        <v>3</v>
      </c>
      <c r="Z287" s="1">
        <v>3</v>
      </c>
      <c r="AA287" s="1">
        <v>3</v>
      </c>
      <c r="AB287" s="1">
        <v>3</v>
      </c>
      <c r="AC287" s="1">
        <v>2</v>
      </c>
      <c r="AD287" s="1">
        <v>3</v>
      </c>
      <c r="AE287" s="1">
        <v>3</v>
      </c>
      <c r="AF287" s="1">
        <v>3</v>
      </c>
      <c r="AG287" s="1">
        <v>3</v>
      </c>
      <c r="AH287" s="1">
        <v>3</v>
      </c>
      <c r="AI287" s="1">
        <v>4</v>
      </c>
      <c r="AJ287" s="1">
        <v>3</v>
      </c>
      <c r="AK287" s="1">
        <v>3</v>
      </c>
      <c r="AL287" s="1">
        <v>4</v>
      </c>
      <c r="AM287" s="1">
        <v>4</v>
      </c>
      <c r="AN287" s="1">
        <v>4</v>
      </c>
      <c r="AO287" s="1">
        <v>3</v>
      </c>
      <c r="AP287" s="1">
        <v>4</v>
      </c>
      <c r="AQ287" s="1">
        <v>3</v>
      </c>
      <c r="AR287" s="1">
        <v>3</v>
      </c>
      <c r="AS287" s="1">
        <v>3</v>
      </c>
      <c r="AT287" s="1">
        <v>3</v>
      </c>
      <c r="AU287" s="1">
        <v>3</v>
      </c>
      <c r="AV287" s="1">
        <v>3</v>
      </c>
      <c r="AW287" s="1">
        <v>3</v>
      </c>
      <c r="AX287" s="1">
        <v>3</v>
      </c>
      <c r="AY287" s="1">
        <v>2</v>
      </c>
      <c r="AZ287" s="1">
        <v>3</v>
      </c>
      <c r="BA287" s="1">
        <v>3</v>
      </c>
      <c r="BB287" s="1">
        <v>3</v>
      </c>
      <c r="BC287" s="1">
        <v>3</v>
      </c>
    </row>
    <row r="288" spans="1:55">
      <c r="A288" s="1" t="s">
        <v>497</v>
      </c>
      <c r="B288" s="1" t="s">
        <v>489</v>
      </c>
      <c r="C288" s="1" t="s">
        <v>496</v>
      </c>
      <c r="D288" s="1">
        <v>3</v>
      </c>
      <c r="E288" s="1">
        <v>2</v>
      </c>
      <c r="F288" s="1">
        <v>1</v>
      </c>
      <c r="G288" s="1">
        <v>4</v>
      </c>
      <c r="H288" s="1">
        <v>3</v>
      </c>
      <c r="I288" s="1">
        <v>4</v>
      </c>
      <c r="J288" s="1">
        <v>2</v>
      </c>
      <c r="K288" s="1">
        <v>4</v>
      </c>
      <c r="L288" s="1">
        <v>2</v>
      </c>
      <c r="M288" s="1">
        <v>3</v>
      </c>
      <c r="N288" s="1">
        <v>3</v>
      </c>
      <c r="O288" s="1">
        <v>3</v>
      </c>
      <c r="P288" s="1">
        <v>3</v>
      </c>
      <c r="Q288" s="1">
        <v>4</v>
      </c>
      <c r="R288" s="1">
        <v>3</v>
      </c>
      <c r="S288" s="1">
        <v>3</v>
      </c>
      <c r="T288" s="1">
        <v>4</v>
      </c>
      <c r="U288" s="1">
        <v>3</v>
      </c>
      <c r="V288" s="1">
        <v>3</v>
      </c>
      <c r="W288" s="1">
        <v>2</v>
      </c>
      <c r="X288" s="1">
        <v>3</v>
      </c>
      <c r="Y288" s="1">
        <v>4</v>
      </c>
      <c r="Z288" s="1">
        <v>3</v>
      </c>
      <c r="AA288" s="1">
        <v>4</v>
      </c>
      <c r="AB288" s="1">
        <v>3</v>
      </c>
      <c r="AC288" s="1">
        <v>3</v>
      </c>
      <c r="AD288" s="1">
        <v>3</v>
      </c>
      <c r="AE288" s="1">
        <v>3</v>
      </c>
      <c r="AF288" s="1">
        <v>4</v>
      </c>
      <c r="AG288" s="1">
        <v>3</v>
      </c>
      <c r="AH288" s="1">
        <v>3</v>
      </c>
      <c r="AI288" s="1">
        <v>3</v>
      </c>
      <c r="AJ288" s="1">
        <v>3</v>
      </c>
      <c r="AK288" s="1">
        <v>4</v>
      </c>
      <c r="AL288" s="1">
        <v>3</v>
      </c>
      <c r="AM288" s="1">
        <v>3</v>
      </c>
      <c r="AN288" s="1">
        <v>3</v>
      </c>
      <c r="AO288" s="1">
        <v>3</v>
      </c>
      <c r="AP288" s="1">
        <v>4</v>
      </c>
      <c r="AQ288" s="1">
        <v>4</v>
      </c>
      <c r="AR288" s="1">
        <v>2</v>
      </c>
      <c r="AS288" s="1">
        <v>3</v>
      </c>
      <c r="AT288" s="1">
        <v>3</v>
      </c>
      <c r="AU288" s="1">
        <v>3</v>
      </c>
      <c r="AV288" s="1">
        <v>3</v>
      </c>
      <c r="AW288" s="1">
        <v>2</v>
      </c>
      <c r="AX288" s="1">
        <v>3</v>
      </c>
      <c r="AY288" s="1">
        <v>3</v>
      </c>
      <c r="AZ288" s="1">
        <v>5</v>
      </c>
      <c r="BA288" s="1">
        <v>3</v>
      </c>
      <c r="BB288" s="1">
        <v>4</v>
      </c>
      <c r="BC288" s="1">
        <v>3</v>
      </c>
    </row>
    <row r="289" spans="1:55">
      <c r="A289" s="1" t="s">
        <v>498</v>
      </c>
      <c r="B289" s="1" t="s">
        <v>489</v>
      </c>
      <c r="C289" s="1" t="s">
        <v>499</v>
      </c>
      <c r="D289" s="1">
        <v>3</v>
      </c>
      <c r="E289" s="1">
        <v>3</v>
      </c>
      <c r="F289" s="1">
        <v>3</v>
      </c>
      <c r="G289" s="1">
        <v>3</v>
      </c>
      <c r="H289" s="1">
        <v>4</v>
      </c>
      <c r="I289" s="1">
        <v>4</v>
      </c>
      <c r="J289" s="1">
        <v>4</v>
      </c>
      <c r="K289" s="1">
        <v>5</v>
      </c>
      <c r="L289" s="1">
        <v>4</v>
      </c>
      <c r="M289" s="1">
        <v>3</v>
      </c>
      <c r="N289" s="1">
        <v>4</v>
      </c>
      <c r="O289" s="1">
        <v>3</v>
      </c>
      <c r="P289" s="1">
        <v>3</v>
      </c>
      <c r="Q289" s="1">
        <v>3</v>
      </c>
      <c r="R289" s="1">
        <v>4</v>
      </c>
      <c r="S289" s="1">
        <v>3</v>
      </c>
      <c r="T289" s="1">
        <v>4</v>
      </c>
      <c r="U289" s="1">
        <v>3</v>
      </c>
      <c r="V289" s="1">
        <v>4</v>
      </c>
      <c r="W289" s="1">
        <v>4</v>
      </c>
      <c r="X289" s="1">
        <v>3</v>
      </c>
      <c r="Y289" s="1">
        <v>3</v>
      </c>
      <c r="Z289" s="1">
        <v>4</v>
      </c>
      <c r="AA289" s="1">
        <v>4</v>
      </c>
      <c r="AB289" s="1">
        <v>2</v>
      </c>
      <c r="AC289" s="1">
        <v>3</v>
      </c>
      <c r="AD289" s="1">
        <v>3</v>
      </c>
      <c r="AE289" s="1">
        <v>4</v>
      </c>
      <c r="AF289" s="1">
        <v>3</v>
      </c>
      <c r="AG289" s="1">
        <v>3</v>
      </c>
      <c r="AH289" s="1">
        <v>4</v>
      </c>
      <c r="AI289" s="1">
        <v>3</v>
      </c>
      <c r="AJ289" s="1">
        <v>3</v>
      </c>
      <c r="AK289" s="1">
        <v>3</v>
      </c>
      <c r="AL289" s="1">
        <v>2</v>
      </c>
      <c r="AM289" s="1">
        <v>3</v>
      </c>
      <c r="AN289" s="1">
        <v>4</v>
      </c>
      <c r="AO289" s="1">
        <v>2</v>
      </c>
      <c r="AP289" s="1">
        <v>3</v>
      </c>
      <c r="AQ289" s="1">
        <v>3</v>
      </c>
      <c r="AR289" s="1">
        <v>3</v>
      </c>
      <c r="AS289" s="1">
        <v>3</v>
      </c>
      <c r="AT289" s="1">
        <v>3</v>
      </c>
      <c r="AU289" s="1">
        <v>4</v>
      </c>
      <c r="AV289" s="1">
        <v>4</v>
      </c>
      <c r="AW289" s="1">
        <v>1</v>
      </c>
      <c r="AX289" s="1">
        <v>2</v>
      </c>
      <c r="AY289" s="1">
        <v>2</v>
      </c>
      <c r="AZ289" s="1">
        <v>4</v>
      </c>
      <c r="BA289" s="1">
        <v>3</v>
      </c>
      <c r="BB289" s="1">
        <v>3</v>
      </c>
      <c r="BC289" s="1">
        <v>2</v>
      </c>
    </row>
    <row r="290" spans="1:55">
      <c r="A290" s="1" t="s">
        <v>500</v>
      </c>
      <c r="B290" s="1" t="s">
        <v>489</v>
      </c>
      <c r="C290" s="1" t="s">
        <v>499</v>
      </c>
      <c r="D290" s="1">
        <v>3</v>
      </c>
      <c r="E290" s="1">
        <v>3</v>
      </c>
      <c r="F290" s="1">
        <v>2</v>
      </c>
      <c r="G290" s="1">
        <v>2</v>
      </c>
      <c r="H290" s="1">
        <v>3</v>
      </c>
      <c r="I290" s="1">
        <v>3</v>
      </c>
      <c r="J290" s="1">
        <v>3</v>
      </c>
      <c r="K290" s="1">
        <v>3</v>
      </c>
      <c r="L290" s="1">
        <v>3</v>
      </c>
      <c r="M290" s="1">
        <v>4</v>
      </c>
      <c r="N290" s="1">
        <v>3</v>
      </c>
      <c r="O290" s="1">
        <v>2</v>
      </c>
      <c r="P290" s="1">
        <v>2</v>
      </c>
      <c r="Q290" s="1">
        <v>2</v>
      </c>
      <c r="R290" s="1">
        <v>4</v>
      </c>
      <c r="S290" s="1">
        <v>4</v>
      </c>
      <c r="T290" s="1">
        <v>3</v>
      </c>
      <c r="U290" s="1">
        <v>2</v>
      </c>
      <c r="V290" s="1">
        <v>3</v>
      </c>
      <c r="W290" s="1">
        <v>4</v>
      </c>
      <c r="X290" s="1">
        <v>3</v>
      </c>
      <c r="Y290" s="1">
        <v>3</v>
      </c>
      <c r="Z290" s="1">
        <v>3</v>
      </c>
      <c r="AA290" s="1">
        <v>3</v>
      </c>
      <c r="AB290" s="1">
        <v>2</v>
      </c>
      <c r="AC290" s="1">
        <v>2</v>
      </c>
      <c r="AD290" s="1">
        <v>3</v>
      </c>
      <c r="AE290" s="1">
        <v>3</v>
      </c>
      <c r="AF290" s="1">
        <v>3</v>
      </c>
      <c r="AG290" s="1">
        <v>3</v>
      </c>
      <c r="AH290" s="1">
        <v>4</v>
      </c>
      <c r="AI290" s="1">
        <v>3</v>
      </c>
      <c r="AJ290" s="1">
        <v>3</v>
      </c>
      <c r="AK290" s="1">
        <v>3</v>
      </c>
      <c r="AL290" s="1">
        <v>3</v>
      </c>
      <c r="AM290" s="1">
        <v>3</v>
      </c>
      <c r="AN290" s="1">
        <v>3</v>
      </c>
      <c r="AO290" s="1">
        <v>3</v>
      </c>
      <c r="AP290" s="1">
        <v>3</v>
      </c>
      <c r="AQ290" s="1">
        <v>2</v>
      </c>
      <c r="AR290" s="1">
        <v>4</v>
      </c>
      <c r="AS290" s="1">
        <v>3</v>
      </c>
      <c r="AT290" s="1">
        <v>3</v>
      </c>
      <c r="AU290" s="1">
        <v>4</v>
      </c>
      <c r="AV290" s="1">
        <v>3</v>
      </c>
      <c r="AW290" s="1">
        <v>3</v>
      </c>
      <c r="AX290" s="1">
        <v>4</v>
      </c>
      <c r="AY290" s="1">
        <v>4</v>
      </c>
      <c r="AZ290" s="1">
        <v>3</v>
      </c>
      <c r="BA290" s="1">
        <v>3</v>
      </c>
      <c r="BB290" s="1">
        <v>3</v>
      </c>
      <c r="BC290" s="1">
        <v>3</v>
      </c>
    </row>
    <row r="291" spans="1:55">
      <c r="A291" s="1" t="s">
        <v>501</v>
      </c>
      <c r="B291" s="1" t="s">
        <v>489</v>
      </c>
      <c r="C291" s="1" t="s">
        <v>502</v>
      </c>
      <c r="D291" s="1">
        <v>3</v>
      </c>
      <c r="E291" s="1">
        <v>4</v>
      </c>
      <c r="F291" s="1">
        <v>2</v>
      </c>
      <c r="G291" s="1">
        <v>2</v>
      </c>
      <c r="H291" s="1">
        <v>3</v>
      </c>
      <c r="I291" s="1">
        <v>3</v>
      </c>
      <c r="J291" s="1">
        <v>2</v>
      </c>
      <c r="K291" s="1">
        <v>3</v>
      </c>
      <c r="L291" s="1">
        <v>2</v>
      </c>
      <c r="M291" s="1">
        <v>4</v>
      </c>
      <c r="N291" s="1">
        <v>2</v>
      </c>
      <c r="O291" s="1">
        <v>3</v>
      </c>
      <c r="P291" s="1">
        <v>3</v>
      </c>
      <c r="Q291" s="1">
        <v>3</v>
      </c>
      <c r="R291" s="1">
        <v>4</v>
      </c>
      <c r="S291" s="1">
        <v>4</v>
      </c>
      <c r="T291" s="1">
        <v>3</v>
      </c>
      <c r="U291" s="1">
        <v>4</v>
      </c>
      <c r="V291" s="1">
        <v>3</v>
      </c>
      <c r="W291" s="1">
        <v>3</v>
      </c>
      <c r="X291" s="1">
        <v>3</v>
      </c>
      <c r="Y291" s="1">
        <v>3</v>
      </c>
      <c r="Z291" s="1">
        <v>2</v>
      </c>
      <c r="AA291" s="1">
        <v>1</v>
      </c>
      <c r="AB291" s="1">
        <v>3</v>
      </c>
      <c r="AC291" s="1">
        <v>2</v>
      </c>
      <c r="AD291" s="1">
        <v>3</v>
      </c>
      <c r="AE291" s="1">
        <v>4</v>
      </c>
      <c r="AF291" s="1">
        <v>1</v>
      </c>
      <c r="AG291" s="1">
        <v>2</v>
      </c>
      <c r="AH291" s="1">
        <v>3</v>
      </c>
      <c r="AI291" s="1">
        <v>3</v>
      </c>
      <c r="AJ291" s="1">
        <v>3</v>
      </c>
      <c r="AK291" s="1">
        <v>3</v>
      </c>
      <c r="AL291" s="1">
        <v>3</v>
      </c>
      <c r="AM291" s="1">
        <v>3</v>
      </c>
      <c r="AN291" s="1">
        <v>2</v>
      </c>
      <c r="AO291" s="1">
        <v>3</v>
      </c>
      <c r="AP291" s="1">
        <v>3</v>
      </c>
      <c r="AQ291" s="1">
        <v>3</v>
      </c>
      <c r="AR291" s="1">
        <v>5</v>
      </c>
      <c r="AS291" s="1">
        <v>4</v>
      </c>
      <c r="AT291" s="1">
        <v>5</v>
      </c>
      <c r="AU291" s="1">
        <v>4</v>
      </c>
      <c r="AV291" s="1">
        <v>3</v>
      </c>
      <c r="AW291" s="1">
        <v>2</v>
      </c>
      <c r="AX291" s="1">
        <v>2</v>
      </c>
      <c r="AY291" s="1">
        <v>2</v>
      </c>
      <c r="AZ291" s="1">
        <v>3</v>
      </c>
      <c r="BA291" s="1">
        <v>2</v>
      </c>
      <c r="BB291" s="1">
        <v>3</v>
      </c>
      <c r="BC291" s="1">
        <v>2</v>
      </c>
    </row>
    <row r="292" spans="1:55">
      <c r="A292" s="1" t="s">
        <v>503</v>
      </c>
      <c r="B292" s="1" t="s">
        <v>489</v>
      </c>
      <c r="C292" s="1" t="s">
        <v>502</v>
      </c>
      <c r="D292" s="1">
        <v>3</v>
      </c>
      <c r="E292" s="1">
        <v>2</v>
      </c>
      <c r="F292" s="1">
        <v>3</v>
      </c>
      <c r="G292" s="1">
        <v>2</v>
      </c>
      <c r="H292" s="1">
        <v>3</v>
      </c>
      <c r="I292" s="1">
        <v>4</v>
      </c>
      <c r="J292" s="1">
        <v>4</v>
      </c>
      <c r="K292" s="1">
        <v>3</v>
      </c>
      <c r="L292" s="1">
        <v>3</v>
      </c>
      <c r="M292" s="1">
        <v>3</v>
      </c>
      <c r="N292" s="1">
        <v>3</v>
      </c>
      <c r="O292" s="1">
        <v>3</v>
      </c>
      <c r="P292" s="1">
        <v>4</v>
      </c>
      <c r="Q292" s="1">
        <v>4</v>
      </c>
      <c r="R292" s="1">
        <v>2</v>
      </c>
      <c r="S292" s="1">
        <v>3</v>
      </c>
      <c r="T292" s="1">
        <v>2</v>
      </c>
      <c r="U292" s="1">
        <v>4</v>
      </c>
      <c r="V292" s="1">
        <v>2</v>
      </c>
      <c r="W292" s="1">
        <v>3</v>
      </c>
      <c r="X292" s="1">
        <v>3</v>
      </c>
      <c r="Y292" s="1">
        <v>2</v>
      </c>
      <c r="Z292" s="1">
        <v>3</v>
      </c>
      <c r="AA292" s="1">
        <v>4</v>
      </c>
      <c r="AB292" s="1">
        <v>4</v>
      </c>
      <c r="AC292" s="1">
        <v>3</v>
      </c>
      <c r="AD292" s="1">
        <v>4</v>
      </c>
      <c r="AE292" s="1">
        <v>3</v>
      </c>
      <c r="AF292" s="1">
        <v>3</v>
      </c>
      <c r="AG292" s="1">
        <v>3</v>
      </c>
      <c r="AH292" s="1">
        <v>3</v>
      </c>
      <c r="AI292" s="1">
        <v>4</v>
      </c>
      <c r="AJ292" s="1">
        <v>4</v>
      </c>
      <c r="AK292" s="1">
        <v>3</v>
      </c>
      <c r="AL292" s="1">
        <v>4</v>
      </c>
      <c r="AM292" s="1">
        <v>2</v>
      </c>
      <c r="AN292" s="1">
        <v>3</v>
      </c>
      <c r="AO292" s="1">
        <v>4</v>
      </c>
      <c r="AP292" s="1">
        <v>4</v>
      </c>
      <c r="AQ292" s="1">
        <v>3</v>
      </c>
      <c r="AR292" s="1">
        <v>3</v>
      </c>
      <c r="AS292" s="1">
        <v>3</v>
      </c>
      <c r="AT292" s="1">
        <v>2</v>
      </c>
      <c r="AU292" s="1">
        <v>3</v>
      </c>
      <c r="AV292" s="1">
        <v>3</v>
      </c>
      <c r="AW292" s="1">
        <v>3</v>
      </c>
      <c r="AX292" s="1">
        <v>2</v>
      </c>
      <c r="AY292" s="1">
        <v>3</v>
      </c>
      <c r="AZ292" s="1">
        <v>5</v>
      </c>
      <c r="BA292" s="1">
        <v>3</v>
      </c>
      <c r="BB292" s="1">
        <v>3</v>
      </c>
      <c r="BC292" s="1">
        <v>2</v>
      </c>
    </row>
    <row r="293" spans="1:55">
      <c r="A293" s="1" t="s">
        <v>504</v>
      </c>
      <c r="B293" s="1" t="s">
        <v>489</v>
      </c>
      <c r="C293" s="1" t="s">
        <v>505</v>
      </c>
      <c r="D293" s="1">
        <v>3</v>
      </c>
      <c r="E293" s="1">
        <v>4</v>
      </c>
      <c r="F293" s="1">
        <v>3</v>
      </c>
      <c r="G293" s="1">
        <v>3</v>
      </c>
      <c r="H293" s="1">
        <v>3</v>
      </c>
      <c r="I293" s="1">
        <v>3</v>
      </c>
      <c r="J293" s="1">
        <v>3</v>
      </c>
      <c r="K293" s="1">
        <v>4</v>
      </c>
      <c r="L293" s="1">
        <v>4</v>
      </c>
      <c r="M293" s="1">
        <v>3</v>
      </c>
      <c r="N293" s="1">
        <v>2</v>
      </c>
      <c r="O293" s="1">
        <v>3</v>
      </c>
      <c r="P293" s="1">
        <v>4</v>
      </c>
      <c r="Q293" s="1">
        <v>4</v>
      </c>
      <c r="R293" s="1">
        <v>3</v>
      </c>
      <c r="S293" s="1">
        <v>4</v>
      </c>
      <c r="T293" s="1">
        <v>3</v>
      </c>
      <c r="U293" s="1">
        <v>3</v>
      </c>
      <c r="V293" s="1">
        <v>2</v>
      </c>
      <c r="W293" s="1">
        <v>2</v>
      </c>
      <c r="X293" s="1">
        <v>4</v>
      </c>
      <c r="Y293" s="1">
        <v>2</v>
      </c>
      <c r="Z293" s="1">
        <v>3</v>
      </c>
      <c r="AA293" s="1">
        <v>4</v>
      </c>
      <c r="AB293" s="1">
        <v>4</v>
      </c>
      <c r="AC293" s="1">
        <v>3</v>
      </c>
      <c r="AD293" s="1">
        <v>4</v>
      </c>
      <c r="AE293" s="1">
        <v>3</v>
      </c>
      <c r="AF293" s="1">
        <v>2</v>
      </c>
      <c r="AG293" s="1">
        <v>3</v>
      </c>
      <c r="AH293" s="1">
        <v>2</v>
      </c>
      <c r="AI293" s="1">
        <v>2</v>
      </c>
      <c r="AJ293" s="1">
        <v>2</v>
      </c>
      <c r="AK293" s="1">
        <v>4</v>
      </c>
      <c r="AL293" s="1">
        <v>3</v>
      </c>
      <c r="AM293" s="1">
        <v>4</v>
      </c>
      <c r="AN293" s="1">
        <v>3</v>
      </c>
      <c r="AO293" s="1">
        <v>4</v>
      </c>
      <c r="AP293" s="1">
        <v>3</v>
      </c>
      <c r="AQ293" s="1">
        <v>3</v>
      </c>
      <c r="AR293" s="1">
        <v>3</v>
      </c>
      <c r="AS293" s="1">
        <v>4</v>
      </c>
      <c r="AT293" s="1">
        <v>4</v>
      </c>
      <c r="AU293" s="1">
        <v>3</v>
      </c>
      <c r="AV293" s="1">
        <v>2</v>
      </c>
      <c r="AW293" s="1">
        <v>3</v>
      </c>
      <c r="AX293" s="1">
        <v>3</v>
      </c>
      <c r="AY293" s="1">
        <v>2</v>
      </c>
      <c r="AZ293" s="1">
        <v>4</v>
      </c>
      <c r="BA293" s="1">
        <v>4</v>
      </c>
      <c r="BB293" s="1">
        <v>4</v>
      </c>
      <c r="BC293" s="1">
        <v>4</v>
      </c>
    </row>
    <row r="294" spans="1:55">
      <c r="A294" s="1" t="s">
        <v>506</v>
      </c>
      <c r="B294" s="1" t="s">
        <v>489</v>
      </c>
      <c r="C294" s="1" t="s">
        <v>505</v>
      </c>
      <c r="D294" s="1">
        <v>3</v>
      </c>
      <c r="E294" s="1">
        <v>2</v>
      </c>
      <c r="F294" s="1">
        <v>2</v>
      </c>
      <c r="G294" s="1">
        <v>2</v>
      </c>
      <c r="H294" s="1">
        <v>3</v>
      </c>
      <c r="I294" s="1">
        <v>4</v>
      </c>
      <c r="J294" s="1">
        <v>3</v>
      </c>
      <c r="K294" s="1">
        <v>2</v>
      </c>
      <c r="L294" s="1">
        <v>3</v>
      </c>
      <c r="M294" s="1">
        <v>4</v>
      </c>
      <c r="N294" s="1">
        <v>2</v>
      </c>
      <c r="O294" s="1">
        <v>4</v>
      </c>
      <c r="P294" s="1">
        <v>4</v>
      </c>
      <c r="Q294" s="1">
        <v>3</v>
      </c>
      <c r="R294" s="1">
        <v>3</v>
      </c>
      <c r="S294" s="1">
        <v>4</v>
      </c>
      <c r="T294" s="1">
        <v>3</v>
      </c>
      <c r="U294" s="1">
        <v>3</v>
      </c>
      <c r="V294" s="1">
        <v>2</v>
      </c>
      <c r="W294" s="1">
        <v>2</v>
      </c>
      <c r="X294" s="1">
        <v>2</v>
      </c>
      <c r="Y294" s="1">
        <v>2</v>
      </c>
      <c r="Z294" s="1">
        <v>2</v>
      </c>
      <c r="AA294" s="1">
        <v>2</v>
      </c>
      <c r="AB294" s="1">
        <v>3</v>
      </c>
      <c r="AC294" s="1">
        <v>3</v>
      </c>
      <c r="AD294" s="1">
        <v>3</v>
      </c>
      <c r="AE294" s="1">
        <v>4</v>
      </c>
      <c r="AF294" s="1">
        <v>3</v>
      </c>
      <c r="AG294" s="1">
        <v>2</v>
      </c>
      <c r="AH294" s="1">
        <v>2</v>
      </c>
      <c r="AI294" s="1">
        <v>3</v>
      </c>
      <c r="AJ294" s="1">
        <v>2</v>
      </c>
      <c r="AK294" s="1">
        <v>2</v>
      </c>
      <c r="AL294" s="1">
        <v>2</v>
      </c>
      <c r="AM294" s="1">
        <v>4</v>
      </c>
      <c r="AN294" s="1">
        <v>3</v>
      </c>
      <c r="AO294" s="1">
        <v>2</v>
      </c>
      <c r="AP294" s="1">
        <v>3</v>
      </c>
      <c r="AQ294" s="1">
        <v>4</v>
      </c>
      <c r="AR294" s="1">
        <v>4</v>
      </c>
      <c r="AS294" s="1">
        <v>3</v>
      </c>
      <c r="AT294" s="1">
        <v>4</v>
      </c>
      <c r="AU294" s="1">
        <v>4</v>
      </c>
      <c r="AV294" s="1">
        <v>2</v>
      </c>
      <c r="AW294" s="1">
        <v>2</v>
      </c>
      <c r="AX294" s="1">
        <v>2</v>
      </c>
      <c r="AY294" s="1">
        <v>2</v>
      </c>
      <c r="AZ294" s="1">
        <v>3</v>
      </c>
      <c r="BA294" s="1">
        <v>3</v>
      </c>
      <c r="BB294" s="1">
        <v>3</v>
      </c>
      <c r="BC294" s="1">
        <v>3</v>
      </c>
    </row>
    <row r="295" spans="1:55">
      <c r="A295" s="1" t="s">
        <v>507</v>
      </c>
      <c r="B295" s="1" t="s">
        <v>489</v>
      </c>
      <c r="C295" s="1" t="s">
        <v>508</v>
      </c>
      <c r="D295" s="1">
        <v>2</v>
      </c>
      <c r="E295" s="1">
        <v>4</v>
      </c>
      <c r="F295" s="1">
        <v>1</v>
      </c>
      <c r="G295" s="1">
        <v>2</v>
      </c>
      <c r="H295" s="1">
        <v>3</v>
      </c>
      <c r="I295" s="1">
        <v>2</v>
      </c>
      <c r="J295" s="1">
        <v>3</v>
      </c>
      <c r="K295" s="1">
        <v>2</v>
      </c>
      <c r="L295" s="1">
        <v>3</v>
      </c>
      <c r="M295" s="1">
        <v>3</v>
      </c>
      <c r="N295" s="1">
        <v>3</v>
      </c>
      <c r="O295" s="1">
        <v>3</v>
      </c>
      <c r="P295" s="1">
        <v>2</v>
      </c>
      <c r="Q295" s="1">
        <v>2</v>
      </c>
      <c r="R295" s="1">
        <v>3</v>
      </c>
      <c r="S295" s="1">
        <v>5</v>
      </c>
      <c r="T295" s="1">
        <v>3</v>
      </c>
      <c r="U295" s="1">
        <v>4</v>
      </c>
      <c r="V295" s="1">
        <v>3</v>
      </c>
      <c r="W295" s="1">
        <v>3</v>
      </c>
      <c r="X295" s="1">
        <v>2</v>
      </c>
      <c r="Y295" s="1">
        <v>3</v>
      </c>
      <c r="Z295" s="1">
        <v>2</v>
      </c>
      <c r="AA295" s="1">
        <v>2</v>
      </c>
      <c r="AB295" s="1">
        <v>2</v>
      </c>
      <c r="AC295" s="1">
        <v>2</v>
      </c>
      <c r="AD295" s="1">
        <v>3</v>
      </c>
      <c r="AE295" s="1">
        <v>4</v>
      </c>
      <c r="AF295" s="1">
        <v>2</v>
      </c>
      <c r="AG295" s="1">
        <v>2</v>
      </c>
      <c r="AH295" s="1">
        <v>3</v>
      </c>
      <c r="AI295" s="1">
        <v>3</v>
      </c>
      <c r="AJ295" s="1">
        <v>3</v>
      </c>
      <c r="AK295" s="1">
        <v>2</v>
      </c>
      <c r="AL295" s="1">
        <v>2</v>
      </c>
      <c r="AM295" s="1">
        <v>4</v>
      </c>
      <c r="AN295" s="1">
        <v>3</v>
      </c>
      <c r="AO295" s="1">
        <v>2</v>
      </c>
      <c r="AP295" s="1">
        <v>2</v>
      </c>
      <c r="AQ295" s="1">
        <v>2</v>
      </c>
      <c r="AR295" s="1">
        <v>4</v>
      </c>
      <c r="AS295" s="1">
        <v>4</v>
      </c>
      <c r="AT295" s="1">
        <v>5</v>
      </c>
      <c r="AU295" s="1">
        <v>4</v>
      </c>
      <c r="AV295" s="1">
        <v>1</v>
      </c>
      <c r="AW295" s="1">
        <v>2</v>
      </c>
      <c r="AX295" s="1">
        <v>3</v>
      </c>
      <c r="AY295" s="1">
        <v>2</v>
      </c>
      <c r="AZ295" s="1">
        <v>1</v>
      </c>
      <c r="BA295" s="1">
        <v>3</v>
      </c>
      <c r="BB295" s="1">
        <v>4</v>
      </c>
      <c r="BC295" s="1">
        <v>4</v>
      </c>
    </row>
    <row r="296" spans="1:55">
      <c r="A296" s="1" t="s">
        <v>509</v>
      </c>
      <c r="B296" s="1" t="s">
        <v>489</v>
      </c>
      <c r="C296" s="1" t="s">
        <v>508</v>
      </c>
      <c r="D296" s="1">
        <v>4</v>
      </c>
      <c r="E296" s="1">
        <v>3</v>
      </c>
      <c r="F296" s="1">
        <v>4</v>
      </c>
      <c r="G296" s="1">
        <v>4</v>
      </c>
      <c r="H296" s="1">
        <v>2</v>
      </c>
      <c r="I296" s="1">
        <v>2</v>
      </c>
      <c r="J296" s="1">
        <v>3</v>
      </c>
      <c r="K296" s="1">
        <v>3</v>
      </c>
      <c r="L296" s="1">
        <v>4</v>
      </c>
      <c r="M296" s="1">
        <v>2</v>
      </c>
      <c r="N296" s="1">
        <v>3</v>
      </c>
      <c r="O296" s="1">
        <v>3</v>
      </c>
      <c r="P296" s="1">
        <v>4</v>
      </c>
      <c r="Q296" s="1">
        <v>4</v>
      </c>
      <c r="R296" s="1">
        <v>3</v>
      </c>
      <c r="S296" s="1">
        <v>3</v>
      </c>
      <c r="T296" s="1">
        <v>4</v>
      </c>
      <c r="U296" s="1">
        <v>3</v>
      </c>
      <c r="V296" s="1">
        <v>2</v>
      </c>
      <c r="W296" s="1">
        <v>3</v>
      </c>
      <c r="X296" s="1">
        <v>3</v>
      </c>
      <c r="Y296" s="1">
        <v>4</v>
      </c>
      <c r="Z296" s="1">
        <v>4</v>
      </c>
      <c r="AA296" s="1">
        <v>4</v>
      </c>
      <c r="AB296" s="1">
        <v>3</v>
      </c>
      <c r="AC296" s="1">
        <v>4</v>
      </c>
      <c r="AD296" s="1">
        <v>4</v>
      </c>
      <c r="AE296" s="1">
        <v>3</v>
      </c>
      <c r="AF296" s="1">
        <v>3</v>
      </c>
      <c r="AG296" s="1">
        <v>3</v>
      </c>
      <c r="AH296" s="1">
        <v>3</v>
      </c>
      <c r="AI296" s="1">
        <v>3</v>
      </c>
      <c r="AJ296" s="1">
        <v>3</v>
      </c>
      <c r="AK296" s="1">
        <v>3</v>
      </c>
      <c r="AL296" s="1">
        <v>3</v>
      </c>
      <c r="AM296" s="1">
        <v>3</v>
      </c>
      <c r="AN296" s="1">
        <v>3</v>
      </c>
      <c r="AO296" s="1">
        <v>3</v>
      </c>
      <c r="AP296" s="1">
        <v>3</v>
      </c>
      <c r="AQ296" s="1">
        <v>4</v>
      </c>
      <c r="AR296" s="1">
        <v>3</v>
      </c>
      <c r="AS296" s="1">
        <v>4</v>
      </c>
      <c r="AT296" s="1">
        <v>3</v>
      </c>
      <c r="AU296" s="1">
        <v>2</v>
      </c>
      <c r="AV296" s="1">
        <v>1</v>
      </c>
      <c r="AW296" s="1">
        <v>3</v>
      </c>
      <c r="AX296" s="1">
        <v>3</v>
      </c>
      <c r="AY296" s="1">
        <v>4</v>
      </c>
      <c r="AZ296" s="1">
        <v>3</v>
      </c>
      <c r="BA296" s="1">
        <v>4</v>
      </c>
      <c r="BB296" s="1">
        <v>4</v>
      </c>
      <c r="BC296" s="1">
        <v>4</v>
      </c>
    </row>
    <row r="297" spans="1:55">
      <c r="A297" s="1" t="s">
        <v>510</v>
      </c>
      <c r="B297" s="1" t="s">
        <v>489</v>
      </c>
      <c r="C297" s="1" t="s">
        <v>511</v>
      </c>
      <c r="D297" s="1">
        <v>3</v>
      </c>
      <c r="E297" s="1">
        <v>2</v>
      </c>
      <c r="F297" s="1">
        <v>3</v>
      </c>
      <c r="G297" s="1">
        <v>3</v>
      </c>
      <c r="H297" s="1">
        <v>3</v>
      </c>
      <c r="I297" s="1">
        <v>2</v>
      </c>
      <c r="J297" s="1">
        <v>2</v>
      </c>
      <c r="K297" s="1">
        <v>2</v>
      </c>
      <c r="L297" s="1">
        <v>3</v>
      </c>
      <c r="M297" s="1">
        <v>2</v>
      </c>
      <c r="N297" s="1">
        <v>2</v>
      </c>
      <c r="O297" s="1">
        <v>3</v>
      </c>
      <c r="P297" s="1">
        <v>3</v>
      </c>
      <c r="Q297" s="1">
        <v>2</v>
      </c>
      <c r="R297" s="1">
        <v>3</v>
      </c>
      <c r="S297" s="1">
        <v>2</v>
      </c>
      <c r="T297" s="1">
        <v>3</v>
      </c>
      <c r="U297" s="1">
        <v>3</v>
      </c>
      <c r="V297" s="1">
        <v>4</v>
      </c>
      <c r="W297" s="1">
        <v>1</v>
      </c>
      <c r="X297" s="1">
        <v>1</v>
      </c>
      <c r="Y297" s="1">
        <v>2</v>
      </c>
      <c r="Z297" s="1">
        <v>2</v>
      </c>
      <c r="AA297" s="1">
        <v>2</v>
      </c>
      <c r="AB297" s="1">
        <v>3</v>
      </c>
      <c r="AC297" s="1">
        <v>3</v>
      </c>
      <c r="AD297" s="1">
        <v>2</v>
      </c>
      <c r="AE297" s="1">
        <v>3</v>
      </c>
      <c r="AF297" s="1">
        <v>4</v>
      </c>
      <c r="AG297" s="1">
        <v>3</v>
      </c>
      <c r="AH297" s="1">
        <v>2</v>
      </c>
      <c r="AI297" s="1">
        <v>4</v>
      </c>
      <c r="AJ297" s="1">
        <v>4</v>
      </c>
      <c r="AK297" s="1">
        <v>3</v>
      </c>
      <c r="AL297" s="1">
        <v>3</v>
      </c>
      <c r="AM297" s="1">
        <v>2</v>
      </c>
      <c r="AN297" s="1">
        <v>2</v>
      </c>
      <c r="AO297" s="1">
        <v>3</v>
      </c>
      <c r="AP297" s="1">
        <v>3</v>
      </c>
      <c r="AQ297" s="1">
        <v>2</v>
      </c>
      <c r="AR297" s="1">
        <v>2</v>
      </c>
      <c r="AS297" s="1">
        <v>3</v>
      </c>
      <c r="AT297" s="1">
        <v>2</v>
      </c>
      <c r="AU297" s="1">
        <v>2</v>
      </c>
      <c r="AV297" s="1">
        <v>3</v>
      </c>
      <c r="AW297" s="1">
        <v>2</v>
      </c>
      <c r="AX297" s="1">
        <v>3</v>
      </c>
      <c r="AY297" s="1">
        <v>2</v>
      </c>
      <c r="AZ297" s="1">
        <v>3</v>
      </c>
      <c r="BA297" s="1">
        <v>2</v>
      </c>
      <c r="BB297" s="1">
        <v>2</v>
      </c>
      <c r="BC297" s="1">
        <v>3</v>
      </c>
    </row>
    <row r="298" spans="1:55">
      <c r="A298" s="1" t="s">
        <v>512</v>
      </c>
      <c r="B298" s="1" t="s">
        <v>489</v>
      </c>
      <c r="C298" s="1" t="s">
        <v>511</v>
      </c>
      <c r="D298" s="1">
        <v>3</v>
      </c>
      <c r="E298" s="1">
        <v>4</v>
      </c>
      <c r="F298" s="1">
        <v>3</v>
      </c>
      <c r="G298" s="1">
        <v>2</v>
      </c>
      <c r="H298" s="1">
        <v>3</v>
      </c>
      <c r="I298" s="1">
        <v>4</v>
      </c>
      <c r="J298" s="1">
        <v>3</v>
      </c>
      <c r="K298" s="1">
        <v>2</v>
      </c>
      <c r="L298" s="1">
        <v>3</v>
      </c>
      <c r="M298" s="1">
        <v>3</v>
      </c>
      <c r="N298" s="1">
        <v>2</v>
      </c>
      <c r="O298" s="1">
        <v>2</v>
      </c>
      <c r="P298" s="1">
        <v>3</v>
      </c>
      <c r="Q298" s="1">
        <v>3</v>
      </c>
      <c r="R298" s="1">
        <v>3</v>
      </c>
      <c r="S298" s="1">
        <v>3</v>
      </c>
      <c r="T298" s="1">
        <v>4</v>
      </c>
      <c r="U298" s="1">
        <v>4</v>
      </c>
      <c r="V298" s="1">
        <v>4</v>
      </c>
      <c r="W298" s="1">
        <v>3</v>
      </c>
      <c r="X298" s="1">
        <v>4</v>
      </c>
      <c r="Y298" s="1">
        <v>4</v>
      </c>
      <c r="Z298" s="1">
        <v>3</v>
      </c>
      <c r="AA298" s="1">
        <v>3</v>
      </c>
      <c r="AB298" s="1">
        <v>2</v>
      </c>
      <c r="AC298" s="1">
        <v>3</v>
      </c>
      <c r="AD298" s="1">
        <v>3</v>
      </c>
      <c r="AE298" s="1">
        <v>5</v>
      </c>
      <c r="AF298" s="1">
        <v>2</v>
      </c>
      <c r="AG298" s="1">
        <v>2</v>
      </c>
      <c r="AH298" s="1">
        <v>3</v>
      </c>
      <c r="AI298" s="1">
        <v>4</v>
      </c>
      <c r="AJ298" s="1">
        <v>3</v>
      </c>
      <c r="AK298" s="1">
        <v>2</v>
      </c>
      <c r="AL298" s="1">
        <v>3</v>
      </c>
      <c r="AM298" s="1">
        <v>4</v>
      </c>
      <c r="AN298" s="1">
        <v>3</v>
      </c>
      <c r="AO298" s="1">
        <v>3</v>
      </c>
      <c r="AP298" s="1">
        <v>3</v>
      </c>
      <c r="AQ298" s="1">
        <v>3</v>
      </c>
      <c r="AR298" s="1">
        <v>3</v>
      </c>
      <c r="AS298" s="1">
        <v>5</v>
      </c>
      <c r="AT298" s="1">
        <v>3</v>
      </c>
      <c r="AU298" s="1">
        <v>4</v>
      </c>
      <c r="AV298" s="1">
        <v>4</v>
      </c>
      <c r="AW298" s="1">
        <v>3</v>
      </c>
      <c r="AX298" s="1">
        <v>3</v>
      </c>
      <c r="AY298" s="1">
        <v>3</v>
      </c>
      <c r="AZ298" s="1">
        <v>3</v>
      </c>
      <c r="BA298" s="1">
        <v>2</v>
      </c>
      <c r="BB298" s="1">
        <v>2</v>
      </c>
      <c r="BC298" s="1">
        <v>2</v>
      </c>
    </row>
    <row r="299" spans="1:55">
      <c r="A299" s="1" t="s">
        <v>513</v>
      </c>
      <c r="B299" s="1" t="s">
        <v>489</v>
      </c>
      <c r="C299" s="1" t="s">
        <v>514</v>
      </c>
      <c r="D299" s="1">
        <v>3</v>
      </c>
      <c r="E299" s="1">
        <v>4</v>
      </c>
      <c r="F299" s="1">
        <v>2</v>
      </c>
      <c r="G299" s="1">
        <v>4</v>
      </c>
      <c r="H299" s="1">
        <v>3</v>
      </c>
      <c r="I299" s="1">
        <v>4</v>
      </c>
      <c r="J299" s="1">
        <v>4</v>
      </c>
      <c r="K299" s="1">
        <v>4</v>
      </c>
      <c r="L299" s="1">
        <v>2</v>
      </c>
      <c r="M299" s="1">
        <v>3</v>
      </c>
      <c r="N299" s="1">
        <v>3</v>
      </c>
      <c r="O299" s="1">
        <v>3</v>
      </c>
      <c r="P299" s="1">
        <v>2</v>
      </c>
      <c r="Q299" s="1">
        <v>3</v>
      </c>
      <c r="R299" s="1">
        <v>4</v>
      </c>
      <c r="S299" s="1">
        <v>4</v>
      </c>
      <c r="T299" s="1">
        <v>4</v>
      </c>
      <c r="U299" s="1">
        <v>3</v>
      </c>
      <c r="V299" s="1">
        <v>3</v>
      </c>
      <c r="W299" s="1">
        <v>3</v>
      </c>
      <c r="X299" s="1">
        <v>3</v>
      </c>
      <c r="Y299" s="1">
        <v>3</v>
      </c>
      <c r="Z299" s="1">
        <v>3</v>
      </c>
      <c r="AA299" s="1">
        <v>2</v>
      </c>
      <c r="AB299" s="1">
        <v>3</v>
      </c>
      <c r="AC299" s="1">
        <v>2</v>
      </c>
      <c r="AD299" s="1">
        <v>3</v>
      </c>
      <c r="AE299" s="1">
        <v>3</v>
      </c>
      <c r="AF299" s="1">
        <v>3</v>
      </c>
      <c r="AG299" s="1">
        <v>3</v>
      </c>
      <c r="AH299" s="1">
        <v>3</v>
      </c>
      <c r="AI299" s="1">
        <v>3</v>
      </c>
      <c r="AJ299" s="1">
        <v>3</v>
      </c>
      <c r="AK299" s="1">
        <v>3</v>
      </c>
      <c r="AL299" s="1">
        <v>3</v>
      </c>
      <c r="AM299" s="1">
        <v>4</v>
      </c>
      <c r="AN299" s="1">
        <v>3</v>
      </c>
      <c r="AO299" s="1">
        <v>3</v>
      </c>
      <c r="AP299" s="1">
        <v>3</v>
      </c>
      <c r="AQ299" s="1">
        <v>3</v>
      </c>
      <c r="AR299" s="1">
        <v>3</v>
      </c>
      <c r="AS299" s="1">
        <v>4</v>
      </c>
      <c r="AT299" s="1">
        <v>3</v>
      </c>
      <c r="AU299" s="1">
        <v>3</v>
      </c>
      <c r="AV299" s="1">
        <v>4</v>
      </c>
      <c r="AW299" s="1">
        <v>3</v>
      </c>
      <c r="AX299" s="1">
        <v>3</v>
      </c>
      <c r="AY299" s="1">
        <v>3</v>
      </c>
      <c r="AZ299" s="1">
        <v>2</v>
      </c>
      <c r="BA299" s="1">
        <v>2</v>
      </c>
      <c r="BB299" s="1">
        <v>3</v>
      </c>
      <c r="BC299" s="1">
        <v>2</v>
      </c>
    </row>
    <row r="300" spans="1:55">
      <c r="A300" s="1" t="s">
        <v>515</v>
      </c>
      <c r="B300" s="1" t="s">
        <v>489</v>
      </c>
      <c r="C300" s="1" t="s">
        <v>514</v>
      </c>
      <c r="D300" s="1">
        <v>3</v>
      </c>
      <c r="E300" s="1">
        <v>4</v>
      </c>
      <c r="F300" s="1">
        <v>2</v>
      </c>
      <c r="G300" s="1">
        <v>2</v>
      </c>
      <c r="H300" s="1">
        <v>4</v>
      </c>
      <c r="I300" s="1">
        <v>4</v>
      </c>
      <c r="J300" s="1">
        <v>4</v>
      </c>
      <c r="K300" s="1">
        <v>3</v>
      </c>
      <c r="L300" s="1">
        <v>4</v>
      </c>
      <c r="M300" s="1">
        <v>4</v>
      </c>
      <c r="N300" s="1">
        <v>4</v>
      </c>
      <c r="O300" s="1">
        <v>3</v>
      </c>
      <c r="P300" s="1">
        <v>4</v>
      </c>
      <c r="Q300" s="1">
        <v>4</v>
      </c>
      <c r="R300" s="1">
        <v>4</v>
      </c>
      <c r="S300" s="1">
        <v>5</v>
      </c>
      <c r="T300" s="1">
        <v>4</v>
      </c>
      <c r="U300" s="1">
        <v>4</v>
      </c>
      <c r="V300" s="1">
        <v>4</v>
      </c>
      <c r="W300" s="1">
        <v>2</v>
      </c>
      <c r="X300" s="1">
        <v>3</v>
      </c>
      <c r="Y300" s="1">
        <v>4</v>
      </c>
      <c r="Z300" s="1">
        <v>3</v>
      </c>
      <c r="AA300" s="1">
        <v>4</v>
      </c>
      <c r="AB300" s="1">
        <v>3</v>
      </c>
      <c r="AC300" s="1">
        <v>1</v>
      </c>
      <c r="AD300" s="1">
        <v>4</v>
      </c>
      <c r="AE300" s="1">
        <v>4</v>
      </c>
      <c r="AF300" s="1">
        <v>1</v>
      </c>
      <c r="AG300" s="1">
        <v>2</v>
      </c>
      <c r="AH300" s="1">
        <v>4</v>
      </c>
      <c r="AI300" s="1">
        <v>4</v>
      </c>
      <c r="AJ300" s="1">
        <v>5</v>
      </c>
      <c r="AK300" s="1">
        <v>3</v>
      </c>
      <c r="AL300" s="1">
        <v>4</v>
      </c>
      <c r="AM300" s="1">
        <v>5</v>
      </c>
      <c r="AN300" s="1">
        <v>4</v>
      </c>
      <c r="AO300" s="1">
        <v>3</v>
      </c>
      <c r="AP300" s="1">
        <v>2</v>
      </c>
      <c r="AQ300" s="1">
        <v>3</v>
      </c>
      <c r="AR300" s="1">
        <v>5</v>
      </c>
      <c r="AS300" s="1">
        <v>4</v>
      </c>
      <c r="AT300" s="1">
        <v>4</v>
      </c>
      <c r="AU300" s="1">
        <v>5</v>
      </c>
      <c r="AV300" s="1">
        <v>4</v>
      </c>
      <c r="AW300" s="1">
        <v>3</v>
      </c>
      <c r="AX300" s="1">
        <v>3</v>
      </c>
      <c r="AY300" s="1">
        <v>4</v>
      </c>
      <c r="AZ300" s="1">
        <v>3</v>
      </c>
      <c r="BA300" s="1">
        <v>2</v>
      </c>
      <c r="BB300" s="1">
        <v>3</v>
      </c>
      <c r="BC300" s="1">
        <v>2</v>
      </c>
    </row>
    <row r="301" spans="1:55">
      <c r="A301" s="1" t="s">
        <v>516</v>
      </c>
      <c r="B301" s="1" t="s">
        <v>489</v>
      </c>
      <c r="C301" s="1" t="s">
        <v>517</v>
      </c>
      <c r="D301" s="1">
        <v>2</v>
      </c>
      <c r="E301" s="1">
        <v>3</v>
      </c>
      <c r="F301" s="1">
        <v>3</v>
      </c>
      <c r="G301" s="1">
        <v>3</v>
      </c>
      <c r="H301" s="1">
        <v>3</v>
      </c>
      <c r="I301" s="1">
        <v>4</v>
      </c>
      <c r="J301" s="1">
        <v>4</v>
      </c>
      <c r="K301" s="1">
        <v>3</v>
      </c>
      <c r="L301" s="1">
        <v>3</v>
      </c>
      <c r="M301" s="1">
        <v>2</v>
      </c>
      <c r="N301" s="1">
        <v>3</v>
      </c>
      <c r="O301" s="1">
        <v>3</v>
      </c>
      <c r="P301" s="1">
        <v>3</v>
      </c>
      <c r="Q301" s="1">
        <v>2</v>
      </c>
      <c r="R301" s="1">
        <v>3</v>
      </c>
      <c r="S301" s="1">
        <v>2</v>
      </c>
      <c r="T301" s="1">
        <v>2</v>
      </c>
      <c r="U301" s="1">
        <v>4</v>
      </c>
      <c r="V301" s="1">
        <v>3</v>
      </c>
      <c r="W301" s="1">
        <v>2</v>
      </c>
      <c r="X301" s="1">
        <v>2</v>
      </c>
      <c r="Y301" s="1">
        <v>2</v>
      </c>
      <c r="Z301" s="1">
        <v>3</v>
      </c>
      <c r="AA301" s="1">
        <v>3</v>
      </c>
      <c r="AB301" s="1">
        <v>3</v>
      </c>
      <c r="AC301" s="1">
        <v>2</v>
      </c>
      <c r="AD301" s="1">
        <v>3</v>
      </c>
      <c r="AE301" s="1">
        <v>4</v>
      </c>
      <c r="AF301" s="1">
        <v>3</v>
      </c>
      <c r="AG301" s="1">
        <v>2</v>
      </c>
      <c r="AH301" s="1">
        <v>3</v>
      </c>
      <c r="AI301" s="1">
        <v>4</v>
      </c>
      <c r="AJ301" s="1">
        <v>3</v>
      </c>
      <c r="AK301" s="1">
        <v>3</v>
      </c>
      <c r="AL301" s="1">
        <v>3</v>
      </c>
      <c r="AM301" s="1">
        <v>4</v>
      </c>
      <c r="AN301" s="1">
        <v>3</v>
      </c>
      <c r="AO301" s="1">
        <v>3</v>
      </c>
      <c r="AP301" s="1">
        <v>3</v>
      </c>
      <c r="AQ301" s="1">
        <v>3</v>
      </c>
      <c r="AR301" s="1">
        <v>4</v>
      </c>
      <c r="AS301" s="1">
        <v>4</v>
      </c>
      <c r="AT301" s="1">
        <v>4</v>
      </c>
      <c r="AU301" s="1">
        <v>4</v>
      </c>
      <c r="AV301" s="1">
        <v>3</v>
      </c>
      <c r="AW301" s="1">
        <v>2</v>
      </c>
      <c r="AX301" s="1">
        <v>2</v>
      </c>
      <c r="AY301" s="1">
        <v>2</v>
      </c>
      <c r="AZ301" s="1">
        <v>4</v>
      </c>
      <c r="BA301" s="1">
        <v>3</v>
      </c>
      <c r="BB301" s="1">
        <v>3</v>
      </c>
      <c r="BC301" s="1">
        <v>3</v>
      </c>
    </row>
    <row r="302" spans="1:55">
      <c r="A302" s="1" t="s">
        <v>518</v>
      </c>
      <c r="B302" s="1" t="s">
        <v>489</v>
      </c>
      <c r="C302" s="1" t="s">
        <v>517</v>
      </c>
      <c r="D302" s="1">
        <v>3</v>
      </c>
      <c r="E302" s="1">
        <v>3</v>
      </c>
      <c r="F302" s="1">
        <v>4</v>
      </c>
      <c r="G302" s="1">
        <v>3</v>
      </c>
      <c r="H302" s="1">
        <v>4</v>
      </c>
      <c r="I302" s="1">
        <v>5</v>
      </c>
      <c r="J302" s="1">
        <v>4</v>
      </c>
      <c r="K302" s="1">
        <v>3</v>
      </c>
      <c r="L302" s="1">
        <v>3</v>
      </c>
      <c r="M302" s="1">
        <v>4</v>
      </c>
      <c r="N302" s="1">
        <v>3</v>
      </c>
      <c r="O302" s="1">
        <v>4</v>
      </c>
      <c r="P302" s="1">
        <v>3</v>
      </c>
      <c r="Q302" s="1">
        <v>3</v>
      </c>
      <c r="R302" s="1">
        <v>2</v>
      </c>
      <c r="S302" s="1">
        <v>4</v>
      </c>
      <c r="T302" s="1">
        <v>2</v>
      </c>
      <c r="U302" s="1">
        <v>2</v>
      </c>
      <c r="V302" s="1">
        <v>4</v>
      </c>
      <c r="W302" s="1">
        <v>3</v>
      </c>
      <c r="X302" s="1">
        <v>3</v>
      </c>
      <c r="Y302" s="1">
        <v>4</v>
      </c>
      <c r="Z302" s="1">
        <v>3</v>
      </c>
      <c r="AA302" s="1">
        <v>3</v>
      </c>
      <c r="AB302" s="1">
        <v>3</v>
      </c>
      <c r="AC302" s="1">
        <v>4</v>
      </c>
      <c r="AD302" s="1">
        <v>3</v>
      </c>
      <c r="AE302" s="1">
        <v>3</v>
      </c>
      <c r="AF302" s="1">
        <v>4</v>
      </c>
      <c r="AG302" s="1">
        <v>3</v>
      </c>
      <c r="AH302" s="1">
        <v>3</v>
      </c>
      <c r="AI302" s="1">
        <v>3</v>
      </c>
      <c r="AJ302" s="1">
        <v>4</v>
      </c>
      <c r="AK302" s="1">
        <v>4</v>
      </c>
      <c r="AL302" s="1">
        <v>2</v>
      </c>
      <c r="AM302" s="1">
        <v>4</v>
      </c>
      <c r="AN302" s="1">
        <v>2</v>
      </c>
      <c r="AO302" s="1">
        <v>3</v>
      </c>
      <c r="AP302" s="1">
        <v>3</v>
      </c>
      <c r="AQ302" s="1">
        <v>3</v>
      </c>
      <c r="AR302" s="1">
        <v>3</v>
      </c>
      <c r="AS302" s="1">
        <v>4</v>
      </c>
      <c r="AT302" s="1">
        <v>3</v>
      </c>
      <c r="AU302" s="1">
        <v>3</v>
      </c>
      <c r="AV302" s="1">
        <v>4</v>
      </c>
      <c r="AW302" s="1">
        <v>4</v>
      </c>
      <c r="AX302" s="1">
        <v>3</v>
      </c>
      <c r="AY302" s="1">
        <v>4</v>
      </c>
      <c r="AZ302" s="1">
        <v>3</v>
      </c>
      <c r="BA302" s="1">
        <v>3</v>
      </c>
      <c r="BB302" s="1">
        <v>3</v>
      </c>
      <c r="BC302" s="1">
        <v>3</v>
      </c>
    </row>
    <row r="303" spans="1:55">
      <c r="A303" s="1" t="s">
        <v>519</v>
      </c>
      <c r="B303" s="1" t="s">
        <v>489</v>
      </c>
      <c r="C303" s="1" t="s">
        <v>520</v>
      </c>
      <c r="D303" s="1">
        <v>3</v>
      </c>
      <c r="E303" s="1">
        <v>4</v>
      </c>
      <c r="F303" s="1">
        <v>2</v>
      </c>
      <c r="G303" s="1">
        <v>2</v>
      </c>
      <c r="H303" s="1">
        <v>2</v>
      </c>
      <c r="I303" s="1">
        <v>2</v>
      </c>
      <c r="J303" s="1">
        <v>3</v>
      </c>
      <c r="K303" s="1">
        <v>2</v>
      </c>
      <c r="L303" s="1">
        <v>2</v>
      </c>
      <c r="M303" s="1">
        <v>4</v>
      </c>
      <c r="N303" s="1">
        <v>2</v>
      </c>
      <c r="O303" s="1">
        <v>3</v>
      </c>
      <c r="P303" s="1">
        <v>2</v>
      </c>
      <c r="Q303" s="1">
        <v>3</v>
      </c>
      <c r="R303" s="1">
        <v>4</v>
      </c>
      <c r="S303" s="1">
        <v>5</v>
      </c>
      <c r="T303" s="1">
        <v>3</v>
      </c>
      <c r="U303" s="1">
        <v>4</v>
      </c>
      <c r="V303" s="1">
        <v>3</v>
      </c>
      <c r="W303" s="1">
        <v>2</v>
      </c>
      <c r="X303" s="1">
        <v>4</v>
      </c>
      <c r="Y303" s="1">
        <v>3</v>
      </c>
      <c r="Z303" s="1">
        <v>2</v>
      </c>
      <c r="AA303" s="1">
        <v>3</v>
      </c>
      <c r="AB303" s="1">
        <v>3</v>
      </c>
      <c r="AC303" s="1">
        <v>3</v>
      </c>
      <c r="AD303" s="1">
        <v>3</v>
      </c>
      <c r="AE303" s="1">
        <v>5</v>
      </c>
      <c r="AF303" s="1">
        <v>2</v>
      </c>
      <c r="AG303" s="1">
        <v>1</v>
      </c>
      <c r="AH303" s="1">
        <v>4</v>
      </c>
      <c r="AI303" s="1">
        <v>3</v>
      </c>
      <c r="AJ303" s="1">
        <v>3</v>
      </c>
      <c r="AK303" s="1">
        <v>2</v>
      </c>
      <c r="AL303" s="1">
        <v>3</v>
      </c>
      <c r="AM303" s="1">
        <v>3</v>
      </c>
      <c r="AN303" s="1">
        <v>3</v>
      </c>
      <c r="AO303" s="1">
        <v>2</v>
      </c>
      <c r="AP303" s="1">
        <v>2</v>
      </c>
      <c r="AQ303" s="1">
        <v>1</v>
      </c>
      <c r="AR303" s="1">
        <v>5</v>
      </c>
      <c r="AS303" s="1">
        <v>4</v>
      </c>
      <c r="AT303" s="1">
        <v>5</v>
      </c>
      <c r="AU303" s="1">
        <v>5</v>
      </c>
      <c r="AV303" s="1">
        <v>3</v>
      </c>
      <c r="AW303" s="1">
        <v>3</v>
      </c>
      <c r="AX303" s="1">
        <v>3</v>
      </c>
      <c r="AY303" s="1">
        <v>3</v>
      </c>
      <c r="AZ303" s="1">
        <v>3</v>
      </c>
      <c r="BA303" s="1">
        <v>3</v>
      </c>
      <c r="BB303" s="1">
        <v>1</v>
      </c>
      <c r="BC303" s="1">
        <v>4</v>
      </c>
    </row>
    <row r="304" spans="1:55">
      <c r="A304" s="1" t="s">
        <v>521</v>
      </c>
      <c r="B304" s="1" t="s">
        <v>489</v>
      </c>
      <c r="C304" s="1" t="s">
        <v>520</v>
      </c>
      <c r="D304" s="1">
        <v>3</v>
      </c>
      <c r="E304" s="1">
        <v>2</v>
      </c>
      <c r="F304" s="1">
        <v>4</v>
      </c>
      <c r="G304" s="1">
        <v>3</v>
      </c>
      <c r="H304" s="1">
        <v>3</v>
      </c>
      <c r="I304" s="1">
        <v>3</v>
      </c>
      <c r="J304" s="1">
        <v>3</v>
      </c>
      <c r="K304" s="1">
        <v>3</v>
      </c>
      <c r="L304" s="1">
        <v>3</v>
      </c>
      <c r="M304" s="1">
        <v>3</v>
      </c>
      <c r="N304" s="1">
        <v>4</v>
      </c>
      <c r="O304" s="1">
        <v>3</v>
      </c>
      <c r="P304" s="1">
        <v>3</v>
      </c>
      <c r="Q304" s="1">
        <v>3</v>
      </c>
      <c r="R304" s="1">
        <v>3</v>
      </c>
      <c r="S304" s="1">
        <v>3</v>
      </c>
      <c r="T304" s="1">
        <v>2</v>
      </c>
      <c r="U304" s="1">
        <v>3</v>
      </c>
      <c r="V304" s="1">
        <v>4</v>
      </c>
      <c r="W304" s="1">
        <v>5</v>
      </c>
      <c r="X304" s="1">
        <v>4</v>
      </c>
      <c r="Y304" s="1">
        <v>4</v>
      </c>
      <c r="Z304" s="1">
        <v>3</v>
      </c>
      <c r="AA304" s="1">
        <v>4</v>
      </c>
      <c r="AB304" s="1">
        <v>3</v>
      </c>
      <c r="AC304" s="1">
        <v>2</v>
      </c>
      <c r="AD304" s="1">
        <v>3</v>
      </c>
      <c r="AE304" s="1">
        <v>3</v>
      </c>
      <c r="AF304" s="1">
        <v>3</v>
      </c>
      <c r="AG304" s="1">
        <v>4</v>
      </c>
      <c r="AH304" s="1">
        <v>4</v>
      </c>
      <c r="AI304" s="1">
        <v>4</v>
      </c>
      <c r="AJ304" s="1">
        <v>4</v>
      </c>
      <c r="AK304" s="1">
        <v>3</v>
      </c>
      <c r="AL304" s="1">
        <v>3</v>
      </c>
      <c r="AM304" s="1">
        <v>3</v>
      </c>
      <c r="AN304" s="1">
        <v>4</v>
      </c>
      <c r="AO304" s="1">
        <v>3</v>
      </c>
      <c r="AP304" s="1">
        <v>3</v>
      </c>
      <c r="AQ304" s="1">
        <v>3</v>
      </c>
      <c r="AR304" s="1">
        <v>3</v>
      </c>
      <c r="AS304" s="1">
        <v>3</v>
      </c>
      <c r="AT304" s="1">
        <v>2</v>
      </c>
      <c r="AU304" s="1">
        <v>3</v>
      </c>
      <c r="AV304" s="1">
        <v>4</v>
      </c>
      <c r="AW304" s="1">
        <v>4</v>
      </c>
      <c r="AX304" s="1">
        <v>4</v>
      </c>
      <c r="AY304" s="1">
        <v>3</v>
      </c>
      <c r="AZ304" s="1">
        <v>3</v>
      </c>
      <c r="BA304" s="1">
        <v>2</v>
      </c>
      <c r="BB304" s="1">
        <v>3</v>
      </c>
      <c r="BC304" s="1">
        <v>3</v>
      </c>
    </row>
    <row r="305" spans="1:55">
      <c r="A305" s="1" t="s">
        <v>522</v>
      </c>
      <c r="B305" s="1" t="s">
        <v>489</v>
      </c>
      <c r="C305" s="1" t="s">
        <v>523</v>
      </c>
      <c r="D305" s="1">
        <v>3</v>
      </c>
      <c r="E305" s="1">
        <v>4</v>
      </c>
      <c r="F305" s="1">
        <v>3</v>
      </c>
      <c r="G305" s="1">
        <v>2</v>
      </c>
      <c r="H305" s="1">
        <v>3</v>
      </c>
      <c r="I305" s="1">
        <v>3</v>
      </c>
      <c r="J305" s="1">
        <v>4</v>
      </c>
      <c r="K305" s="1">
        <v>2</v>
      </c>
      <c r="L305" s="1">
        <v>3</v>
      </c>
      <c r="M305" s="1">
        <v>4</v>
      </c>
      <c r="N305" s="1">
        <v>3</v>
      </c>
      <c r="O305" s="1">
        <v>2</v>
      </c>
      <c r="P305" s="1">
        <v>3</v>
      </c>
      <c r="Q305" s="1">
        <v>4</v>
      </c>
      <c r="R305" s="1">
        <v>4</v>
      </c>
      <c r="S305" s="1">
        <v>4</v>
      </c>
      <c r="T305" s="1">
        <v>4</v>
      </c>
      <c r="U305" s="1">
        <v>3</v>
      </c>
      <c r="V305" s="1">
        <v>4</v>
      </c>
      <c r="W305" s="1">
        <v>2</v>
      </c>
      <c r="X305" s="1">
        <v>3</v>
      </c>
      <c r="Y305" s="1">
        <v>3</v>
      </c>
      <c r="Z305" s="1">
        <v>4</v>
      </c>
      <c r="AA305" s="1">
        <v>3</v>
      </c>
      <c r="AB305" s="1">
        <v>4</v>
      </c>
      <c r="AC305" s="1">
        <v>4</v>
      </c>
      <c r="AD305" s="1">
        <v>3</v>
      </c>
      <c r="AE305" s="1">
        <v>4</v>
      </c>
      <c r="AF305" s="1">
        <v>2</v>
      </c>
      <c r="AG305" s="1">
        <v>3</v>
      </c>
      <c r="AH305" s="1">
        <v>3</v>
      </c>
      <c r="AI305" s="1">
        <v>3</v>
      </c>
      <c r="AJ305" s="1">
        <v>2</v>
      </c>
      <c r="AK305" s="1">
        <v>3</v>
      </c>
      <c r="AL305" s="1">
        <v>3</v>
      </c>
      <c r="AM305" s="1">
        <v>4</v>
      </c>
      <c r="AN305" s="1">
        <v>3</v>
      </c>
      <c r="AO305" s="1">
        <v>3</v>
      </c>
      <c r="AP305" s="1">
        <v>3</v>
      </c>
      <c r="AQ305" s="1">
        <v>4</v>
      </c>
      <c r="AR305" s="1">
        <v>3</v>
      </c>
      <c r="AS305" s="1">
        <v>4</v>
      </c>
      <c r="AT305" s="1">
        <v>2</v>
      </c>
      <c r="AU305" s="1">
        <v>4</v>
      </c>
      <c r="AV305" s="1">
        <v>3</v>
      </c>
      <c r="AW305" s="1">
        <v>4</v>
      </c>
      <c r="AX305" s="1">
        <v>2</v>
      </c>
      <c r="AY305" s="1">
        <v>3</v>
      </c>
      <c r="AZ305" s="1">
        <v>4</v>
      </c>
      <c r="BA305" s="1">
        <v>3</v>
      </c>
      <c r="BB305" s="1">
        <v>4</v>
      </c>
      <c r="BC305" s="1">
        <v>3</v>
      </c>
    </row>
    <row r="306" spans="1:55">
      <c r="A306" s="1" t="s">
        <v>524</v>
      </c>
      <c r="B306" s="1" t="s">
        <v>489</v>
      </c>
      <c r="C306" s="1" t="s">
        <v>523</v>
      </c>
      <c r="D306" s="1">
        <v>3</v>
      </c>
      <c r="E306" s="1">
        <v>3</v>
      </c>
      <c r="F306" s="1">
        <v>2</v>
      </c>
      <c r="G306" s="1">
        <v>2</v>
      </c>
      <c r="H306" s="1">
        <v>3</v>
      </c>
      <c r="I306" s="1">
        <v>3</v>
      </c>
      <c r="J306" s="1">
        <v>2</v>
      </c>
      <c r="K306" s="1">
        <v>3</v>
      </c>
      <c r="L306" s="1">
        <v>4</v>
      </c>
      <c r="M306" s="1">
        <v>4</v>
      </c>
      <c r="N306" s="1">
        <v>2</v>
      </c>
      <c r="O306" s="1">
        <v>3</v>
      </c>
      <c r="P306" s="1">
        <v>3</v>
      </c>
      <c r="Q306" s="1">
        <v>3</v>
      </c>
      <c r="R306" s="1">
        <v>3</v>
      </c>
      <c r="S306" s="1">
        <v>3</v>
      </c>
      <c r="T306" s="1">
        <v>3</v>
      </c>
      <c r="U306" s="1">
        <v>4</v>
      </c>
      <c r="V306" s="1">
        <v>2</v>
      </c>
      <c r="W306" s="1">
        <v>2</v>
      </c>
      <c r="X306" s="1">
        <v>2</v>
      </c>
      <c r="Y306" s="1">
        <v>2</v>
      </c>
      <c r="Z306" s="1">
        <v>3</v>
      </c>
      <c r="AA306" s="1">
        <v>3</v>
      </c>
      <c r="AB306" s="1">
        <v>3</v>
      </c>
      <c r="AC306" s="1">
        <v>3</v>
      </c>
      <c r="AD306" s="1">
        <v>3</v>
      </c>
      <c r="AE306" s="1">
        <v>4</v>
      </c>
      <c r="AF306" s="1">
        <v>2</v>
      </c>
      <c r="AG306" s="1">
        <v>3</v>
      </c>
      <c r="AH306" s="1">
        <v>3</v>
      </c>
      <c r="AI306" s="1">
        <v>2</v>
      </c>
      <c r="AJ306" s="1">
        <v>3</v>
      </c>
      <c r="AK306" s="1">
        <v>4</v>
      </c>
      <c r="AL306" s="1">
        <v>3</v>
      </c>
      <c r="AM306" s="1">
        <v>4</v>
      </c>
      <c r="AN306" s="1">
        <v>3</v>
      </c>
      <c r="AO306" s="1">
        <v>3</v>
      </c>
      <c r="AP306" s="1">
        <v>3</v>
      </c>
      <c r="AQ306" s="1">
        <v>5</v>
      </c>
      <c r="AR306" s="1">
        <v>4</v>
      </c>
      <c r="AS306" s="1">
        <v>4</v>
      </c>
      <c r="AT306" s="1">
        <v>4</v>
      </c>
      <c r="AU306" s="1">
        <v>3</v>
      </c>
      <c r="AV306" s="1">
        <v>3</v>
      </c>
      <c r="AW306" s="1">
        <v>3</v>
      </c>
      <c r="AX306" s="1">
        <v>3</v>
      </c>
      <c r="AY306" s="1">
        <v>2</v>
      </c>
      <c r="AZ306" s="1">
        <v>4</v>
      </c>
      <c r="BA306" s="1">
        <v>4</v>
      </c>
      <c r="BB306" s="1">
        <v>4</v>
      </c>
      <c r="BC306" s="1">
        <v>2</v>
      </c>
    </row>
    <row r="307" spans="1:55">
      <c r="A307" s="1" t="s">
        <v>525</v>
      </c>
      <c r="B307" s="1" t="s">
        <v>489</v>
      </c>
      <c r="C307" s="1" t="s">
        <v>526</v>
      </c>
      <c r="D307" s="1">
        <v>2</v>
      </c>
      <c r="E307" s="1">
        <v>3</v>
      </c>
      <c r="F307" s="1">
        <v>3</v>
      </c>
      <c r="G307" s="1">
        <v>3</v>
      </c>
      <c r="H307" s="1">
        <v>3</v>
      </c>
      <c r="I307" s="1">
        <v>3</v>
      </c>
      <c r="J307" s="1">
        <v>3</v>
      </c>
      <c r="K307" s="1">
        <v>3</v>
      </c>
      <c r="L307" s="1">
        <v>4</v>
      </c>
      <c r="M307" s="1">
        <v>3</v>
      </c>
      <c r="N307" s="1">
        <v>4</v>
      </c>
      <c r="O307" s="1">
        <v>3</v>
      </c>
      <c r="P307" s="1">
        <v>3</v>
      </c>
      <c r="Q307" s="1">
        <v>3</v>
      </c>
      <c r="R307" s="1">
        <v>3</v>
      </c>
      <c r="S307" s="1">
        <v>4</v>
      </c>
      <c r="T307" s="1">
        <v>3</v>
      </c>
      <c r="U307" s="1">
        <v>4</v>
      </c>
      <c r="V307" s="1">
        <v>3</v>
      </c>
      <c r="W307" s="1">
        <v>3</v>
      </c>
      <c r="X307" s="1">
        <v>3</v>
      </c>
      <c r="Y307" s="1">
        <v>3</v>
      </c>
      <c r="Z307" s="1">
        <v>3</v>
      </c>
      <c r="AA307" s="1">
        <v>3</v>
      </c>
      <c r="AB307" s="1">
        <v>3</v>
      </c>
      <c r="AC307" s="1">
        <v>4</v>
      </c>
      <c r="AD307" s="1">
        <v>3</v>
      </c>
      <c r="AE307" s="1">
        <v>3</v>
      </c>
      <c r="AF307" s="1">
        <v>2</v>
      </c>
      <c r="AG307" s="1">
        <v>3</v>
      </c>
      <c r="AH307" s="1">
        <v>3</v>
      </c>
      <c r="AI307" s="1">
        <v>4</v>
      </c>
      <c r="AJ307" s="1">
        <v>3</v>
      </c>
      <c r="AK307" s="1">
        <v>4</v>
      </c>
      <c r="AL307" s="1">
        <v>2</v>
      </c>
      <c r="AM307" s="1">
        <v>3</v>
      </c>
      <c r="AN307" s="1">
        <v>3</v>
      </c>
      <c r="AO307" s="1">
        <v>4</v>
      </c>
      <c r="AP307" s="1">
        <v>4</v>
      </c>
      <c r="AQ307" s="1">
        <v>4</v>
      </c>
      <c r="AR307" s="1">
        <v>3</v>
      </c>
      <c r="AS307" s="1">
        <v>3</v>
      </c>
      <c r="AT307" s="1">
        <v>3</v>
      </c>
      <c r="AU307" s="1">
        <v>3</v>
      </c>
      <c r="AV307" s="1">
        <v>3</v>
      </c>
      <c r="AW307" s="1">
        <v>3</v>
      </c>
      <c r="AX307" s="1">
        <v>3</v>
      </c>
      <c r="AY307" s="1">
        <v>3</v>
      </c>
      <c r="AZ307" s="1">
        <v>4</v>
      </c>
      <c r="BA307" s="1">
        <v>3</v>
      </c>
      <c r="BB307" s="1">
        <v>4</v>
      </c>
      <c r="BC307" s="1">
        <v>3</v>
      </c>
    </row>
    <row r="308" spans="1:55">
      <c r="A308" s="1" t="s">
        <v>527</v>
      </c>
      <c r="B308" s="1" t="s">
        <v>489</v>
      </c>
      <c r="C308" s="1" t="s">
        <v>526</v>
      </c>
      <c r="D308" s="1">
        <v>2</v>
      </c>
      <c r="E308" s="1">
        <v>3</v>
      </c>
      <c r="F308" s="1">
        <v>2</v>
      </c>
      <c r="G308" s="1">
        <v>3</v>
      </c>
      <c r="H308" s="1">
        <v>3</v>
      </c>
      <c r="I308" s="1">
        <v>3</v>
      </c>
      <c r="J308" s="1">
        <v>3</v>
      </c>
      <c r="K308" s="1">
        <v>2</v>
      </c>
      <c r="L308" s="1">
        <v>2</v>
      </c>
      <c r="M308" s="1">
        <v>3</v>
      </c>
      <c r="N308" s="1">
        <v>2</v>
      </c>
      <c r="O308" s="1">
        <v>2</v>
      </c>
      <c r="P308" s="1">
        <v>3</v>
      </c>
      <c r="Q308" s="1">
        <v>3</v>
      </c>
      <c r="R308" s="1">
        <v>4</v>
      </c>
      <c r="S308" s="1">
        <v>3</v>
      </c>
      <c r="T308" s="1">
        <v>3</v>
      </c>
      <c r="U308" s="1">
        <v>4</v>
      </c>
      <c r="V308" s="1">
        <v>2</v>
      </c>
      <c r="W308" s="1">
        <v>3</v>
      </c>
      <c r="X308" s="1">
        <v>3</v>
      </c>
      <c r="Y308" s="1">
        <v>3</v>
      </c>
      <c r="Z308" s="1">
        <v>3</v>
      </c>
      <c r="AA308" s="1">
        <v>3</v>
      </c>
      <c r="AB308" s="1">
        <v>3</v>
      </c>
      <c r="AC308" s="1">
        <v>3</v>
      </c>
      <c r="AD308" s="1">
        <v>3</v>
      </c>
      <c r="AE308" s="1">
        <v>3</v>
      </c>
      <c r="AF308" s="1">
        <v>3</v>
      </c>
      <c r="AG308" s="1">
        <v>2</v>
      </c>
      <c r="AH308" s="1">
        <v>3</v>
      </c>
      <c r="AI308" s="1">
        <v>4</v>
      </c>
      <c r="AJ308" s="1">
        <v>3</v>
      </c>
      <c r="AK308" s="1">
        <v>2</v>
      </c>
      <c r="AL308" s="1">
        <v>3</v>
      </c>
      <c r="AM308" s="1">
        <v>3</v>
      </c>
      <c r="AN308" s="1">
        <v>3</v>
      </c>
      <c r="AO308" s="1">
        <v>3</v>
      </c>
      <c r="AP308" s="1">
        <v>3</v>
      </c>
      <c r="AQ308" s="1">
        <v>2</v>
      </c>
      <c r="AR308" s="1">
        <v>3</v>
      </c>
      <c r="AS308" s="1">
        <v>4</v>
      </c>
      <c r="AT308" s="1">
        <v>4</v>
      </c>
      <c r="AU308" s="1">
        <v>3</v>
      </c>
      <c r="AV308" s="1">
        <v>3</v>
      </c>
      <c r="AW308" s="1">
        <v>3</v>
      </c>
      <c r="AX308" s="1">
        <v>3</v>
      </c>
      <c r="AY308" s="1">
        <v>3</v>
      </c>
      <c r="AZ308" s="1">
        <v>3</v>
      </c>
      <c r="BA308" s="1">
        <v>2</v>
      </c>
      <c r="BB308" s="1">
        <v>3</v>
      </c>
      <c r="BC308" s="1">
        <v>3</v>
      </c>
    </row>
    <row r="309" spans="1:55">
      <c r="A309" s="1" t="s">
        <v>528</v>
      </c>
      <c r="B309" s="1" t="s">
        <v>489</v>
      </c>
      <c r="C309" s="1" t="s">
        <v>529</v>
      </c>
      <c r="D309" s="1">
        <v>3</v>
      </c>
      <c r="E309" s="1">
        <v>3</v>
      </c>
      <c r="F309" s="1">
        <v>3</v>
      </c>
      <c r="G309" s="1">
        <v>2</v>
      </c>
      <c r="H309" s="1">
        <v>3</v>
      </c>
      <c r="I309" s="1">
        <v>3</v>
      </c>
      <c r="J309" s="1">
        <v>3</v>
      </c>
      <c r="K309" s="1">
        <v>3</v>
      </c>
      <c r="L309" s="1">
        <v>3</v>
      </c>
      <c r="M309" s="1">
        <v>3</v>
      </c>
      <c r="N309" s="1">
        <v>4</v>
      </c>
      <c r="O309" s="1">
        <v>3</v>
      </c>
      <c r="P309" s="1">
        <v>3</v>
      </c>
      <c r="Q309" s="1">
        <v>3</v>
      </c>
      <c r="R309" s="1">
        <v>3</v>
      </c>
      <c r="S309" s="1">
        <v>3</v>
      </c>
      <c r="T309" s="1">
        <v>2</v>
      </c>
      <c r="U309" s="1">
        <v>3</v>
      </c>
      <c r="V309" s="1">
        <v>3</v>
      </c>
      <c r="W309" s="1">
        <v>2</v>
      </c>
      <c r="X309" s="1">
        <v>3</v>
      </c>
      <c r="Y309" s="1">
        <v>3</v>
      </c>
      <c r="Z309" s="1">
        <v>2</v>
      </c>
      <c r="AA309" s="1">
        <v>3</v>
      </c>
      <c r="AB309" s="1">
        <v>2</v>
      </c>
      <c r="AC309" s="1">
        <v>4</v>
      </c>
      <c r="AD309" s="1">
        <v>3</v>
      </c>
      <c r="AE309" s="1">
        <v>4</v>
      </c>
      <c r="AF309" s="1">
        <v>3</v>
      </c>
      <c r="AG309" s="1">
        <v>2</v>
      </c>
      <c r="AH309" s="1">
        <v>3</v>
      </c>
      <c r="AI309" s="1">
        <v>3</v>
      </c>
      <c r="AJ309" s="1">
        <v>2</v>
      </c>
      <c r="AK309" s="1">
        <v>3</v>
      </c>
      <c r="AL309" s="1">
        <v>4</v>
      </c>
      <c r="AM309" s="1">
        <v>4</v>
      </c>
      <c r="AN309" s="1">
        <v>3</v>
      </c>
      <c r="AO309" s="1">
        <v>3</v>
      </c>
      <c r="AP309" s="1">
        <v>3</v>
      </c>
      <c r="AQ309" s="1">
        <v>3</v>
      </c>
      <c r="AR309" s="1">
        <v>4</v>
      </c>
      <c r="AS309" s="1">
        <v>4</v>
      </c>
      <c r="AT309" s="1">
        <v>4</v>
      </c>
      <c r="AU309" s="1">
        <v>3</v>
      </c>
      <c r="AV309" s="1">
        <v>3</v>
      </c>
      <c r="AW309" s="1">
        <v>3</v>
      </c>
      <c r="AX309" s="1">
        <v>3</v>
      </c>
      <c r="AY309" s="1">
        <v>3</v>
      </c>
      <c r="AZ309" s="1">
        <v>3</v>
      </c>
      <c r="BA309" s="1">
        <v>3</v>
      </c>
      <c r="BB309" s="1">
        <v>3</v>
      </c>
      <c r="BC309" s="1">
        <v>3</v>
      </c>
    </row>
    <row r="310" spans="1:55">
      <c r="A310" s="1" t="s">
        <v>530</v>
      </c>
      <c r="B310" s="1" t="s">
        <v>489</v>
      </c>
      <c r="C310" s="1" t="s">
        <v>529</v>
      </c>
      <c r="D310" s="1">
        <v>2</v>
      </c>
      <c r="E310" s="1">
        <v>4</v>
      </c>
      <c r="F310" s="1">
        <v>3</v>
      </c>
      <c r="G310" s="1">
        <v>3</v>
      </c>
      <c r="H310" s="1">
        <v>3</v>
      </c>
      <c r="I310" s="1">
        <v>2</v>
      </c>
      <c r="J310" s="1">
        <v>3</v>
      </c>
      <c r="K310" s="1">
        <v>3</v>
      </c>
      <c r="L310" s="1">
        <v>3</v>
      </c>
      <c r="M310" s="1">
        <v>4</v>
      </c>
      <c r="N310" s="1">
        <v>3</v>
      </c>
      <c r="O310" s="1">
        <v>2</v>
      </c>
      <c r="P310" s="1">
        <v>4</v>
      </c>
      <c r="Q310" s="1">
        <v>3</v>
      </c>
      <c r="R310" s="1">
        <v>4</v>
      </c>
      <c r="S310" s="1">
        <v>3</v>
      </c>
      <c r="T310" s="1">
        <v>4</v>
      </c>
      <c r="U310" s="1">
        <v>4</v>
      </c>
      <c r="V310" s="1">
        <v>3</v>
      </c>
      <c r="W310" s="1">
        <v>2</v>
      </c>
      <c r="X310" s="1">
        <v>2</v>
      </c>
      <c r="Y310" s="1">
        <v>3</v>
      </c>
      <c r="Z310" s="1">
        <v>3</v>
      </c>
      <c r="AA310" s="1">
        <v>3</v>
      </c>
      <c r="AB310" s="1">
        <v>3</v>
      </c>
      <c r="AC310" s="1">
        <v>3</v>
      </c>
      <c r="AD310" s="1">
        <v>3</v>
      </c>
      <c r="AE310" s="1">
        <v>3</v>
      </c>
      <c r="AF310" s="1">
        <v>2</v>
      </c>
      <c r="AG310" s="1">
        <v>2</v>
      </c>
      <c r="AH310" s="1">
        <v>2</v>
      </c>
      <c r="AI310" s="1">
        <v>2</v>
      </c>
      <c r="AJ310" s="1">
        <v>2</v>
      </c>
      <c r="AK310" s="1">
        <v>3</v>
      </c>
      <c r="AL310" s="1">
        <v>2</v>
      </c>
      <c r="AM310" s="1">
        <v>4</v>
      </c>
      <c r="AN310" s="1">
        <v>3</v>
      </c>
      <c r="AO310" s="1">
        <v>2</v>
      </c>
      <c r="AP310" s="1">
        <v>3</v>
      </c>
      <c r="AQ310" s="1">
        <v>3</v>
      </c>
      <c r="AR310" s="1">
        <v>4</v>
      </c>
      <c r="AS310" s="1">
        <v>3</v>
      </c>
      <c r="AT310" s="1">
        <v>3</v>
      </c>
      <c r="AU310" s="1">
        <v>4</v>
      </c>
      <c r="AV310" s="1">
        <v>3</v>
      </c>
      <c r="AW310" s="1">
        <v>2</v>
      </c>
      <c r="AX310" s="1">
        <v>2</v>
      </c>
      <c r="AY310" s="1">
        <v>2</v>
      </c>
      <c r="AZ310" s="1">
        <v>3</v>
      </c>
      <c r="BA310" s="1">
        <v>3</v>
      </c>
      <c r="BB310" s="1">
        <v>3</v>
      </c>
      <c r="BC310" s="1">
        <v>4</v>
      </c>
    </row>
    <row r="311" spans="1:55">
      <c r="A311" s="1" t="s">
        <v>531</v>
      </c>
      <c r="B311" s="1" t="s">
        <v>489</v>
      </c>
      <c r="C311" s="1" t="s">
        <v>532</v>
      </c>
      <c r="D311" s="1">
        <v>3</v>
      </c>
      <c r="E311" s="1">
        <v>3</v>
      </c>
      <c r="F311" s="1">
        <v>3</v>
      </c>
      <c r="G311" s="1">
        <v>3</v>
      </c>
      <c r="H311" s="1">
        <v>3</v>
      </c>
      <c r="I311" s="1">
        <v>4</v>
      </c>
      <c r="J311" s="1">
        <v>3</v>
      </c>
      <c r="K311" s="1">
        <v>4</v>
      </c>
      <c r="L311" s="1">
        <v>4</v>
      </c>
      <c r="M311" s="1">
        <v>3</v>
      </c>
      <c r="N311" s="1">
        <v>3</v>
      </c>
      <c r="O311" s="1">
        <v>4</v>
      </c>
      <c r="P311" s="1">
        <v>5</v>
      </c>
      <c r="Q311" s="1">
        <v>4</v>
      </c>
      <c r="R311" s="1">
        <v>3</v>
      </c>
      <c r="S311" s="1">
        <v>4</v>
      </c>
      <c r="T311" s="1">
        <v>3</v>
      </c>
      <c r="U311" s="1">
        <v>3</v>
      </c>
      <c r="V311" s="1">
        <v>3</v>
      </c>
      <c r="W311" s="1">
        <v>3</v>
      </c>
      <c r="X311" s="1">
        <v>3</v>
      </c>
      <c r="Y311" s="1">
        <v>3</v>
      </c>
      <c r="Z311" s="1">
        <v>4</v>
      </c>
      <c r="AA311" s="1">
        <v>4</v>
      </c>
      <c r="AB311" s="1">
        <v>4</v>
      </c>
      <c r="AC311" s="1">
        <v>3</v>
      </c>
      <c r="AD311" s="1">
        <v>3</v>
      </c>
      <c r="AE311" s="1">
        <v>2</v>
      </c>
      <c r="AF311" s="1">
        <v>3</v>
      </c>
      <c r="AG311" s="1">
        <v>2</v>
      </c>
      <c r="AH311" s="1">
        <v>3</v>
      </c>
      <c r="AI311" s="1">
        <v>2</v>
      </c>
      <c r="AJ311" s="1">
        <v>3</v>
      </c>
      <c r="AK311" s="1">
        <v>5</v>
      </c>
      <c r="AL311" s="1">
        <v>4</v>
      </c>
      <c r="AM311" s="1">
        <v>3</v>
      </c>
      <c r="AN311" s="1">
        <v>3</v>
      </c>
      <c r="AO311" s="1">
        <v>5</v>
      </c>
      <c r="AP311" s="1">
        <v>4</v>
      </c>
      <c r="AQ311" s="1">
        <v>5</v>
      </c>
      <c r="AR311" s="1">
        <v>3</v>
      </c>
      <c r="AS311" s="1">
        <v>3</v>
      </c>
      <c r="AT311" s="1">
        <v>3</v>
      </c>
      <c r="AU311" s="1">
        <v>3</v>
      </c>
      <c r="AV311" s="1">
        <v>3</v>
      </c>
      <c r="AW311" s="1">
        <v>3</v>
      </c>
      <c r="AX311" s="1">
        <v>2</v>
      </c>
      <c r="AY311" s="1">
        <v>2</v>
      </c>
      <c r="AZ311" s="1">
        <v>4</v>
      </c>
      <c r="BA311" s="1">
        <v>5</v>
      </c>
      <c r="BB311" s="1">
        <v>5</v>
      </c>
      <c r="BC311" s="1">
        <v>3</v>
      </c>
    </row>
    <row r="312" spans="1:55">
      <c r="A312" s="1" t="s">
        <v>533</v>
      </c>
      <c r="B312" s="1" t="s">
        <v>489</v>
      </c>
      <c r="C312" s="1" t="s">
        <v>532</v>
      </c>
      <c r="D312" s="1">
        <v>3</v>
      </c>
      <c r="E312" s="1">
        <v>3</v>
      </c>
      <c r="F312" s="1">
        <v>3</v>
      </c>
      <c r="G312" s="1">
        <v>4</v>
      </c>
      <c r="H312" s="1">
        <v>3</v>
      </c>
      <c r="I312" s="1">
        <v>3</v>
      </c>
      <c r="J312" s="1">
        <v>4</v>
      </c>
      <c r="K312" s="1">
        <v>3</v>
      </c>
      <c r="L312" s="1">
        <v>3</v>
      </c>
      <c r="M312" s="1">
        <v>3</v>
      </c>
      <c r="N312" s="1">
        <v>3</v>
      </c>
      <c r="O312" s="1">
        <v>4</v>
      </c>
      <c r="P312" s="1">
        <v>3</v>
      </c>
      <c r="Q312" s="1">
        <v>3</v>
      </c>
      <c r="R312" s="1">
        <v>3</v>
      </c>
      <c r="S312" s="1">
        <v>3</v>
      </c>
      <c r="T312" s="1">
        <v>3</v>
      </c>
      <c r="U312" s="1">
        <v>4</v>
      </c>
      <c r="V312" s="1">
        <v>4</v>
      </c>
      <c r="W312" s="1">
        <v>2</v>
      </c>
      <c r="X312" s="1">
        <v>4</v>
      </c>
      <c r="Y312" s="1">
        <v>2</v>
      </c>
      <c r="Z312" s="1">
        <v>2</v>
      </c>
      <c r="AA312" s="1">
        <v>4</v>
      </c>
      <c r="AB312" s="1">
        <v>3</v>
      </c>
      <c r="AC312" s="1">
        <v>3</v>
      </c>
      <c r="AD312" s="1">
        <v>3</v>
      </c>
      <c r="AE312" s="1">
        <v>4</v>
      </c>
      <c r="AF312" s="1">
        <v>2</v>
      </c>
      <c r="AG312" s="1">
        <v>3</v>
      </c>
      <c r="AH312" s="1">
        <v>2</v>
      </c>
      <c r="AI312" s="1">
        <v>4</v>
      </c>
      <c r="AJ312" s="1">
        <v>4</v>
      </c>
      <c r="AK312" s="1">
        <v>4</v>
      </c>
      <c r="AL312" s="1">
        <v>3</v>
      </c>
      <c r="AM312" s="1">
        <v>4</v>
      </c>
      <c r="AN312" s="1">
        <v>4</v>
      </c>
      <c r="AO312" s="1">
        <v>3</v>
      </c>
      <c r="AP312" s="1">
        <v>3</v>
      </c>
      <c r="AQ312" s="1">
        <v>4</v>
      </c>
      <c r="AR312" s="1">
        <v>3</v>
      </c>
      <c r="AS312" s="1">
        <v>4</v>
      </c>
      <c r="AT312" s="1">
        <v>4</v>
      </c>
      <c r="AU312" s="1">
        <v>4</v>
      </c>
      <c r="AV312" s="1">
        <v>3</v>
      </c>
      <c r="AW312" s="1">
        <v>2</v>
      </c>
      <c r="AX312" s="1">
        <v>3</v>
      </c>
      <c r="AY312" s="1">
        <v>2</v>
      </c>
      <c r="AZ312" s="1">
        <v>3</v>
      </c>
      <c r="BA312" s="1">
        <v>3</v>
      </c>
      <c r="BB312" s="1">
        <v>3</v>
      </c>
      <c r="BC312" s="1">
        <v>3</v>
      </c>
    </row>
    <row r="313" spans="1:55">
      <c r="A313" s="1" t="s">
        <v>534</v>
      </c>
      <c r="B313" s="1" t="s">
        <v>489</v>
      </c>
      <c r="C313" s="1" t="s">
        <v>535</v>
      </c>
      <c r="D313" s="1">
        <v>3</v>
      </c>
      <c r="E313" s="1">
        <v>2</v>
      </c>
      <c r="F313" s="1">
        <v>4</v>
      </c>
      <c r="G313" s="1">
        <v>3</v>
      </c>
      <c r="H313" s="1">
        <v>3</v>
      </c>
      <c r="I313" s="1">
        <v>3</v>
      </c>
      <c r="J313" s="1">
        <v>5</v>
      </c>
      <c r="K313" s="1">
        <v>3</v>
      </c>
      <c r="L313" s="1">
        <v>3</v>
      </c>
      <c r="M313" s="1">
        <v>3</v>
      </c>
      <c r="N313" s="1">
        <v>4</v>
      </c>
      <c r="O313" s="1">
        <v>2</v>
      </c>
      <c r="P313" s="1">
        <v>2</v>
      </c>
      <c r="Q313" s="1">
        <v>2</v>
      </c>
      <c r="R313" s="1">
        <v>2</v>
      </c>
      <c r="S313" s="1">
        <v>3</v>
      </c>
      <c r="T313" s="1">
        <v>4</v>
      </c>
      <c r="U313" s="1">
        <v>3</v>
      </c>
      <c r="V313" s="1">
        <v>3</v>
      </c>
      <c r="W313" s="1">
        <v>4</v>
      </c>
      <c r="X313" s="1">
        <v>4</v>
      </c>
      <c r="Y313" s="1">
        <v>3</v>
      </c>
      <c r="Z313" s="1">
        <v>3</v>
      </c>
      <c r="AA313" s="1">
        <v>4</v>
      </c>
      <c r="AB313" s="1">
        <v>3</v>
      </c>
      <c r="AC313" s="1">
        <v>3</v>
      </c>
      <c r="AD313" s="1">
        <v>3</v>
      </c>
      <c r="AE313" s="1">
        <v>2</v>
      </c>
      <c r="AF313" s="1">
        <v>4</v>
      </c>
      <c r="AG313" s="1">
        <v>4</v>
      </c>
      <c r="AH313" s="1">
        <v>3</v>
      </c>
      <c r="AI313" s="1">
        <v>3</v>
      </c>
      <c r="AJ313" s="1">
        <v>3</v>
      </c>
      <c r="AK313" s="1">
        <v>2</v>
      </c>
      <c r="AL313" s="1">
        <v>3</v>
      </c>
      <c r="AM313" s="1">
        <v>4</v>
      </c>
      <c r="AN313" s="1">
        <v>3</v>
      </c>
      <c r="AO313" s="1">
        <v>2</v>
      </c>
      <c r="AP313" s="1">
        <v>4</v>
      </c>
      <c r="AQ313" s="1">
        <v>2</v>
      </c>
      <c r="AR313" s="1">
        <v>3</v>
      </c>
      <c r="AS313" s="1">
        <v>3</v>
      </c>
      <c r="AT313" s="1">
        <v>2</v>
      </c>
      <c r="AU313" s="1">
        <v>3</v>
      </c>
      <c r="AV313" s="1">
        <v>3</v>
      </c>
      <c r="AW313" s="1">
        <v>3</v>
      </c>
      <c r="AX313" s="1">
        <v>3</v>
      </c>
      <c r="AY313" s="1">
        <v>4</v>
      </c>
      <c r="AZ313" s="1">
        <v>3</v>
      </c>
      <c r="BA313" s="1">
        <v>4</v>
      </c>
      <c r="BB313" s="1">
        <v>3</v>
      </c>
      <c r="BC313" s="1">
        <v>2</v>
      </c>
    </row>
    <row r="314" spans="1:55">
      <c r="A314" s="1" t="s">
        <v>536</v>
      </c>
      <c r="B314" s="1" t="s">
        <v>489</v>
      </c>
      <c r="C314" s="1" t="s">
        <v>535</v>
      </c>
      <c r="D314" s="1">
        <v>3</v>
      </c>
      <c r="E314" s="1">
        <v>3</v>
      </c>
      <c r="F314" s="1">
        <v>2</v>
      </c>
      <c r="G314" s="1">
        <v>3</v>
      </c>
      <c r="H314" s="1">
        <v>3</v>
      </c>
      <c r="I314" s="1">
        <v>4</v>
      </c>
      <c r="J314" s="1">
        <v>3</v>
      </c>
      <c r="K314" s="1">
        <v>4</v>
      </c>
      <c r="L314" s="1">
        <v>3</v>
      </c>
      <c r="M314" s="1">
        <v>4</v>
      </c>
      <c r="N314" s="1">
        <v>3</v>
      </c>
      <c r="O314" s="1">
        <v>3</v>
      </c>
      <c r="P314" s="1">
        <v>3</v>
      </c>
      <c r="Q314" s="1">
        <v>4</v>
      </c>
      <c r="R314" s="1">
        <v>3</v>
      </c>
      <c r="S314" s="1">
        <v>4</v>
      </c>
      <c r="T314" s="1">
        <v>4</v>
      </c>
      <c r="U314" s="1">
        <v>4</v>
      </c>
      <c r="V314" s="1">
        <v>3</v>
      </c>
      <c r="W314" s="1">
        <v>4</v>
      </c>
      <c r="X314" s="1">
        <v>4</v>
      </c>
      <c r="Y314" s="1">
        <v>5</v>
      </c>
      <c r="Z314" s="1">
        <v>3</v>
      </c>
      <c r="AA314" s="1">
        <v>4</v>
      </c>
      <c r="AB314" s="1">
        <v>2</v>
      </c>
      <c r="AC314" s="1">
        <v>3</v>
      </c>
      <c r="AD314" s="1">
        <v>4</v>
      </c>
      <c r="AE314" s="1">
        <v>5</v>
      </c>
      <c r="AF314" s="1">
        <v>2</v>
      </c>
      <c r="AG314" s="1">
        <v>2</v>
      </c>
      <c r="AH314" s="1">
        <v>2</v>
      </c>
      <c r="AI314" s="1">
        <v>2</v>
      </c>
      <c r="AJ314" s="1">
        <v>2</v>
      </c>
      <c r="AK314" s="1">
        <v>4</v>
      </c>
      <c r="AL314" s="1">
        <v>3</v>
      </c>
      <c r="AM314" s="1">
        <v>3</v>
      </c>
      <c r="AN314" s="1">
        <v>2</v>
      </c>
      <c r="AO314" s="1">
        <v>3</v>
      </c>
      <c r="AP314" s="1">
        <v>3</v>
      </c>
      <c r="AQ314" s="1">
        <v>3</v>
      </c>
      <c r="AR314" s="1">
        <v>4</v>
      </c>
      <c r="AS314" s="1">
        <v>4</v>
      </c>
      <c r="AT314" s="1">
        <v>5</v>
      </c>
      <c r="AU314" s="1">
        <v>5</v>
      </c>
      <c r="AV314" s="1">
        <v>3</v>
      </c>
      <c r="AW314" s="1">
        <v>5</v>
      </c>
      <c r="AX314" s="1">
        <v>4</v>
      </c>
      <c r="AY314" s="1">
        <v>4</v>
      </c>
      <c r="AZ314" s="1">
        <v>3</v>
      </c>
      <c r="BA314" s="1">
        <v>3</v>
      </c>
      <c r="BB314" s="1">
        <v>4</v>
      </c>
      <c r="BC314" s="1">
        <v>3</v>
      </c>
    </row>
    <row r="315" spans="1:55">
      <c r="A315" s="1" t="s">
        <v>537</v>
      </c>
      <c r="B315" s="1" t="s">
        <v>489</v>
      </c>
      <c r="C315" s="1" t="s">
        <v>538</v>
      </c>
      <c r="D315" s="1">
        <v>4</v>
      </c>
      <c r="E315" s="1">
        <v>4</v>
      </c>
      <c r="F315" s="1">
        <v>1</v>
      </c>
      <c r="G315" s="1">
        <v>3</v>
      </c>
      <c r="H315" s="1">
        <v>3</v>
      </c>
      <c r="I315" s="1">
        <v>4</v>
      </c>
      <c r="J315" s="1">
        <v>4</v>
      </c>
      <c r="K315" s="1">
        <v>1</v>
      </c>
      <c r="L315" s="1">
        <v>2</v>
      </c>
      <c r="M315" s="1">
        <v>4</v>
      </c>
      <c r="N315" s="1">
        <v>3</v>
      </c>
      <c r="O315" s="1">
        <v>2</v>
      </c>
      <c r="P315" s="1">
        <v>2</v>
      </c>
      <c r="Q315" s="1">
        <v>2</v>
      </c>
      <c r="R315" s="1">
        <v>4</v>
      </c>
      <c r="S315" s="1">
        <v>3</v>
      </c>
      <c r="T315" s="1">
        <v>3</v>
      </c>
      <c r="U315" s="1">
        <v>3</v>
      </c>
      <c r="V315" s="1">
        <v>2</v>
      </c>
      <c r="W315" s="1">
        <v>3</v>
      </c>
      <c r="X315" s="1">
        <v>3</v>
      </c>
      <c r="Y315" s="1">
        <v>2</v>
      </c>
      <c r="Z315" s="1">
        <v>2</v>
      </c>
      <c r="AA315" s="1">
        <v>3</v>
      </c>
      <c r="AB315" s="1">
        <v>3</v>
      </c>
      <c r="AC315" s="1">
        <v>2</v>
      </c>
      <c r="AD315" s="1">
        <v>2</v>
      </c>
      <c r="AE315" s="1">
        <v>3</v>
      </c>
      <c r="AF315" s="1">
        <v>3</v>
      </c>
      <c r="AG315" s="1">
        <v>3</v>
      </c>
      <c r="AH315" s="1">
        <v>3</v>
      </c>
      <c r="AI315" s="1">
        <v>3</v>
      </c>
      <c r="AJ315" s="1">
        <v>2</v>
      </c>
      <c r="AK315" s="1">
        <v>3</v>
      </c>
      <c r="AL315" s="1">
        <v>2</v>
      </c>
      <c r="AM315" s="1">
        <v>3</v>
      </c>
      <c r="AN315" s="1">
        <v>3</v>
      </c>
      <c r="AO315" s="1">
        <v>2</v>
      </c>
      <c r="AP315" s="1">
        <v>3</v>
      </c>
      <c r="AQ315" s="1">
        <v>3</v>
      </c>
      <c r="AR315" s="1">
        <v>3</v>
      </c>
      <c r="AS315" s="1">
        <v>4</v>
      </c>
      <c r="AT315" s="1">
        <v>3</v>
      </c>
      <c r="AU315" s="1">
        <v>3</v>
      </c>
      <c r="AV315" s="1">
        <v>3</v>
      </c>
      <c r="AW315" s="1">
        <v>2</v>
      </c>
      <c r="AX315" s="1">
        <v>2</v>
      </c>
      <c r="AY315" s="1">
        <v>3</v>
      </c>
      <c r="AZ315" s="1">
        <v>3</v>
      </c>
      <c r="BA315" s="1">
        <v>3</v>
      </c>
      <c r="BB315" s="1">
        <v>3</v>
      </c>
      <c r="BC315" s="1">
        <v>4</v>
      </c>
    </row>
    <row r="316" spans="1:55">
      <c r="A316" s="1" t="s">
        <v>539</v>
      </c>
      <c r="B316" s="1" t="s">
        <v>489</v>
      </c>
      <c r="C316" s="1" t="s">
        <v>538</v>
      </c>
      <c r="D316" s="1">
        <v>3</v>
      </c>
      <c r="E316" s="1">
        <v>4</v>
      </c>
      <c r="F316" s="1">
        <v>2</v>
      </c>
      <c r="G316" s="1">
        <v>2</v>
      </c>
      <c r="H316" s="1">
        <v>3</v>
      </c>
      <c r="I316" s="1">
        <v>4</v>
      </c>
      <c r="J316" s="1">
        <v>4</v>
      </c>
      <c r="K316" s="1">
        <v>2</v>
      </c>
      <c r="L316" s="1">
        <v>2</v>
      </c>
      <c r="M316" s="1">
        <v>4</v>
      </c>
      <c r="N316" s="1">
        <v>4</v>
      </c>
      <c r="O316" s="1">
        <v>2</v>
      </c>
      <c r="P316" s="1">
        <v>2</v>
      </c>
      <c r="Q316" s="1">
        <v>3</v>
      </c>
      <c r="R316" s="1">
        <v>3</v>
      </c>
      <c r="S316" s="1">
        <v>4</v>
      </c>
      <c r="T316" s="1">
        <v>4</v>
      </c>
      <c r="U316" s="1">
        <v>3</v>
      </c>
      <c r="V316" s="1">
        <v>4</v>
      </c>
      <c r="W316" s="1">
        <v>3</v>
      </c>
      <c r="X316" s="1">
        <v>3</v>
      </c>
      <c r="Y316" s="1">
        <v>2</v>
      </c>
      <c r="Z316" s="1">
        <v>3</v>
      </c>
      <c r="AA316" s="1">
        <v>3</v>
      </c>
      <c r="AB316" s="1">
        <v>2</v>
      </c>
      <c r="AC316" s="1">
        <v>3</v>
      </c>
      <c r="AD316" s="1">
        <v>3</v>
      </c>
      <c r="AE316" s="1">
        <v>3</v>
      </c>
      <c r="AF316" s="1">
        <v>2</v>
      </c>
      <c r="AG316" s="1">
        <v>3</v>
      </c>
      <c r="AH316" s="1">
        <v>5</v>
      </c>
      <c r="AI316" s="1">
        <v>2</v>
      </c>
      <c r="AJ316" s="1">
        <v>4</v>
      </c>
      <c r="AK316" s="1">
        <v>3</v>
      </c>
      <c r="AL316" s="1">
        <v>3</v>
      </c>
      <c r="AM316" s="1">
        <v>4</v>
      </c>
      <c r="AN316" s="1">
        <v>3</v>
      </c>
      <c r="AO316" s="1">
        <v>2</v>
      </c>
      <c r="AP316" s="1">
        <v>3</v>
      </c>
      <c r="AQ316" s="1">
        <v>2</v>
      </c>
      <c r="AR316" s="1">
        <v>3</v>
      </c>
      <c r="AS316" s="1">
        <v>2</v>
      </c>
      <c r="AT316" s="1">
        <v>3</v>
      </c>
      <c r="AU316" s="1">
        <v>3</v>
      </c>
      <c r="AV316" s="1">
        <v>4</v>
      </c>
      <c r="AW316" s="1">
        <v>4</v>
      </c>
      <c r="AX316" s="1">
        <v>3</v>
      </c>
      <c r="AY316" s="1">
        <v>3</v>
      </c>
      <c r="AZ316" s="1">
        <v>2</v>
      </c>
      <c r="BA316" s="1">
        <v>3</v>
      </c>
      <c r="BB316" s="1">
        <v>3</v>
      </c>
      <c r="BC316" s="1">
        <v>3</v>
      </c>
    </row>
    <row r="317" spans="1:55">
      <c r="A317" s="1" t="s">
        <v>540</v>
      </c>
      <c r="B317" s="1" t="s">
        <v>489</v>
      </c>
      <c r="C317" s="1" t="s">
        <v>541</v>
      </c>
      <c r="D317" s="1">
        <v>3</v>
      </c>
      <c r="E317" s="1">
        <v>3</v>
      </c>
      <c r="F317" s="1">
        <v>3</v>
      </c>
      <c r="G317" s="1">
        <v>3</v>
      </c>
      <c r="H317" s="1">
        <v>4</v>
      </c>
      <c r="I317" s="1">
        <v>4</v>
      </c>
      <c r="J317" s="1">
        <v>3</v>
      </c>
      <c r="K317" s="1">
        <v>3</v>
      </c>
      <c r="L317" s="1">
        <v>3</v>
      </c>
      <c r="M317" s="1">
        <v>3</v>
      </c>
      <c r="N317" s="1">
        <v>3</v>
      </c>
      <c r="O317" s="1">
        <v>4</v>
      </c>
      <c r="P317" s="1">
        <v>3</v>
      </c>
      <c r="Q317" s="1">
        <v>3</v>
      </c>
      <c r="R317" s="1">
        <v>3</v>
      </c>
      <c r="S317" s="1">
        <v>3</v>
      </c>
      <c r="T317" s="1">
        <v>2</v>
      </c>
      <c r="U317" s="1">
        <v>3</v>
      </c>
      <c r="V317" s="1">
        <v>3</v>
      </c>
      <c r="W317" s="1">
        <v>3</v>
      </c>
      <c r="X317" s="1">
        <v>2</v>
      </c>
      <c r="Y317" s="1">
        <v>2</v>
      </c>
      <c r="Z317" s="1">
        <v>3</v>
      </c>
      <c r="AA317" s="1">
        <v>4</v>
      </c>
      <c r="AB317" s="1">
        <v>4</v>
      </c>
      <c r="AC317" s="1">
        <v>2</v>
      </c>
      <c r="AD317" s="1">
        <v>4</v>
      </c>
      <c r="AE317" s="1">
        <v>3</v>
      </c>
      <c r="AF317" s="1">
        <v>2</v>
      </c>
      <c r="AG317" s="1">
        <v>3</v>
      </c>
      <c r="AH317" s="1">
        <v>2</v>
      </c>
      <c r="AI317" s="1">
        <v>3</v>
      </c>
      <c r="AJ317" s="1">
        <v>3</v>
      </c>
      <c r="AK317" s="1">
        <v>4</v>
      </c>
      <c r="AL317" s="1">
        <v>3</v>
      </c>
      <c r="AM317" s="1">
        <v>2</v>
      </c>
      <c r="AN317" s="1">
        <v>3</v>
      </c>
      <c r="AO317" s="1">
        <v>4</v>
      </c>
      <c r="AP317" s="1">
        <v>3</v>
      </c>
      <c r="AQ317" s="1">
        <v>3</v>
      </c>
      <c r="AR317" s="1">
        <v>3</v>
      </c>
      <c r="AS317" s="1">
        <v>3</v>
      </c>
      <c r="AT317" s="1">
        <v>3</v>
      </c>
      <c r="AU317" s="1">
        <v>3</v>
      </c>
      <c r="AV317" s="1">
        <v>4</v>
      </c>
      <c r="AW317" s="1">
        <v>3</v>
      </c>
      <c r="AX317" s="1">
        <v>3</v>
      </c>
      <c r="AY317" s="1">
        <v>1</v>
      </c>
      <c r="AZ317" s="1">
        <v>3</v>
      </c>
      <c r="BA317" s="1">
        <v>3</v>
      </c>
      <c r="BB317" s="1">
        <v>3</v>
      </c>
      <c r="BC317" s="1">
        <v>4</v>
      </c>
    </row>
    <row r="318" spans="1:55">
      <c r="A318" s="1" t="s">
        <v>542</v>
      </c>
      <c r="B318" s="1" t="s">
        <v>489</v>
      </c>
      <c r="C318" s="1" t="s">
        <v>541</v>
      </c>
      <c r="D318" s="1">
        <v>2</v>
      </c>
      <c r="E318" s="1">
        <v>4</v>
      </c>
      <c r="F318" s="1">
        <v>2</v>
      </c>
      <c r="G318" s="1">
        <v>2</v>
      </c>
      <c r="H318" s="1">
        <v>3</v>
      </c>
      <c r="I318" s="1">
        <v>3</v>
      </c>
      <c r="J318" s="1">
        <v>4</v>
      </c>
      <c r="K318" s="1">
        <v>2</v>
      </c>
      <c r="L318" s="1">
        <v>3</v>
      </c>
      <c r="M318" s="1">
        <v>4</v>
      </c>
      <c r="N318" s="1">
        <v>4</v>
      </c>
      <c r="O318" s="1">
        <v>3</v>
      </c>
      <c r="P318" s="1">
        <v>2</v>
      </c>
      <c r="Q318" s="1">
        <v>2</v>
      </c>
      <c r="R318" s="1">
        <v>4</v>
      </c>
      <c r="S318" s="1">
        <v>3</v>
      </c>
      <c r="T318" s="1">
        <v>4</v>
      </c>
      <c r="U318" s="1">
        <v>4</v>
      </c>
      <c r="V318" s="1">
        <v>4</v>
      </c>
      <c r="W318" s="1">
        <v>3</v>
      </c>
      <c r="X318" s="1">
        <v>2</v>
      </c>
      <c r="Y318" s="1">
        <v>3</v>
      </c>
      <c r="Z318" s="1">
        <v>2</v>
      </c>
      <c r="AA318" s="1">
        <v>2</v>
      </c>
      <c r="AB318" s="1">
        <v>2</v>
      </c>
      <c r="AC318" s="1">
        <v>3</v>
      </c>
      <c r="AD318" s="1">
        <v>4</v>
      </c>
      <c r="AE318" s="1">
        <v>3</v>
      </c>
      <c r="AF318" s="1">
        <v>3</v>
      </c>
      <c r="AG318" s="1">
        <v>3</v>
      </c>
      <c r="AH318" s="1">
        <v>4</v>
      </c>
      <c r="AI318" s="1">
        <v>3</v>
      </c>
      <c r="AJ318" s="1">
        <v>4</v>
      </c>
      <c r="AK318" s="1">
        <v>3</v>
      </c>
      <c r="AL318" s="1">
        <v>2</v>
      </c>
      <c r="AM318" s="1">
        <v>4</v>
      </c>
      <c r="AN318" s="1">
        <v>4</v>
      </c>
      <c r="AO318" s="1">
        <v>3</v>
      </c>
      <c r="AP318" s="1">
        <v>2</v>
      </c>
      <c r="AQ318" s="1">
        <v>3</v>
      </c>
      <c r="AR318" s="1">
        <v>4</v>
      </c>
      <c r="AS318" s="1">
        <v>3</v>
      </c>
      <c r="AT318" s="1">
        <v>3</v>
      </c>
      <c r="AU318" s="1">
        <v>3</v>
      </c>
      <c r="AV318" s="1">
        <v>3</v>
      </c>
      <c r="AW318" s="1">
        <v>3</v>
      </c>
      <c r="AX318" s="1">
        <v>2</v>
      </c>
      <c r="AY318" s="1">
        <v>3</v>
      </c>
      <c r="AZ318" s="1">
        <v>2</v>
      </c>
      <c r="BA318" s="1">
        <v>3</v>
      </c>
      <c r="BB318" s="1">
        <v>2</v>
      </c>
      <c r="BC318" s="1">
        <v>3</v>
      </c>
    </row>
    <row r="319" spans="1:55">
      <c r="A319" s="1" t="s">
        <v>543</v>
      </c>
      <c r="B319" s="1" t="s">
        <v>489</v>
      </c>
      <c r="C319" s="1" t="s">
        <v>544</v>
      </c>
      <c r="D319" s="1">
        <v>2</v>
      </c>
      <c r="E319" s="1">
        <v>3</v>
      </c>
      <c r="F319" s="1">
        <v>3</v>
      </c>
      <c r="G319" s="1">
        <v>4</v>
      </c>
      <c r="H319" s="1">
        <v>1</v>
      </c>
      <c r="I319" s="1">
        <v>3</v>
      </c>
      <c r="J319" s="1">
        <v>3</v>
      </c>
      <c r="K319" s="1">
        <v>2</v>
      </c>
      <c r="L319" s="1">
        <v>2</v>
      </c>
      <c r="M319" s="1">
        <v>3</v>
      </c>
      <c r="N319" s="1">
        <v>3</v>
      </c>
      <c r="O319" s="1">
        <v>2</v>
      </c>
      <c r="P319" s="1">
        <v>1</v>
      </c>
      <c r="Q319" s="1">
        <v>2</v>
      </c>
      <c r="R319" s="1">
        <v>2</v>
      </c>
      <c r="S319" s="1">
        <v>3</v>
      </c>
      <c r="T319" s="1">
        <v>4</v>
      </c>
      <c r="U319" s="1">
        <v>2</v>
      </c>
      <c r="V319" s="1">
        <v>3</v>
      </c>
      <c r="W319" s="1">
        <v>1</v>
      </c>
      <c r="X319" s="1">
        <v>2</v>
      </c>
      <c r="Y319" s="1">
        <v>2</v>
      </c>
      <c r="Z319" s="1">
        <v>2</v>
      </c>
      <c r="AA319" s="1">
        <v>3</v>
      </c>
      <c r="AB319" s="1">
        <v>2</v>
      </c>
      <c r="AC319" s="1">
        <v>3</v>
      </c>
      <c r="AD319" s="1">
        <v>2</v>
      </c>
      <c r="AE319" s="1">
        <v>2</v>
      </c>
      <c r="AF319" s="1">
        <v>3</v>
      </c>
      <c r="AG319" s="1">
        <v>3</v>
      </c>
      <c r="AH319" s="1">
        <v>2</v>
      </c>
      <c r="AI319" s="1">
        <v>3</v>
      </c>
      <c r="AJ319" s="1">
        <v>3</v>
      </c>
      <c r="AK319" s="1">
        <v>4</v>
      </c>
      <c r="AL319" s="1">
        <v>2</v>
      </c>
      <c r="AM319" s="1">
        <v>2</v>
      </c>
      <c r="AN319" s="1">
        <v>2</v>
      </c>
      <c r="AO319" s="1">
        <v>3</v>
      </c>
      <c r="AP319" s="1">
        <v>2</v>
      </c>
      <c r="AQ319" s="1">
        <v>3</v>
      </c>
      <c r="AR319" s="1">
        <v>3</v>
      </c>
      <c r="AS319" s="1">
        <v>3</v>
      </c>
      <c r="AT319" s="1">
        <v>3</v>
      </c>
      <c r="AU319" s="1">
        <v>2</v>
      </c>
      <c r="AV319" s="1">
        <v>3</v>
      </c>
      <c r="AW319" s="1">
        <v>2</v>
      </c>
      <c r="AX319" s="1">
        <v>2</v>
      </c>
      <c r="AY319" s="1">
        <v>2</v>
      </c>
      <c r="AZ319" s="1">
        <v>2</v>
      </c>
      <c r="BA319" s="1">
        <v>2</v>
      </c>
      <c r="BB319" s="1">
        <v>2</v>
      </c>
      <c r="BC319" s="1">
        <v>2</v>
      </c>
    </row>
    <row r="320" spans="1:55">
      <c r="A320" s="1" t="s">
        <v>545</v>
      </c>
      <c r="B320" s="1" t="s">
        <v>489</v>
      </c>
      <c r="C320" s="1" t="s">
        <v>544</v>
      </c>
      <c r="D320" s="1">
        <v>3</v>
      </c>
      <c r="E320" s="1">
        <v>4</v>
      </c>
      <c r="F320" s="1">
        <v>3</v>
      </c>
      <c r="G320" s="1">
        <v>3</v>
      </c>
      <c r="H320" s="1">
        <v>3</v>
      </c>
      <c r="I320" s="1">
        <v>2</v>
      </c>
      <c r="J320" s="1">
        <v>2</v>
      </c>
      <c r="K320" s="1">
        <v>3</v>
      </c>
      <c r="L320" s="1">
        <v>3</v>
      </c>
      <c r="M320" s="1">
        <v>4</v>
      </c>
      <c r="N320" s="1">
        <v>3</v>
      </c>
      <c r="O320" s="1">
        <v>3</v>
      </c>
      <c r="P320" s="1">
        <v>3</v>
      </c>
      <c r="Q320" s="1">
        <v>3</v>
      </c>
      <c r="R320" s="1">
        <v>4</v>
      </c>
      <c r="S320" s="1">
        <v>4</v>
      </c>
      <c r="T320" s="1">
        <v>4</v>
      </c>
      <c r="U320" s="1">
        <v>3</v>
      </c>
      <c r="V320" s="1">
        <v>2</v>
      </c>
      <c r="W320" s="1">
        <v>3</v>
      </c>
      <c r="X320" s="1">
        <v>3</v>
      </c>
      <c r="Y320" s="1">
        <v>1</v>
      </c>
      <c r="Z320" s="1">
        <v>3</v>
      </c>
      <c r="AA320" s="1">
        <v>4</v>
      </c>
      <c r="AB320" s="1">
        <v>4</v>
      </c>
      <c r="AC320" s="1">
        <v>5</v>
      </c>
      <c r="AD320" s="1">
        <v>2</v>
      </c>
      <c r="AE320" s="1">
        <v>3</v>
      </c>
      <c r="AF320" s="1">
        <v>2</v>
      </c>
      <c r="AG320" s="1">
        <v>2</v>
      </c>
      <c r="AH320" s="1">
        <v>3</v>
      </c>
      <c r="AI320" s="1">
        <v>2</v>
      </c>
      <c r="AJ320" s="1">
        <v>2</v>
      </c>
      <c r="AK320" s="1">
        <v>3</v>
      </c>
      <c r="AL320" s="1">
        <v>3</v>
      </c>
      <c r="AM320" s="1">
        <v>3</v>
      </c>
      <c r="AN320" s="1">
        <v>2</v>
      </c>
      <c r="AO320" s="1">
        <v>4</v>
      </c>
      <c r="AP320" s="1">
        <v>4</v>
      </c>
      <c r="AQ320" s="1">
        <v>3</v>
      </c>
      <c r="AR320" s="1">
        <v>3</v>
      </c>
      <c r="AS320" s="1">
        <v>3</v>
      </c>
      <c r="AT320" s="1">
        <v>4</v>
      </c>
      <c r="AU320" s="1">
        <v>4</v>
      </c>
      <c r="AV320" s="1">
        <v>2</v>
      </c>
      <c r="AW320" s="1">
        <v>3</v>
      </c>
      <c r="AX320" s="1">
        <v>2</v>
      </c>
      <c r="AY320" s="1">
        <v>2</v>
      </c>
      <c r="AZ320" s="1">
        <v>3</v>
      </c>
      <c r="BA320" s="1">
        <v>3</v>
      </c>
      <c r="BB320" s="1">
        <v>3</v>
      </c>
      <c r="BC320" s="1">
        <v>3</v>
      </c>
    </row>
    <row r="321" spans="1:55">
      <c r="A321" s="1" t="s">
        <v>546</v>
      </c>
      <c r="B321" s="1" t="s">
        <v>489</v>
      </c>
      <c r="C321" s="1" t="s">
        <v>547</v>
      </c>
      <c r="D321" s="1">
        <v>3</v>
      </c>
      <c r="E321" s="1">
        <v>3</v>
      </c>
      <c r="F321" s="1">
        <v>3</v>
      </c>
      <c r="G321" s="1">
        <v>2</v>
      </c>
      <c r="H321" s="1">
        <v>4</v>
      </c>
      <c r="I321" s="1">
        <v>2</v>
      </c>
      <c r="J321" s="1">
        <v>4</v>
      </c>
      <c r="K321" s="1">
        <v>2</v>
      </c>
      <c r="L321" s="1">
        <v>4</v>
      </c>
      <c r="M321" s="1">
        <v>3</v>
      </c>
      <c r="N321" s="1">
        <v>4</v>
      </c>
      <c r="O321" s="1">
        <v>3</v>
      </c>
      <c r="P321" s="1">
        <v>3</v>
      </c>
      <c r="Q321" s="1">
        <v>2</v>
      </c>
      <c r="R321" s="1">
        <v>4</v>
      </c>
      <c r="S321" s="1">
        <v>3</v>
      </c>
      <c r="T321" s="1">
        <v>4</v>
      </c>
      <c r="U321" s="1">
        <v>2</v>
      </c>
      <c r="V321" s="1">
        <v>4</v>
      </c>
      <c r="W321" s="1">
        <v>2</v>
      </c>
      <c r="X321" s="1">
        <v>2</v>
      </c>
      <c r="Y321" s="1">
        <v>2</v>
      </c>
      <c r="Z321" s="1">
        <v>3</v>
      </c>
      <c r="AA321" s="1">
        <v>4</v>
      </c>
      <c r="AB321" s="1">
        <v>3</v>
      </c>
      <c r="AC321" s="1">
        <v>3</v>
      </c>
      <c r="AD321" s="1">
        <v>3</v>
      </c>
      <c r="AE321" s="1">
        <v>2</v>
      </c>
      <c r="AF321" s="1">
        <v>3</v>
      </c>
      <c r="AG321" s="1">
        <v>3</v>
      </c>
      <c r="AH321" s="1">
        <v>2</v>
      </c>
      <c r="AI321" s="1">
        <v>3</v>
      </c>
      <c r="AJ321" s="1">
        <v>3</v>
      </c>
      <c r="AK321" s="1">
        <v>3</v>
      </c>
      <c r="AL321" s="1">
        <v>3</v>
      </c>
      <c r="AM321" s="1">
        <v>3</v>
      </c>
      <c r="AN321" s="1">
        <v>3</v>
      </c>
      <c r="AO321" s="1">
        <v>2</v>
      </c>
      <c r="AP321" s="1">
        <v>4</v>
      </c>
      <c r="AQ321" s="1">
        <v>3</v>
      </c>
      <c r="AR321" s="1">
        <v>3</v>
      </c>
      <c r="AS321" s="1">
        <v>4</v>
      </c>
      <c r="AT321" s="1">
        <v>3</v>
      </c>
      <c r="AU321" s="1">
        <v>3</v>
      </c>
      <c r="AV321" s="1">
        <v>3</v>
      </c>
      <c r="AW321" s="1">
        <v>3</v>
      </c>
      <c r="AX321" s="1">
        <v>2</v>
      </c>
      <c r="AY321" s="1">
        <v>3</v>
      </c>
      <c r="AZ321" s="1">
        <v>2</v>
      </c>
      <c r="BA321" s="1">
        <v>3</v>
      </c>
      <c r="BB321" s="1">
        <v>4</v>
      </c>
      <c r="BC321" s="1">
        <v>3</v>
      </c>
    </row>
    <row r="322" spans="1:55">
      <c r="A322" s="1" t="s">
        <v>548</v>
      </c>
      <c r="B322" s="1" t="s">
        <v>489</v>
      </c>
      <c r="C322" s="1" t="s">
        <v>547</v>
      </c>
      <c r="D322" s="1">
        <v>3</v>
      </c>
      <c r="E322" s="1">
        <v>2</v>
      </c>
      <c r="F322" s="1">
        <v>3</v>
      </c>
      <c r="G322" s="1">
        <v>3</v>
      </c>
      <c r="H322" s="1">
        <v>2</v>
      </c>
      <c r="I322" s="1">
        <v>3</v>
      </c>
      <c r="J322" s="1">
        <v>4</v>
      </c>
      <c r="K322" s="1">
        <v>2</v>
      </c>
      <c r="L322" s="1">
        <v>4</v>
      </c>
      <c r="M322" s="1">
        <v>2</v>
      </c>
      <c r="N322" s="1">
        <v>3</v>
      </c>
      <c r="O322" s="1">
        <v>3</v>
      </c>
      <c r="P322" s="1">
        <v>1</v>
      </c>
      <c r="Q322" s="1">
        <v>2</v>
      </c>
      <c r="R322" s="1">
        <v>3</v>
      </c>
      <c r="S322" s="1">
        <v>3</v>
      </c>
      <c r="T322" s="1">
        <v>3</v>
      </c>
      <c r="U322" s="1">
        <v>3</v>
      </c>
      <c r="V322" s="1">
        <v>2</v>
      </c>
      <c r="W322" s="1">
        <v>2</v>
      </c>
      <c r="X322" s="1">
        <v>3</v>
      </c>
      <c r="Y322" s="1">
        <v>3</v>
      </c>
      <c r="Z322" s="1">
        <v>3</v>
      </c>
      <c r="AA322" s="1">
        <v>3</v>
      </c>
      <c r="AB322" s="1">
        <v>3</v>
      </c>
      <c r="AC322" s="1">
        <v>3</v>
      </c>
      <c r="AD322" s="1">
        <v>3</v>
      </c>
      <c r="AE322" s="1">
        <v>3</v>
      </c>
      <c r="AF322" s="1">
        <v>4</v>
      </c>
      <c r="AG322" s="1">
        <v>3</v>
      </c>
      <c r="AH322" s="1">
        <v>3</v>
      </c>
      <c r="AI322" s="1">
        <v>2</v>
      </c>
      <c r="AJ322" s="1">
        <v>3</v>
      </c>
      <c r="AK322" s="1">
        <v>3</v>
      </c>
      <c r="AL322" s="1">
        <v>3</v>
      </c>
      <c r="AM322" s="1">
        <v>2</v>
      </c>
      <c r="AN322" s="1">
        <v>2</v>
      </c>
      <c r="AO322" s="1">
        <v>3</v>
      </c>
      <c r="AP322" s="1">
        <v>2</v>
      </c>
      <c r="AQ322" s="1">
        <v>3</v>
      </c>
      <c r="AR322" s="1">
        <v>2</v>
      </c>
      <c r="AS322" s="1">
        <v>2</v>
      </c>
      <c r="AT322" s="1">
        <v>2</v>
      </c>
      <c r="AU322" s="1">
        <v>3</v>
      </c>
      <c r="AV322" s="1">
        <v>2</v>
      </c>
      <c r="AW322" s="1">
        <v>4</v>
      </c>
      <c r="AX322" s="1">
        <v>2</v>
      </c>
      <c r="AY322" s="1">
        <v>3</v>
      </c>
      <c r="AZ322" s="1">
        <v>2</v>
      </c>
      <c r="BA322" s="1">
        <v>3</v>
      </c>
      <c r="BB322" s="1">
        <v>2</v>
      </c>
      <c r="BC322" s="1">
        <v>2</v>
      </c>
    </row>
    <row r="323" spans="1:55">
      <c r="A323" s="1" t="s">
        <v>549</v>
      </c>
      <c r="B323" s="1" t="s">
        <v>489</v>
      </c>
      <c r="C323" s="1" t="s">
        <v>550</v>
      </c>
      <c r="D323" s="1">
        <v>3</v>
      </c>
      <c r="E323" s="1">
        <v>2</v>
      </c>
      <c r="F323" s="1">
        <v>3</v>
      </c>
      <c r="G323" s="1">
        <v>3</v>
      </c>
      <c r="H323" s="1">
        <v>4</v>
      </c>
      <c r="I323" s="1">
        <v>2</v>
      </c>
      <c r="J323" s="1">
        <v>3</v>
      </c>
      <c r="K323" s="1">
        <v>3</v>
      </c>
      <c r="L323" s="1">
        <v>3</v>
      </c>
      <c r="M323" s="1">
        <v>3</v>
      </c>
      <c r="N323" s="1">
        <v>3</v>
      </c>
      <c r="O323" s="1">
        <v>3</v>
      </c>
      <c r="P323" s="1">
        <v>3</v>
      </c>
      <c r="Q323" s="1">
        <v>2</v>
      </c>
      <c r="R323" s="1">
        <v>3</v>
      </c>
      <c r="S323" s="1">
        <v>2</v>
      </c>
      <c r="T323" s="1">
        <v>3</v>
      </c>
      <c r="U323" s="1">
        <v>2</v>
      </c>
      <c r="V323" s="1">
        <v>3</v>
      </c>
      <c r="W323" s="1">
        <v>2</v>
      </c>
      <c r="X323" s="1">
        <v>3</v>
      </c>
      <c r="Y323" s="1">
        <v>2</v>
      </c>
      <c r="Z323" s="1">
        <v>2</v>
      </c>
      <c r="AA323" s="1">
        <v>4</v>
      </c>
      <c r="AB323" s="1">
        <v>3</v>
      </c>
      <c r="AC323" s="1">
        <v>3</v>
      </c>
      <c r="AD323" s="1">
        <v>3</v>
      </c>
      <c r="AE323" s="1">
        <v>3</v>
      </c>
      <c r="AF323" s="1">
        <v>3</v>
      </c>
      <c r="AG323" s="1">
        <v>3</v>
      </c>
      <c r="AH323" s="1">
        <v>3</v>
      </c>
      <c r="AI323" s="1">
        <v>3</v>
      </c>
      <c r="AJ323" s="1">
        <v>2</v>
      </c>
      <c r="AK323" s="1">
        <v>4</v>
      </c>
      <c r="AL323" s="1">
        <v>2</v>
      </c>
      <c r="AM323" s="1">
        <v>3</v>
      </c>
      <c r="AN323" s="1">
        <v>3</v>
      </c>
      <c r="AO323" s="1">
        <v>4</v>
      </c>
      <c r="AP323" s="1">
        <v>4</v>
      </c>
      <c r="AQ323" s="1">
        <v>3</v>
      </c>
      <c r="AR323" s="1">
        <v>3</v>
      </c>
      <c r="AS323" s="1">
        <v>3</v>
      </c>
      <c r="AT323" s="1">
        <v>3</v>
      </c>
      <c r="AU323" s="1">
        <v>3</v>
      </c>
      <c r="AV323" s="1">
        <v>3</v>
      </c>
      <c r="AW323" s="1">
        <v>2</v>
      </c>
      <c r="AX323" s="1">
        <v>3</v>
      </c>
      <c r="AY323" s="1">
        <v>3</v>
      </c>
      <c r="AZ323" s="1">
        <v>3</v>
      </c>
      <c r="BA323" s="1">
        <v>3</v>
      </c>
      <c r="BB323" s="1">
        <v>3</v>
      </c>
      <c r="BC323" s="1">
        <v>3</v>
      </c>
    </row>
    <row r="324" spans="1:55">
      <c r="A324" s="1" t="s">
        <v>551</v>
      </c>
      <c r="B324" s="1" t="s">
        <v>489</v>
      </c>
      <c r="C324" s="1" t="s">
        <v>550</v>
      </c>
      <c r="D324" s="1">
        <v>3</v>
      </c>
      <c r="E324" s="1">
        <v>3</v>
      </c>
      <c r="F324" s="1">
        <v>3</v>
      </c>
      <c r="G324" s="1">
        <v>3</v>
      </c>
      <c r="H324" s="1">
        <v>3</v>
      </c>
      <c r="I324" s="1">
        <v>3</v>
      </c>
      <c r="J324" s="1">
        <v>3</v>
      </c>
      <c r="K324" s="1">
        <v>3</v>
      </c>
      <c r="L324" s="1">
        <v>4</v>
      </c>
      <c r="M324" s="1">
        <v>3</v>
      </c>
      <c r="N324" s="1">
        <v>3</v>
      </c>
      <c r="O324" s="1">
        <v>4</v>
      </c>
      <c r="P324" s="1">
        <v>3</v>
      </c>
      <c r="Q324" s="1">
        <v>3</v>
      </c>
      <c r="R324" s="1">
        <v>2</v>
      </c>
      <c r="S324" s="1">
        <v>4</v>
      </c>
      <c r="T324" s="1">
        <v>3</v>
      </c>
      <c r="U324" s="1">
        <v>3</v>
      </c>
      <c r="V324" s="1">
        <v>3</v>
      </c>
      <c r="W324" s="1">
        <v>4</v>
      </c>
      <c r="X324" s="1">
        <v>4</v>
      </c>
      <c r="Y324" s="1">
        <v>3</v>
      </c>
      <c r="Z324" s="1">
        <v>4</v>
      </c>
      <c r="AA324" s="1">
        <v>3</v>
      </c>
      <c r="AB324" s="1">
        <v>3</v>
      </c>
      <c r="AC324" s="1">
        <v>4</v>
      </c>
      <c r="AD324" s="1">
        <v>3</v>
      </c>
      <c r="AE324" s="1">
        <v>3</v>
      </c>
      <c r="AF324" s="1">
        <v>2</v>
      </c>
      <c r="AG324" s="1">
        <v>3</v>
      </c>
      <c r="AH324" s="1">
        <v>3</v>
      </c>
      <c r="AI324" s="1">
        <v>3</v>
      </c>
      <c r="AJ324" s="1">
        <v>3</v>
      </c>
      <c r="AK324" s="1">
        <v>4</v>
      </c>
      <c r="AL324" s="1">
        <v>4</v>
      </c>
      <c r="AM324" s="1">
        <v>2</v>
      </c>
      <c r="AN324" s="1">
        <v>3</v>
      </c>
      <c r="AO324" s="1">
        <v>3</v>
      </c>
      <c r="AP324" s="1">
        <v>3</v>
      </c>
      <c r="AQ324" s="1">
        <v>4</v>
      </c>
      <c r="AR324" s="1">
        <v>3</v>
      </c>
      <c r="AS324" s="1">
        <v>3</v>
      </c>
      <c r="AT324" s="1">
        <v>3</v>
      </c>
      <c r="AU324" s="1">
        <v>3</v>
      </c>
      <c r="AV324" s="1">
        <v>2</v>
      </c>
      <c r="AW324" s="1">
        <v>3</v>
      </c>
      <c r="AX324" s="1">
        <v>3</v>
      </c>
      <c r="AY324" s="1">
        <v>5</v>
      </c>
      <c r="AZ324" s="1">
        <v>3</v>
      </c>
      <c r="BA324" s="1">
        <v>4</v>
      </c>
      <c r="BB324" s="1">
        <v>3</v>
      </c>
      <c r="BC324" s="1">
        <v>4</v>
      </c>
    </row>
    <row r="325" spans="1:55">
      <c r="A325" s="1" t="s">
        <v>552</v>
      </c>
      <c r="B325" s="1" t="s">
        <v>489</v>
      </c>
      <c r="C325" s="1" t="s">
        <v>553</v>
      </c>
      <c r="D325" s="1">
        <v>2</v>
      </c>
      <c r="E325" s="1">
        <v>3</v>
      </c>
      <c r="F325" s="1">
        <v>2</v>
      </c>
      <c r="G325" s="1">
        <v>2</v>
      </c>
      <c r="H325" s="1">
        <v>3</v>
      </c>
      <c r="I325" s="1">
        <v>3</v>
      </c>
      <c r="J325" s="1">
        <v>3</v>
      </c>
      <c r="K325" s="1">
        <v>1</v>
      </c>
      <c r="L325" s="1">
        <v>2</v>
      </c>
      <c r="M325" s="1">
        <v>3</v>
      </c>
      <c r="N325" s="1">
        <v>3</v>
      </c>
      <c r="O325" s="1">
        <v>3</v>
      </c>
      <c r="P325" s="1">
        <v>2</v>
      </c>
      <c r="Q325" s="1">
        <v>3</v>
      </c>
      <c r="R325" s="1">
        <v>4</v>
      </c>
      <c r="S325" s="1">
        <v>3</v>
      </c>
      <c r="T325" s="1">
        <v>4</v>
      </c>
      <c r="U325" s="1">
        <v>4</v>
      </c>
      <c r="V325" s="1">
        <v>2</v>
      </c>
      <c r="W325" s="1">
        <v>2</v>
      </c>
      <c r="X325" s="1">
        <v>2</v>
      </c>
      <c r="Y325" s="1">
        <v>3</v>
      </c>
      <c r="Z325" s="1">
        <v>2</v>
      </c>
      <c r="AA325" s="1">
        <v>2</v>
      </c>
      <c r="AB325" s="1">
        <v>3</v>
      </c>
      <c r="AC325" s="1">
        <v>3</v>
      </c>
      <c r="AD325" s="1">
        <v>2</v>
      </c>
      <c r="AE325" s="1">
        <v>4</v>
      </c>
      <c r="AF325" s="1">
        <v>3</v>
      </c>
      <c r="AG325" s="1">
        <v>2</v>
      </c>
      <c r="AH325" s="1">
        <v>3</v>
      </c>
      <c r="AI325" s="1">
        <v>2</v>
      </c>
      <c r="AJ325" s="1">
        <v>3</v>
      </c>
      <c r="AK325" s="1">
        <v>2</v>
      </c>
      <c r="AL325" s="1">
        <v>2</v>
      </c>
      <c r="AM325" s="1">
        <v>4</v>
      </c>
      <c r="AN325" s="1">
        <v>3</v>
      </c>
      <c r="AO325" s="1">
        <v>3</v>
      </c>
      <c r="AP325" s="1">
        <v>2</v>
      </c>
      <c r="AQ325" s="1">
        <v>2</v>
      </c>
      <c r="AR325" s="1">
        <v>3</v>
      </c>
      <c r="AS325" s="1">
        <v>3</v>
      </c>
      <c r="AT325" s="1">
        <v>5</v>
      </c>
      <c r="AU325" s="1">
        <v>4</v>
      </c>
      <c r="AV325" s="1">
        <v>3</v>
      </c>
      <c r="AW325" s="1">
        <v>2</v>
      </c>
      <c r="AX325" s="1">
        <v>3</v>
      </c>
      <c r="AY325" s="1">
        <v>3</v>
      </c>
      <c r="AZ325" s="1">
        <v>3</v>
      </c>
      <c r="BA325" s="1">
        <v>3</v>
      </c>
      <c r="BB325" s="1">
        <v>2</v>
      </c>
      <c r="BC325" s="1">
        <v>3</v>
      </c>
    </row>
    <row r="326" spans="1:55">
      <c r="A326" s="1" t="s">
        <v>554</v>
      </c>
      <c r="B326" s="1" t="s">
        <v>489</v>
      </c>
      <c r="C326" s="1" t="s">
        <v>553</v>
      </c>
      <c r="D326" s="1">
        <v>4</v>
      </c>
      <c r="E326" s="1">
        <v>4</v>
      </c>
      <c r="F326" s="1">
        <v>2</v>
      </c>
      <c r="G326" s="1">
        <v>2</v>
      </c>
      <c r="H326" s="1">
        <v>3</v>
      </c>
      <c r="I326" s="1">
        <v>4</v>
      </c>
      <c r="J326" s="1">
        <v>2</v>
      </c>
      <c r="K326" s="1">
        <v>4</v>
      </c>
      <c r="L326" s="1">
        <v>4</v>
      </c>
      <c r="M326" s="1">
        <v>4</v>
      </c>
      <c r="N326" s="1">
        <v>2</v>
      </c>
      <c r="O326" s="1">
        <v>4</v>
      </c>
      <c r="P326" s="1">
        <v>4</v>
      </c>
      <c r="Q326" s="1">
        <v>4</v>
      </c>
      <c r="R326" s="1">
        <v>3</v>
      </c>
      <c r="S326" s="1">
        <v>4</v>
      </c>
      <c r="T326" s="1">
        <v>4</v>
      </c>
      <c r="U326" s="1">
        <v>3</v>
      </c>
      <c r="V326" s="1">
        <v>3</v>
      </c>
      <c r="W326" s="1">
        <v>3</v>
      </c>
      <c r="X326" s="1">
        <v>3</v>
      </c>
      <c r="Y326" s="1">
        <v>3</v>
      </c>
      <c r="Z326" s="1">
        <v>4</v>
      </c>
      <c r="AA326" s="1">
        <v>4</v>
      </c>
      <c r="AB326" s="1">
        <v>4</v>
      </c>
      <c r="AC326" s="1">
        <v>3</v>
      </c>
      <c r="AD326" s="1">
        <v>4</v>
      </c>
      <c r="AE326" s="1">
        <v>3</v>
      </c>
      <c r="AF326" s="1">
        <v>2</v>
      </c>
      <c r="AG326" s="1">
        <v>2</v>
      </c>
      <c r="AH326" s="1">
        <v>3</v>
      </c>
      <c r="AI326" s="1">
        <v>3</v>
      </c>
      <c r="AJ326" s="1">
        <v>2</v>
      </c>
      <c r="AK326" s="1">
        <v>4</v>
      </c>
      <c r="AL326" s="1">
        <v>3</v>
      </c>
      <c r="AM326" s="1">
        <v>3</v>
      </c>
      <c r="AN326" s="1">
        <v>2</v>
      </c>
      <c r="AO326" s="1">
        <v>5</v>
      </c>
      <c r="AP326" s="1">
        <v>4</v>
      </c>
      <c r="AQ326" s="1">
        <v>5</v>
      </c>
      <c r="AR326" s="1">
        <v>4</v>
      </c>
      <c r="AS326" s="1">
        <v>4</v>
      </c>
      <c r="AT326" s="1">
        <v>3</v>
      </c>
      <c r="AU326" s="1">
        <v>3</v>
      </c>
      <c r="AV326" s="1">
        <v>3</v>
      </c>
      <c r="AW326" s="1">
        <v>4</v>
      </c>
      <c r="AX326" s="1">
        <v>4</v>
      </c>
      <c r="AY326" s="1">
        <v>3</v>
      </c>
      <c r="AZ326" s="1">
        <v>5</v>
      </c>
      <c r="BA326" s="1">
        <v>5</v>
      </c>
      <c r="BB326" s="1">
        <v>4</v>
      </c>
      <c r="BC326" s="1">
        <v>4</v>
      </c>
    </row>
    <row r="327" spans="1:55">
      <c r="A327" s="1" t="s">
        <v>555</v>
      </c>
      <c r="B327" s="1" t="s">
        <v>489</v>
      </c>
      <c r="C327" s="1" t="s">
        <v>556</v>
      </c>
      <c r="D327" s="1">
        <v>3</v>
      </c>
      <c r="E327" s="1">
        <v>4</v>
      </c>
      <c r="F327" s="1">
        <v>3</v>
      </c>
      <c r="G327" s="1">
        <v>2</v>
      </c>
      <c r="H327" s="1">
        <v>2</v>
      </c>
      <c r="I327" s="1">
        <v>3</v>
      </c>
      <c r="J327" s="1">
        <v>2</v>
      </c>
      <c r="K327" s="1">
        <v>3</v>
      </c>
      <c r="L327" s="1">
        <v>3</v>
      </c>
      <c r="M327" s="1">
        <v>3</v>
      </c>
      <c r="N327" s="1">
        <v>2</v>
      </c>
      <c r="O327" s="1">
        <v>3</v>
      </c>
      <c r="P327" s="1">
        <v>2</v>
      </c>
      <c r="Q327" s="1">
        <v>2</v>
      </c>
      <c r="R327" s="1">
        <v>3</v>
      </c>
      <c r="S327" s="1">
        <v>3</v>
      </c>
      <c r="T327" s="1">
        <v>4</v>
      </c>
      <c r="U327" s="1">
        <v>4</v>
      </c>
      <c r="V327" s="1">
        <v>2</v>
      </c>
      <c r="W327" s="1">
        <v>3</v>
      </c>
      <c r="X327" s="1">
        <v>3</v>
      </c>
      <c r="Y327" s="1">
        <v>3</v>
      </c>
      <c r="Z327" s="1">
        <v>3</v>
      </c>
      <c r="AA327" s="1">
        <v>2</v>
      </c>
      <c r="AB327" s="1">
        <v>2</v>
      </c>
      <c r="AC327" s="1">
        <v>3</v>
      </c>
      <c r="AD327" s="1">
        <v>3</v>
      </c>
      <c r="AE327" s="1">
        <v>4</v>
      </c>
      <c r="AF327" s="1">
        <v>3</v>
      </c>
      <c r="AG327" s="1">
        <v>3</v>
      </c>
      <c r="AH327" s="1">
        <v>3</v>
      </c>
      <c r="AI327" s="1">
        <v>2</v>
      </c>
      <c r="AJ327" s="1">
        <v>3</v>
      </c>
      <c r="AK327" s="1">
        <v>3</v>
      </c>
      <c r="AL327" s="1">
        <v>3</v>
      </c>
      <c r="AM327" s="1">
        <v>4</v>
      </c>
      <c r="AN327" s="1">
        <v>2</v>
      </c>
      <c r="AO327" s="1">
        <v>3</v>
      </c>
      <c r="AP327" s="1">
        <v>3</v>
      </c>
      <c r="AQ327" s="1">
        <v>3</v>
      </c>
      <c r="AR327" s="1">
        <v>3</v>
      </c>
      <c r="AS327" s="1">
        <v>4</v>
      </c>
      <c r="AT327" s="1">
        <v>5</v>
      </c>
      <c r="AU327" s="1">
        <v>4</v>
      </c>
      <c r="AV327" s="1">
        <v>3</v>
      </c>
      <c r="AW327" s="1">
        <v>3</v>
      </c>
      <c r="AX327" s="1">
        <v>4</v>
      </c>
      <c r="AY327" s="1">
        <v>3</v>
      </c>
      <c r="AZ327" s="1">
        <v>3</v>
      </c>
      <c r="BA327" s="1">
        <v>3</v>
      </c>
      <c r="BB327" s="1">
        <v>3</v>
      </c>
      <c r="BC327" s="1">
        <v>2</v>
      </c>
    </row>
    <row r="328" spans="1:55">
      <c r="A328" s="1" t="s">
        <v>557</v>
      </c>
      <c r="B328" s="1" t="s">
        <v>489</v>
      </c>
      <c r="C328" s="1" t="s">
        <v>556</v>
      </c>
      <c r="D328" s="1">
        <v>3</v>
      </c>
      <c r="E328" s="1">
        <v>3</v>
      </c>
      <c r="F328" s="1">
        <v>3</v>
      </c>
      <c r="G328" s="1">
        <v>3</v>
      </c>
      <c r="H328" s="1">
        <v>3</v>
      </c>
      <c r="I328" s="1">
        <v>3</v>
      </c>
      <c r="J328" s="1">
        <v>4</v>
      </c>
      <c r="K328" s="1">
        <v>4</v>
      </c>
      <c r="L328" s="1">
        <v>3</v>
      </c>
      <c r="M328" s="1">
        <v>3</v>
      </c>
      <c r="N328" s="1">
        <v>3</v>
      </c>
      <c r="O328" s="1">
        <v>3</v>
      </c>
      <c r="P328" s="1">
        <v>4</v>
      </c>
      <c r="Q328" s="1">
        <v>4</v>
      </c>
      <c r="R328" s="1">
        <v>3</v>
      </c>
      <c r="S328" s="1">
        <v>3</v>
      </c>
      <c r="T328" s="1">
        <v>3</v>
      </c>
      <c r="U328" s="1">
        <v>4</v>
      </c>
      <c r="V328" s="1">
        <v>4</v>
      </c>
      <c r="W328" s="1">
        <v>2</v>
      </c>
      <c r="X328" s="1">
        <v>2</v>
      </c>
      <c r="Y328" s="1">
        <v>3</v>
      </c>
      <c r="Z328" s="1">
        <v>3</v>
      </c>
      <c r="AA328" s="1">
        <v>3</v>
      </c>
      <c r="AB328" s="1">
        <v>3</v>
      </c>
      <c r="AC328" s="1">
        <v>3</v>
      </c>
      <c r="AD328" s="1">
        <v>3</v>
      </c>
      <c r="AE328" s="1">
        <v>4</v>
      </c>
      <c r="AF328" s="1">
        <v>2</v>
      </c>
      <c r="AG328" s="1">
        <v>2</v>
      </c>
      <c r="AH328" s="1">
        <v>3</v>
      </c>
      <c r="AI328" s="1">
        <v>3</v>
      </c>
      <c r="AJ328" s="1">
        <v>2</v>
      </c>
      <c r="AK328" s="1">
        <v>4</v>
      </c>
      <c r="AL328" s="1">
        <v>4</v>
      </c>
      <c r="AM328" s="1">
        <v>3</v>
      </c>
      <c r="AN328" s="1">
        <v>3</v>
      </c>
      <c r="AO328" s="1">
        <v>4</v>
      </c>
      <c r="AP328" s="1">
        <v>4</v>
      </c>
      <c r="AQ328" s="1">
        <v>3</v>
      </c>
      <c r="AR328" s="1">
        <v>4</v>
      </c>
      <c r="AS328" s="1">
        <v>4</v>
      </c>
      <c r="AT328" s="1">
        <v>3</v>
      </c>
      <c r="AU328" s="1">
        <v>3</v>
      </c>
      <c r="AV328" s="1">
        <v>3</v>
      </c>
      <c r="AW328" s="1">
        <v>3</v>
      </c>
      <c r="AX328" s="1">
        <v>3</v>
      </c>
      <c r="AY328" s="1">
        <v>3</v>
      </c>
      <c r="AZ328" s="1">
        <v>4</v>
      </c>
      <c r="BA328" s="1">
        <v>5</v>
      </c>
      <c r="BB328" s="1">
        <v>5</v>
      </c>
      <c r="BC328" s="1">
        <v>3</v>
      </c>
    </row>
    <row r="329" spans="1:55">
      <c r="A329" s="1" t="s">
        <v>558</v>
      </c>
      <c r="B329" s="1" t="s">
        <v>489</v>
      </c>
      <c r="C329" s="1" t="s">
        <v>559</v>
      </c>
      <c r="D329" s="1">
        <v>3</v>
      </c>
      <c r="E329" s="1">
        <v>4</v>
      </c>
      <c r="F329" s="1">
        <v>2</v>
      </c>
      <c r="G329" s="1">
        <v>3</v>
      </c>
      <c r="H329" s="1">
        <v>3</v>
      </c>
      <c r="I329" s="1">
        <v>4</v>
      </c>
      <c r="J329" s="1">
        <v>4</v>
      </c>
      <c r="K329" s="1">
        <v>4</v>
      </c>
      <c r="L329" s="1">
        <v>2</v>
      </c>
      <c r="M329" s="1">
        <v>4</v>
      </c>
      <c r="N329" s="1">
        <v>4</v>
      </c>
      <c r="O329" s="1">
        <v>4</v>
      </c>
      <c r="P329" s="1">
        <v>4</v>
      </c>
      <c r="Q329" s="1">
        <v>3</v>
      </c>
      <c r="R329" s="1">
        <v>4</v>
      </c>
      <c r="S329" s="1">
        <v>4</v>
      </c>
      <c r="T329" s="1">
        <v>4</v>
      </c>
      <c r="U329" s="1">
        <v>4</v>
      </c>
      <c r="V329" s="1">
        <v>4</v>
      </c>
      <c r="W329" s="1">
        <v>2</v>
      </c>
      <c r="X329" s="1">
        <v>2</v>
      </c>
      <c r="Y329" s="1">
        <v>3</v>
      </c>
      <c r="Z329" s="1">
        <v>4</v>
      </c>
      <c r="AA329" s="1">
        <v>4</v>
      </c>
      <c r="AB329" s="1">
        <v>4</v>
      </c>
      <c r="AC329" s="1">
        <v>3</v>
      </c>
      <c r="AD329" s="1">
        <v>4</v>
      </c>
      <c r="AE329" s="1">
        <v>5</v>
      </c>
      <c r="AF329" s="1">
        <v>2</v>
      </c>
      <c r="AG329" s="1">
        <v>2</v>
      </c>
      <c r="AH329" s="1">
        <v>2</v>
      </c>
      <c r="AI329" s="1">
        <v>2</v>
      </c>
      <c r="AJ329" s="1">
        <v>3</v>
      </c>
      <c r="AK329" s="1">
        <v>4</v>
      </c>
      <c r="AL329" s="1">
        <v>3</v>
      </c>
      <c r="AM329" s="1">
        <v>5</v>
      </c>
      <c r="AN329" s="1">
        <v>3</v>
      </c>
      <c r="AO329" s="1">
        <v>4</v>
      </c>
      <c r="AP329" s="1">
        <v>4</v>
      </c>
      <c r="AQ329" s="1">
        <v>3</v>
      </c>
      <c r="AR329" s="1">
        <v>4</v>
      </c>
      <c r="AS329" s="1">
        <v>4</v>
      </c>
      <c r="AT329" s="1">
        <v>4</v>
      </c>
      <c r="AU329" s="1">
        <v>4</v>
      </c>
      <c r="AV329" s="1">
        <v>3</v>
      </c>
      <c r="AW329" s="1">
        <v>3</v>
      </c>
      <c r="AX329" s="1">
        <v>2</v>
      </c>
      <c r="AY329" s="1">
        <v>2</v>
      </c>
      <c r="AZ329" s="1">
        <v>3</v>
      </c>
      <c r="BA329" s="1">
        <v>5</v>
      </c>
      <c r="BB329" s="1">
        <v>3</v>
      </c>
      <c r="BC329" s="1">
        <v>3</v>
      </c>
    </row>
    <row r="330" spans="1:55">
      <c r="A330" s="1" t="s">
        <v>560</v>
      </c>
      <c r="B330" s="1" t="s">
        <v>489</v>
      </c>
      <c r="C330" s="1" t="s">
        <v>559</v>
      </c>
      <c r="D330" s="1">
        <v>2</v>
      </c>
      <c r="E330" s="1">
        <v>3</v>
      </c>
      <c r="F330" s="1">
        <v>4</v>
      </c>
      <c r="G330" s="1">
        <v>3</v>
      </c>
      <c r="H330" s="1">
        <v>3</v>
      </c>
      <c r="I330" s="1">
        <v>2</v>
      </c>
      <c r="J330" s="1">
        <v>3</v>
      </c>
      <c r="K330" s="1">
        <v>4</v>
      </c>
      <c r="L330" s="1">
        <v>4</v>
      </c>
      <c r="M330" s="1">
        <v>3</v>
      </c>
      <c r="N330" s="1">
        <v>2</v>
      </c>
      <c r="O330" s="1">
        <v>4</v>
      </c>
      <c r="P330" s="1">
        <v>4</v>
      </c>
      <c r="Q330" s="1">
        <v>4</v>
      </c>
      <c r="R330" s="1">
        <v>3</v>
      </c>
      <c r="S330" s="1">
        <v>4</v>
      </c>
      <c r="T330" s="1">
        <v>2</v>
      </c>
      <c r="U330" s="1">
        <v>3</v>
      </c>
      <c r="V330" s="1">
        <v>3</v>
      </c>
      <c r="W330" s="1">
        <v>3</v>
      </c>
      <c r="X330" s="1">
        <v>3</v>
      </c>
      <c r="Y330" s="1">
        <v>4</v>
      </c>
      <c r="Z330" s="1">
        <v>4</v>
      </c>
      <c r="AA330" s="1">
        <v>4</v>
      </c>
      <c r="AB330" s="1">
        <v>4</v>
      </c>
      <c r="AC330" s="1">
        <v>3</v>
      </c>
      <c r="AD330" s="1">
        <v>2</v>
      </c>
      <c r="AE330" s="1">
        <v>2</v>
      </c>
      <c r="AF330" s="1">
        <v>4</v>
      </c>
      <c r="AG330" s="1">
        <v>3</v>
      </c>
      <c r="AH330" s="1">
        <v>2</v>
      </c>
      <c r="AI330" s="1">
        <v>3</v>
      </c>
      <c r="AJ330" s="1">
        <v>3</v>
      </c>
      <c r="AK330" s="1">
        <v>3</v>
      </c>
      <c r="AL330" s="1">
        <v>4</v>
      </c>
      <c r="AM330" s="1">
        <v>3</v>
      </c>
      <c r="AN330" s="1">
        <v>2</v>
      </c>
      <c r="AO330" s="1">
        <v>4</v>
      </c>
      <c r="AP330" s="1">
        <v>4</v>
      </c>
      <c r="AQ330" s="1">
        <v>4</v>
      </c>
      <c r="AR330" s="1">
        <v>3</v>
      </c>
      <c r="AS330" s="1">
        <v>3</v>
      </c>
      <c r="AT330" s="1">
        <v>2</v>
      </c>
      <c r="AU330" s="1">
        <v>2</v>
      </c>
      <c r="AV330" s="1">
        <v>3</v>
      </c>
      <c r="AW330" s="1">
        <v>3</v>
      </c>
      <c r="AX330" s="1">
        <v>2</v>
      </c>
      <c r="AY330" s="1">
        <v>2</v>
      </c>
      <c r="AZ330" s="1">
        <v>4</v>
      </c>
      <c r="BA330" s="1">
        <v>3</v>
      </c>
      <c r="BB330" s="1">
        <v>4</v>
      </c>
      <c r="BC330" s="1">
        <v>4</v>
      </c>
    </row>
    <row r="331" spans="1:55">
      <c r="A331" s="1" t="s">
        <v>561</v>
      </c>
      <c r="B331" s="1" t="s">
        <v>489</v>
      </c>
      <c r="C331" s="1" t="s">
        <v>562</v>
      </c>
      <c r="D331" s="1">
        <v>3</v>
      </c>
      <c r="E331" s="1">
        <v>3</v>
      </c>
      <c r="F331" s="1">
        <v>2</v>
      </c>
      <c r="G331" s="1">
        <v>2</v>
      </c>
      <c r="H331" s="1">
        <v>2</v>
      </c>
      <c r="I331" s="1">
        <v>4</v>
      </c>
      <c r="J331" s="1">
        <v>2</v>
      </c>
      <c r="K331" s="1">
        <v>3</v>
      </c>
      <c r="L331" s="1">
        <v>2</v>
      </c>
      <c r="M331" s="1">
        <v>3</v>
      </c>
      <c r="N331" s="1">
        <v>2</v>
      </c>
      <c r="O331" s="1">
        <v>2</v>
      </c>
      <c r="P331" s="1">
        <v>2</v>
      </c>
      <c r="Q331" s="1">
        <v>2</v>
      </c>
      <c r="R331" s="1">
        <v>4</v>
      </c>
      <c r="S331" s="1">
        <v>4</v>
      </c>
      <c r="T331" s="1">
        <v>4</v>
      </c>
      <c r="U331" s="1">
        <v>3</v>
      </c>
      <c r="V331" s="1">
        <v>3</v>
      </c>
      <c r="W331" s="1">
        <v>4</v>
      </c>
      <c r="X331" s="1">
        <v>4</v>
      </c>
      <c r="Y331" s="1">
        <v>4</v>
      </c>
      <c r="Z331" s="1">
        <v>2</v>
      </c>
      <c r="AA331" s="1">
        <v>2</v>
      </c>
      <c r="AB331" s="1">
        <v>2</v>
      </c>
      <c r="AC331" s="1">
        <v>4</v>
      </c>
      <c r="AD331" s="1">
        <v>3</v>
      </c>
      <c r="AE331" s="1">
        <v>4</v>
      </c>
      <c r="AF331" s="1">
        <v>2</v>
      </c>
      <c r="AG331" s="1">
        <v>2</v>
      </c>
      <c r="AH331" s="1">
        <v>2</v>
      </c>
      <c r="AI331" s="1">
        <v>3</v>
      </c>
      <c r="AJ331" s="1">
        <v>3</v>
      </c>
      <c r="AK331" s="1">
        <v>3</v>
      </c>
      <c r="AL331" s="1">
        <v>2</v>
      </c>
      <c r="AM331" s="1">
        <v>4</v>
      </c>
      <c r="AN331" s="1">
        <v>2</v>
      </c>
      <c r="AO331" s="1">
        <v>3</v>
      </c>
      <c r="AP331" s="1">
        <v>3</v>
      </c>
      <c r="AQ331" s="1">
        <v>2</v>
      </c>
      <c r="AR331" s="1">
        <v>5</v>
      </c>
      <c r="AS331" s="1">
        <v>3</v>
      </c>
      <c r="AT331" s="1">
        <v>4</v>
      </c>
      <c r="AU331" s="1">
        <v>3</v>
      </c>
      <c r="AV331" s="1">
        <v>2</v>
      </c>
      <c r="AW331" s="1">
        <v>4</v>
      </c>
      <c r="AX331" s="1">
        <v>3</v>
      </c>
      <c r="AY331" s="1">
        <v>4</v>
      </c>
      <c r="AZ331" s="1">
        <v>3</v>
      </c>
      <c r="BA331" s="1">
        <v>1</v>
      </c>
      <c r="BB331" s="1">
        <v>3</v>
      </c>
      <c r="BC331" s="1">
        <v>3</v>
      </c>
    </row>
    <row r="332" spans="1:55">
      <c r="A332" s="1" t="s">
        <v>563</v>
      </c>
      <c r="B332" s="1" t="s">
        <v>489</v>
      </c>
      <c r="C332" s="1" t="s">
        <v>562</v>
      </c>
      <c r="D332" s="1">
        <v>3</v>
      </c>
      <c r="E332" s="1">
        <v>4</v>
      </c>
      <c r="F332" s="1">
        <v>3</v>
      </c>
      <c r="G332" s="1">
        <v>3</v>
      </c>
      <c r="H332" s="1">
        <v>2</v>
      </c>
      <c r="I332" s="1">
        <v>2</v>
      </c>
      <c r="J332" s="1">
        <v>2</v>
      </c>
      <c r="K332" s="1">
        <v>4</v>
      </c>
      <c r="L332" s="1">
        <v>4</v>
      </c>
      <c r="M332" s="1">
        <v>4</v>
      </c>
      <c r="N332" s="1">
        <v>2</v>
      </c>
      <c r="O332" s="1">
        <v>3</v>
      </c>
      <c r="P332" s="1">
        <v>3</v>
      </c>
      <c r="Q332" s="1">
        <v>4</v>
      </c>
      <c r="R332" s="1">
        <v>4</v>
      </c>
      <c r="S332" s="1">
        <v>3</v>
      </c>
      <c r="T332" s="1">
        <v>4</v>
      </c>
      <c r="U332" s="1">
        <v>3</v>
      </c>
      <c r="V332" s="1">
        <v>3</v>
      </c>
      <c r="W332" s="1">
        <v>4</v>
      </c>
      <c r="X332" s="1">
        <v>3</v>
      </c>
      <c r="Y332" s="1">
        <v>3</v>
      </c>
      <c r="Z332" s="1">
        <v>3</v>
      </c>
      <c r="AA332" s="1">
        <v>3</v>
      </c>
      <c r="AB332" s="1">
        <v>4</v>
      </c>
      <c r="AC332" s="1">
        <v>4</v>
      </c>
      <c r="AD332" s="1">
        <v>3</v>
      </c>
      <c r="AE332" s="1">
        <v>3</v>
      </c>
      <c r="AF332" s="1">
        <v>4</v>
      </c>
      <c r="AG332" s="1">
        <v>3</v>
      </c>
      <c r="AH332" s="1">
        <v>3</v>
      </c>
      <c r="AI332" s="1">
        <v>2</v>
      </c>
      <c r="AJ332" s="1">
        <v>2</v>
      </c>
      <c r="AK332" s="1">
        <v>3</v>
      </c>
      <c r="AL332" s="1">
        <v>3</v>
      </c>
      <c r="AM332" s="1">
        <v>3</v>
      </c>
      <c r="AN332" s="1">
        <v>2</v>
      </c>
      <c r="AO332" s="1">
        <v>3</v>
      </c>
      <c r="AP332" s="1">
        <v>4</v>
      </c>
      <c r="AQ332" s="1">
        <v>3</v>
      </c>
      <c r="AR332" s="1">
        <v>4</v>
      </c>
      <c r="AS332" s="1">
        <v>3</v>
      </c>
      <c r="AT332" s="1">
        <v>4</v>
      </c>
      <c r="AU332" s="1">
        <v>3</v>
      </c>
      <c r="AV332" s="1">
        <v>1</v>
      </c>
      <c r="AW332" s="1">
        <v>3</v>
      </c>
      <c r="AX332" s="1">
        <v>2</v>
      </c>
      <c r="AY332" s="1">
        <v>3</v>
      </c>
      <c r="AZ332" s="1">
        <v>3</v>
      </c>
      <c r="BA332" s="1">
        <v>3</v>
      </c>
      <c r="BB332" s="1">
        <v>2</v>
      </c>
      <c r="BC332" s="1">
        <v>4</v>
      </c>
    </row>
    <row r="333" spans="1:55">
      <c r="A333" s="1" t="s">
        <v>564</v>
      </c>
      <c r="B333" s="1" t="s">
        <v>489</v>
      </c>
      <c r="C333" s="1" t="s">
        <v>565</v>
      </c>
      <c r="D333" s="1">
        <v>4</v>
      </c>
      <c r="E333" s="1">
        <v>2</v>
      </c>
      <c r="F333" s="1">
        <v>2</v>
      </c>
      <c r="G333" s="1">
        <v>2</v>
      </c>
      <c r="H333" s="1">
        <v>4</v>
      </c>
      <c r="I333" s="1">
        <v>3</v>
      </c>
      <c r="J333" s="1">
        <v>4</v>
      </c>
      <c r="K333" s="1">
        <v>3</v>
      </c>
      <c r="L333" s="1">
        <v>3</v>
      </c>
      <c r="M333" s="1">
        <v>3</v>
      </c>
      <c r="N333" s="1">
        <v>4</v>
      </c>
      <c r="O333" s="1">
        <v>4</v>
      </c>
      <c r="P333" s="1">
        <v>3</v>
      </c>
      <c r="Q333" s="1">
        <v>2</v>
      </c>
      <c r="R333" s="1">
        <v>3</v>
      </c>
      <c r="S333" s="1">
        <v>1</v>
      </c>
      <c r="T333" s="1">
        <v>2</v>
      </c>
      <c r="U333" s="1">
        <v>3</v>
      </c>
      <c r="V333" s="1">
        <v>3</v>
      </c>
      <c r="W333" s="1">
        <v>3</v>
      </c>
      <c r="X333" s="1">
        <v>3</v>
      </c>
      <c r="Y333" s="1">
        <v>2</v>
      </c>
      <c r="Z333" s="1">
        <v>3</v>
      </c>
      <c r="AA333" s="1">
        <v>2</v>
      </c>
      <c r="AB333" s="1">
        <v>2</v>
      </c>
      <c r="AC333" s="1">
        <v>2</v>
      </c>
      <c r="AD333" s="1">
        <v>2</v>
      </c>
      <c r="AE333" s="1">
        <v>3</v>
      </c>
      <c r="AF333" s="1">
        <v>4</v>
      </c>
      <c r="AG333" s="1">
        <v>3</v>
      </c>
      <c r="AH333" s="1">
        <v>4</v>
      </c>
      <c r="AI333" s="1">
        <v>4</v>
      </c>
      <c r="AJ333" s="1">
        <v>4</v>
      </c>
      <c r="AK333" s="1">
        <v>3</v>
      </c>
      <c r="AL333" s="1">
        <v>3</v>
      </c>
      <c r="AM333" s="1">
        <v>3</v>
      </c>
      <c r="AN333" s="1">
        <v>4</v>
      </c>
      <c r="AO333" s="1">
        <v>4</v>
      </c>
      <c r="AP333" s="1">
        <v>3</v>
      </c>
      <c r="AQ333" s="1">
        <v>2</v>
      </c>
      <c r="AR333" s="1">
        <v>2</v>
      </c>
      <c r="AS333" s="1">
        <v>2</v>
      </c>
      <c r="AT333" s="1">
        <v>2</v>
      </c>
      <c r="AU333" s="1">
        <v>3</v>
      </c>
      <c r="AV333" s="1">
        <v>3</v>
      </c>
      <c r="AW333" s="1">
        <v>2</v>
      </c>
      <c r="AX333" s="1">
        <v>3</v>
      </c>
      <c r="AY333" s="1">
        <v>3</v>
      </c>
      <c r="AZ333" s="1">
        <v>2</v>
      </c>
      <c r="BA333" s="1">
        <v>3</v>
      </c>
      <c r="BB333" s="1">
        <v>3</v>
      </c>
      <c r="BC333" s="1">
        <v>2</v>
      </c>
    </row>
    <row r="334" spans="1:55">
      <c r="A334" s="1" t="s">
        <v>566</v>
      </c>
      <c r="B334" s="1" t="s">
        <v>489</v>
      </c>
      <c r="C334" s="1" t="s">
        <v>565</v>
      </c>
      <c r="D334" s="1">
        <v>2</v>
      </c>
      <c r="E334" s="1">
        <v>4</v>
      </c>
      <c r="F334" s="1">
        <v>2</v>
      </c>
      <c r="G334" s="1">
        <v>2</v>
      </c>
      <c r="H334" s="1">
        <v>2</v>
      </c>
      <c r="I334" s="1">
        <v>1</v>
      </c>
      <c r="J334" s="1">
        <v>3</v>
      </c>
      <c r="K334" s="1">
        <v>2</v>
      </c>
      <c r="L334" s="1">
        <v>3</v>
      </c>
      <c r="M334" s="1">
        <v>4</v>
      </c>
      <c r="N334" s="1">
        <v>2</v>
      </c>
      <c r="O334" s="1">
        <v>2</v>
      </c>
      <c r="P334" s="1">
        <v>3</v>
      </c>
      <c r="Q334" s="1">
        <v>3</v>
      </c>
      <c r="R334" s="1">
        <v>4</v>
      </c>
      <c r="S334" s="1">
        <v>4</v>
      </c>
      <c r="T334" s="1">
        <v>4</v>
      </c>
      <c r="U334" s="1">
        <v>4</v>
      </c>
      <c r="V334" s="1">
        <v>3</v>
      </c>
      <c r="W334" s="1">
        <v>3</v>
      </c>
      <c r="X334" s="1">
        <v>2</v>
      </c>
      <c r="Y334" s="1">
        <v>3</v>
      </c>
      <c r="Z334" s="1">
        <v>2</v>
      </c>
      <c r="AA334" s="1">
        <v>2</v>
      </c>
      <c r="AB334" s="1">
        <v>2</v>
      </c>
      <c r="AC334" s="1">
        <v>5</v>
      </c>
      <c r="AD334" s="1">
        <v>2</v>
      </c>
      <c r="AE334" s="1">
        <v>4</v>
      </c>
      <c r="AF334" s="1">
        <v>3</v>
      </c>
      <c r="AG334" s="1">
        <v>1</v>
      </c>
      <c r="AH334" s="1">
        <v>3</v>
      </c>
      <c r="AI334" s="1">
        <v>2</v>
      </c>
      <c r="AJ334" s="1">
        <v>2</v>
      </c>
      <c r="AK334" s="1">
        <v>3</v>
      </c>
      <c r="AL334" s="1">
        <v>2</v>
      </c>
      <c r="AM334" s="1">
        <v>4</v>
      </c>
      <c r="AN334" s="1">
        <v>3</v>
      </c>
      <c r="AO334" s="1">
        <v>3</v>
      </c>
      <c r="AP334" s="1">
        <v>3</v>
      </c>
      <c r="AQ334" s="1">
        <v>2</v>
      </c>
      <c r="AR334" s="1">
        <v>4</v>
      </c>
      <c r="AS334" s="1">
        <v>4</v>
      </c>
      <c r="AT334" s="1">
        <v>4</v>
      </c>
      <c r="AU334" s="1">
        <v>3</v>
      </c>
      <c r="AV334" s="1">
        <v>2</v>
      </c>
      <c r="AW334" s="1">
        <v>3</v>
      </c>
      <c r="AX334" s="1">
        <v>3</v>
      </c>
      <c r="AY334" s="1">
        <v>4</v>
      </c>
      <c r="AZ334" s="1">
        <v>2</v>
      </c>
      <c r="BA334" s="1">
        <v>1</v>
      </c>
      <c r="BB334" s="1">
        <v>2</v>
      </c>
      <c r="BC334" s="1">
        <v>4</v>
      </c>
    </row>
    <row r="335" spans="1:55">
      <c r="A335" s="1" t="s">
        <v>567</v>
      </c>
      <c r="B335" s="1" t="s">
        <v>489</v>
      </c>
      <c r="C335" s="1" t="s">
        <v>568</v>
      </c>
      <c r="D335" s="1">
        <v>3</v>
      </c>
      <c r="E335" s="1">
        <v>4</v>
      </c>
      <c r="F335" s="1">
        <v>2</v>
      </c>
      <c r="G335" s="1">
        <v>4</v>
      </c>
      <c r="H335" s="1">
        <v>3</v>
      </c>
      <c r="I335" s="1">
        <v>3</v>
      </c>
      <c r="J335" s="1">
        <v>3</v>
      </c>
      <c r="K335" s="1">
        <v>3</v>
      </c>
      <c r="L335" s="1">
        <v>1</v>
      </c>
      <c r="M335" s="1">
        <v>3</v>
      </c>
      <c r="N335" s="1">
        <v>3</v>
      </c>
      <c r="O335" s="1">
        <v>3</v>
      </c>
      <c r="P335" s="1">
        <v>2</v>
      </c>
      <c r="Q335" s="1">
        <v>2</v>
      </c>
      <c r="R335" s="1">
        <v>4</v>
      </c>
      <c r="S335" s="1">
        <v>2</v>
      </c>
      <c r="T335" s="1">
        <v>3</v>
      </c>
      <c r="U335" s="1">
        <v>3</v>
      </c>
      <c r="V335" s="1">
        <v>3</v>
      </c>
      <c r="W335" s="1">
        <v>3</v>
      </c>
      <c r="X335" s="1">
        <v>3</v>
      </c>
      <c r="Y335" s="1">
        <v>2</v>
      </c>
      <c r="Z335" s="1">
        <v>2</v>
      </c>
      <c r="AA335" s="1">
        <v>2</v>
      </c>
      <c r="AB335" s="1">
        <v>2</v>
      </c>
      <c r="AC335" s="1">
        <v>2</v>
      </c>
      <c r="AD335" s="1">
        <v>3</v>
      </c>
      <c r="AE335" s="1">
        <v>3</v>
      </c>
      <c r="AF335" s="1">
        <v>4</v>
      </c>
      <c r="AG335" s="1">
        <v>3</v>
      </c>
      <c r="AH335" s="1">
        <v>3</v>
      </c>
      <c r="AI335" s="1">
        <v>4</v>
      </c>
      <c r="AJ335" s="1">
        <v>2</v>
      </c>
      <c r="AK335" s="1">
        <v>1</v>
      </c>
      <c r="AL335" s="1">
        <v>2</v>
      </c>
      <c r="AM335" s="1">
        <v>3</v>
      </c>
      <c r="AN335" s="1">
        <v>3</v>
      </c>
      <c r="AO335" s="1">
        <v>2</v>
      </c>
      <c r="AP335" s="1">
        <v>2</v>
      </c>
      <c r="AQ335" s="1">
        <v>3</v>
      </c>
      <c r="AR335" s="1">
        <v>2</v>
      </c>
      <c r="AS335" s="1">
        <v>4</v>
      </c>
      <c r="AT335" s="1">
        <v>3</v>
      </c>
      <c r="AU335" s="1">
        <v>4</v>
      </c>
      <c r="AV335" s="1">
        <v>3</v>
      </c>
      <c r="AW335" s="1">
        <v>3</v>
      </c>
      <c r="AX335" s="1">
        <v>3</v>
      </c>
      <c r="AY335" s="1">
        <v>3</v>
      </c>
      <c r="AZ335" s="1">
        <v>3</v>
      </c>
      <c r="BA335" s="1">
        <v>3</v>
      </c>
      <c r="BB335" s="1">
        <v>3</v>
      </c>
      <c r="BC335" s="1">
        <v>3</v>
      </c>
    </row>
    <row r="336" spans="1:55">
      <c r="A336" s="1" t="s">
        <v>569</v>
      </c>
      <c r="B336" s="1" t="s">
        <v>489</v>
      </c>
      <c r="C336" s="1" t="s">
        <v>568</v>
      </c>
      <c r="D336" s="1">
        <v>3</v>
      </c>
      <c r="E336" s="1">
        <v>4</v>
      </c>
      <c r="F336" s="1">
        <v>2</v>
      </c>
      <c r="G336" s="1">
        <v>3</v>
      </c>
      <c r="H336" s="1">
        <v>3</v>
      </c>
      <c r="I336" s="1">
        <v>3</v>
      </c>
      <c r="J336" s="1">
        <v>2</v>
      </c>
      <c r="K336" s="1">
        <v>4</v>
      </c>
      <c r="L336" s="1">
        <v>3</v>
      </c>
      <c r="M336" s="1">
        <v>3</v>
      </c>
      <c r="N336" s="1">
        <v>3</v>
      </c>
      <c r="O336" s="1">
        <v>3</v>
      </c>
      <c r="P336" s="1">
        <v>4</v>
      </c>
      <c r="Q336" s="1">
        <v>3</v>
      </c>
      <c r="R336" s="1">
        <v>3</v>
      </c>
      <c r="S336" s="1">
        <v>2</v>
      </c>
      <c r="T336" s="1">
        <v>4</v>
      </c>
      <c r="U336" s="1">
        <v>3</v>
      </c>
      <c r="V336" s="1">
        <v>3</v>
      </c>
      <c r="W336" s="1">
        <v>2</v>
      </c>
      <c r="X336" s="1">
        <v>3</v>
      </c>
      <c r="Y336" s="1">
        <v>3</v>
      </c>
      <c r="Z336" s="1">
        <v>4</v>
      </c>
      <c r="AA336" s="1">
        <v>3</v>
      </c>
      <c r="AB336" s="1">
        <v>3</v>
      </c>
      <c r="AC336" s="1">
        <v>3</v>
      </c>
      <c r="AD336" s="1">
        <v>4</v>
      </c>
      <c r="AE336" s="1">
        <v>2</v>
      </c>
      <c r="AF336" s="1">
        <v>3</v>
      </c>
      <c r="AG336" s="1">
        <v>2</v>
      </c>
      <c r="AH336" s="1">
        <v>3</v>
      </c>
      <c r="AI336" s="1">
        <v>3</v>
      </c>
      <c r="AJ336" s="1">
        <v>4</v>
      </c>
      <c r="AK336" s="1">
        <v>4</v>
      </c>
      <c r="AL336" s="1">
        <v>3</v>
      </c>
      <c r="AM336" s="1">
        <v>3</v>
      </c>
      <c r="AN336" s="1">
        <v>3</v>
      </c>
      <c r="AO336" s="1">
        <v>3</v>
      </c>
      <c r="AP336" s="1">
        <v>3</v>
      </c>
      <c r="AQ336" s="1">
        <v>3</v>
      </c>
      <c r="AR336" s="1">
        <v>3</v>
      </c>
      <c r="AS336" s="1">
        <v>3</v>
      </c>
      <c r="AT336" s="1">
        <v>3</v>
      </c>
      <c r="AU336" s="1">
        <v>2</v>
      </c>
      <c r="AV336" s="1">
        <v>3</v>
      </c>
      <c r="AW336" s="1">
        <v>3</v>
      </c>
      <c r="AX336" s="1">
        <v>2</v>
      </c>
      <c r="AY336" s="1">
        <v>3</v>
      </c>
      <c r="AZ336" s="1">
        <v>2</v>
      </c>
      <c r="BA336" s="1">
        <v>4</v>
      </c>
      <c r="BB336" s="1">
        <v>3</v>
      </c>
      <c r="BC336" s="1">
        <v>2</v>
      </c>
    </row>
    <row r="337" spans="1:55">
      <c r="A337" s="1" t="s">
        <v>570</v>
      </c>
      <c r="B337" s="1" t="s">
        <v>489</v>
      </c>
      <c r="C337" s="1" t="s">
        <v>571</v>
      </c>
      <c r="D337" s="1">
        <v>3</v>
      </c>
      <c r="E337" s="1">
        <v>3</v>
      </c>
      <c r="F337" s="1">
        <v>3</v>
      </c>
      <c r="G337" s="1">
        <v>4</v>
      </c>
      <c r="H337" s="1">
        <v>3</v>
      </c>
      <c r="I337" s="1">
        <v>2</v>
      </c>
      <c r="J337" s="1">
        <v>3</v>
      </c>
      <c r="K337" s="1">
        <v>4</v>
      </c>
      <c r="L337" s="1">
        <v>3</v>
      </c>
      <c r="M337" s="1">
        <v>3</v>
      </c>
      <c r="N337" s="1">
        <v>2</v>
      </c>
      <c r="O337" s="1">
        <v>3</v>
      </c>
      <c r="P337" s="1">
        <v>2</v>
      </c>
      <c r="Q337" s="1">
        <v>3</v>
      </c>
      <c r="R337" s="1">
        <v>2</v>
      </c>
      <c r="S337" s="1">
        <v>3</v>
      </c>
      <c r="T337" s="1">
        <v>3</v>
      </c>
      <c r="U337" s="1">
        <v>3</v>
      </c>
      <c r="V337" s="1">
        <v>3</v>
      </c>
      <c r="W337" s="1">
        <v>2</v>
      </c>
      <c r="X337" s="1">
        <v>3</v>
      </c>
      <c r="Y337" s="1">
        <v>2</v>
      </c>
      <c r="Z337" s="1">
        <v>2</v>
      </c>
      <c r="AA337" s="1">
        <v>3</v>
      </c>
      <c r="AB337" s="1">
        <v>3</v>
      </c>
      <c r="AC337" s="1">
        <v>2</v>
      </c>
      <c r="AD337" s="1">
        <v>3</v>
      </c>
      <c r="AE337" s="1">
        <v>3</v>
      </c>
      <c r="AF337" s="1">
        <v>3</v>
      </c>
      <c r="AG337" s="1">
        <v>3</v>
      </c>
      <c r="AH337" s="1">
        <v>3</v>
      </c>
      <c r="AI337" s="1">
        <v>3</v>
      </c>
      <c r="AJ337" s="1">
        <v>2</v>
      </c>
      <c r="AK337" s="1">
        <v>3</v>
      </c>
      <c r="AL337" s="1">
        <v>2</v>
      </c>
      <c r="AM337" s="1">
        <v>2</v>
      </c>
      <c r="AN337" s="1">
        <v>3</v>
      </c>
      <c r="AO337" s="1">
        <v>3</v>
      </c>
      <c r="AP337" s="1">
        <v>3</v>
      </c>
      <c r="AQ337" s="1">
        <v>3</v>
      </c>
      <c r="AR337" s="1">
        <v>3</v>
      </c>
      <c r="AS337" s="1">
        <v>3</v>
      </c>
      <c r="AT337" s="1">
        <v>3</v>
      </c>
      <c r="AU337" s="1">
        <v>3</v>
      </c>
      <c r="AV337" s="1">
        <v>3</v>
      </c>
      <c r="AW337" s="1">
        <v>2</v>
      </c>
      <c r="AX337" s="1">
        <v>2</v>
      </c>
      <c r="AY337" s="1">
        <v>2</v>
      </c>
      <c r="AZ337" s="1">
        <v>3</v>
      </c>
      <c r="BA337" s="1">
        <v>3</v>
      </c>
      <c r="BB337" s="1">
        <v>4</v>
      </c>
      <c r="BC337" s="1">
        <v>3</v>
      </c>
    </row>
    <row r="338" spans="1:55">
      <c r="A338" s="1" t="s">
        <v>572</v>
      </c>
      <c r="B338" s="1" t="s">
        <v>489</v>
      </c>
      <c r="C338" s="1" t="s">
        <v>571</v>
      </c>
      <c r="D338" s="1">
        <v>3</v>
      </c>
      <c r="E338" s="1">
        <v>3</v>
      </c>
      <c r="F338" s="1">
        <v>3</v>
      </c>
      <c r="G338" s="1">
        <v>3</v>
      </c>
      <c r="H338" s="1">
        <v>2</v>
      </c>
      <c r="I338" s="1">
        <v>2</v>
      </c>
      <c r="J338" s="1">
        <v>2</v>
      </c>
      <c r="K338" s="1">
        <v>4</v>
      </c>
      <c r="L338" s="1">
        <v>4</v>
      </c>
      <c r="M338" s="1">
        <v>3</v>
      </c>
      <c r="N338" s="1">
        <v>2</v>
      </c>
      <c r="O338" s="1">
        <v>4</v>
      </c>
      <c r="P338" s="1">
        <v>5</v>
      </c>
      <c r="Q338" s="1">
        <v>5</v>
      </c>
      <c r="R338" s="1">
        <v>4</v>
      </c>
      <c r="S338" s="1">
        <v>3</v>
      </c>
      <c r="T338" s="1">
        <v>3</v>
      </c>
      <c r="U338" s="1">
        <v>3</v>
      </c>
      <c r="V338" s="1">
        <v>2</v>
      </c>
      <c r="W338" s="1">
        <v>3</v>
      </c>
      <c r="X338" s="1">
        <v>3</v>
      </c>
      <c r="Y338" s="1">
        <v>2</v>
      </c>
      <c r="Z338" s="1">
        <v>4</v>
      </c>
      <c r="AA338" s="1">
        <v>4</v>
      </c>
      <c r="AB338" s="1">
        <v>4</v>
      </c>
      <c r="AC338" s="1">
        <v>3</v>
      </c>
      <c r="AD338" s="1">
        <v>3</v>
      </c>
      <c r="AE338" s="1">
        <v>4</v>
      </c>
      <c r="AF338" s="1">
        <v>3</v>
      </c>
      <c r="AG338" s="1">
        <v>2</v>
      </c>
      <c r="AH338" s="1">
        <v>3</v>
      </c>
      <c r="AI338" s="1">
        <v>2</v>
      </c>
      <c r="AJ338" s="1">
        <v>4</v>
      </c>
      <c r="AK338" s="1">
        <v>4</v>
      </c>
      <c r="AL338" s="1">
        <v>5</v>
      </c>
      <c r="AM338" s="1">
        <v>3</v>
      </c>
      <c r="AN338" s="1">
        <v>2</v>
      </c>
      <c r="AO338" s="1">
        <v>5</v>
      </c>
      <c r="AP338" s="1">
        <v>5</v>
      </c>
      <c r="AQ338" s="1">
        <v>4</v>
      </c>
      <c r="AR338" s="1">
        <v>3</v>
      </c>
      <c r="AS338" s="1">
        <v>4</v>
      </c>
      <c r="AT338" s="1">
        <v>3</v>
      </c>
      <c r="AU338" s="1">
        <v>4</v>
      </c>
      <c r="AV338" s="1">
        <v>3</v>
      </c>
      <c r="AW338" s="1">
        <v>3</v>
      </c>
      <c r="AX338" s="1">
        <v>4</v>
      </c>
      <c r="AY338" s="1">
        <v>3</v>
      </c>
      <c r="AZ338" s="1">
        <v>4</v>
      </c>
      <c r="BA338" s="1">
        <v>5</v>
      </c>
      <c r="BB338" s="1">
        <v>4</v>
      </c>
      <c r="BC338" s="1">
        <v>2</v>
      </c>
    </row>
    <row r="339" spans="1:55">
      <c r="A339" s="1" t="s">
        <v>573</v>
      </c>
      <c r="B339" s="1" t="s">
        <v>489</v>
      </c>
      <c r="C339" s="1" t="s">
        <v>574</v>
      </c>
      <c r="D339" s="1">
        <v>2</v>
      </c>
      <c r="E339" s="1">
        <v>3</v>
      </c>
      <c r="F339" s="1">
        <v>3</v>
      </c>
      <c r="G339" s="1">
        <v>3</v>
      </c>
      <c r="H339" s="1">
        <v>2</v>
      </c>
      <c r="I339" s="1">
        <v>2</v>
      </c>
      <c r="J339" s="1">
        <v>1</v>
      </c>
      <c r="K339" s="1">
        <v>3</v>
      </c>
      <c r="L339" s="1">
        <v>4</v>
      </c>
      <c r="M339" s="1">
        <v>4</v>
      </c>
      <c r="N339" s="1">
        <v>1</v>
      </c>
      <c r="O339" s="1">
        <v>3</v>
      </c>
      <c r="P339" s="1">
        <v>2</v>
      </c>
      <c r="Q339" s="1">
        <v>2</v>
      </c>
      <c r="R339" s="1">
        <v>3</v>
      </c>
      <c r="S339" s="1">
        <v>3</v>
      </c>
      <c r="T339" s="1">
        <v>2</v>
      </c>
      <c r="U339" s="1">
        <v>3</v>
      </c>
      <c r="V339" s="1">
        <v>2</v>
      </c>
      <c r="W339" s="1">
        <v>3</v>
      </c>
      <c r="X339" s="1">
        <v>2</v>
      </c>
      <c r="Y339" s="1">
        <v>3</v>
      </c>
      <c r="Z339" s="1">
        <v>3</v>
      </c>
      <c r="AA339" s="1">
        <v>3</v>
      </c>
      <c r="AB339" s="1">
        <v>4</v>
      </c>
      <c r="AC339" s="1">
        <v>3</v>
      </c>
      <c r="AD339" s="1">
        <v>3</v>
      </c>
      <c r="AE339" s="1">
        <v>3</v>
      </c>
      <c r="AF339" s="1">
        <v>3</v>
      </c>
      <c r="AG339" s="1">
        <v>3</v>
      </c>
      <c r="AH339" s="1">
        <v>3</v>
      </c>
      <c r="AI339" s="1">
        <v>3</v>
      </c>
      <c r="AJ339" s="1">
        <v>3</v>
      </c>
      <c r="AK339" s="1">
        <v>3</v>
      </c>
      <c r="AL339" s="1">
        <v>4</v>
      </c>
      <c r="AM339" s="1">
        <v>3</v>
      </c>
      <c r="AN339" s="1">
        <v>3</v>
      </c>
      <c r="AO339" s="1">
        <v>3</v>
      </c>
      <c r="AP339" s="1">
        <v>4</v>
      </c>
      <c r="AQ339" s="1">
        <v>4</v>
      </c>
      <c r="AR339" s="1">
        <v>3</v>
      </c>
      <c r="AS339" s="1">
        <v>3</v>
      </c>
      <c r="AT339" s="1">
        <v>3</v>
      </c>
      <c r="AU339" s="1">
        <v>3</v>
      </c>
      <c r="AV339" s="1">
        <v>2</v>
      </c>
      <c r="AW339" s="1">
        <v>2</v>
      </c>
      <c r="AX339" s="1">
        <v>2</v>
      </c>
      <c r="AY339" s="1">
        <v>3</v>
      </c>
      <c r="AZ339" s="1">
        <v>4</v>
      </c>
      <c r="BA339" s="1">
        <v>4</v>
      </c>
      <c r="BB339" s="1">
        <v>4</v>
      </c>
      <c r="BC339" s="1">
        <v>3</v>
      </c>
    </row>
    <row r="340" spans="1:55">
      <c r="A340" s="1" t="s">
        <v>575</v>
      </c>
      <c r="B340" s="1" t="s">
        <v>489</v>
      </c>
      <c r="C340" s="1" t="s">
        <v>574</v>
      </c>
      <c r="D340" s="1">
        <v>4</v>
      </c>
      <c r="E340" s="1">
        <v>3</v>
      </c>
      <c r="F340" s="1">
        <v>3</v>
      </c>
      <c r="G340" s="1">
        <v>3</v>
      </c>
      <c r="H340" s="1">
        <v>3</v>
      </c>
      <c r="I340" s="1">
        <v>3</v>
      </c>
      <c r="J340" s="1">
        <v>2</v>
      </c>
      <c r="K340" s="1">
        <v>4</v>
      </c>
      <c r="L340" s="1">
        <v>5</v>
      </c>
      <c r="M340" s="1">
        <v>4</v>
      </c>
      <c r="N340" s="1">
        <v>2</v>
      </c>
      <c r="O340" s="1">
        <v>3</v>
      </c>
      <c r="P340" s="1">
        <v>4</v>
      </c>
      <c r="Q340" s="1">
        <v>4</v>
      </c>
      <c r="R340" s="1">
        <v>3</v>
      </c>
      <c r="S340" s="1">
        <v>4</v>
      </c>
      <c r="T340" s="1">
        <v>3</v>
      </c>
      <c r="U340" s="1">
        <v>3</v>
      </c>
      <c r="V340" s="1">
        <v>1</v>
      </c>
      <c r="W340" s="1">
        <v>3</v>
      </c>
      <c r="X340" s="1">
        <v>3</v>
      </c>
      <c r="Y340" s="1">
        <v>4</v>
      </c>
      <c r="Z340" s="1">
        <v>5</v>
      </c>
      <c r="AA340" s="1">
        <v>5</v>
      </c>
      <c r="AB340" s="1">
        <v>3</v>
      </c>
      <c r="AC340" s="1">
        <v>5</v>
      </c>
      <c r="AD340" s="1">
        <v>2</v>
      </c>
      <c r="AE340" s="1">
        <v>3</v>
      </c>
      <c r="AF340" s="1">
        <v>3</v>
      </c>
      <c r="AG340" s="1">
        <v>3</v>
      </c>
      <c r="AH340" s="1">
        <v>2</v>
      </c>
      <c r="AI340" s="1">
        <v>1</v>
      </c>
      <c r="AJ340" s="1">
        <v>2</v>
      </c>
      <c r="AK340" s="1">
        <v>4</v>
      </c>
      <c r="AL340" s="1">
        <v>5</v>
      </c>
      <c r="AM340" s="1">
        <v>2</v>
      </c>
      <c r="AN340" s="1">
        <v>2</v>
      </c>
      <c r="AO340" s="1">
        <v>4</v>
      </c>
      <c r="AP340" s="1">
        <v>5</v>
      </c>
      <c r="AQ340" s="1">
        <v>5</v>
      </c>
      <c r="AR340" s="1">
        <v>3</v>
      </c>
      <c r="AS340" s="1">
        <v>3</v>
      </c>
      <c r="AT340" s="1">
        <v>4</v>
      </c>
      <c r="AU340" s="1">
        <v>3</v>
      </c>
      <c r="AV340" s="1">
        <v>2</v>
      </c>
      <c r="AW340" s="1">
        <v>4</v>
      </c>
      <c r="AX340" s="1">
        <v>4</v>
      </c>
      <c r="AY340" s="1">
        <v>4</v>
      </c>
      <c r="AZ340" s="1">
        <v>4</v>
      </c>
      <c r="BA340" s="1">
        <v>5</v>
      </c>
      <c r="BB340" s="1">
        <v>5</v>
      </c>
      <c r="BC340" s="1">
        <v>5</v>
      </c>
    </row>
    <row r="341" spans="1:55">
      <c r="A341" s="1" t="s">
        <v>576</v>
      </c>
      <c r="B341" s="1" t="s">
        <v>489</v>
      </c>
      <c r="C341" s="1" t="s">
        <v>577</v>
      </c>
      <c r="D341" s="1">
        <v>4</v>
      </c>
      <c r="E341" s="1">
        <v>5</v>
      </c>
      <c r="F341" s="1">
        <v>2</v>
      </c>
      <c r="G341" s="1">
        <v>2</v>
      </c>
      <c r="H341" s="1">
        <v>3</v>
      </c>
      <c r="I341" s="1">
        <v>3</v>
      </c>
      <c r="J341" s="1">
        <v>4</v>
      </c>
      <c r="K341" s="1">
        <v>3</v>
      </c>
      <c r="L341" s="1">
        <v>3</v>
      </c>
      <c r="M341" s="1">
        <v>4</v>
      </c>
      <c r="N341" s="1">
        <v>3</v>
      </c>
      <c r="O341" s="1">
        <v>4</v>
      </c>
      <c r="P341" s="1">
        <v>4</v>
      </c>
      <c r="Q341" s="1">
        <v>4</v>
      </c>
      <c r="R341" s="1">
        <v>3</v>
      </c>
      <c r="S341" s="1">
        <v>4</v>
      </c>
      <c r="T341" s="1">
        <v>5</v>
      </c>
      <c r="U341" s="1">
        <v>5</v>
      </c>
      <c r="V341" s="1">
        <v>2</v>
      </c>
      <c r="W341" s="1">
        <v>3</v>
      </c>
      <c r="X341" s="1">
        <v>3</v>
      </c>
      <c r="Y341" s="1">
        <v>3</v>
      </c>
      <c r="Z341" s="1">
        <v>3</v>
      </c>
      <c r="AA341" s="1">
        <v>3</v>
      </c>
      <c r="AB341" s="1">
        <v>3</v>
      </c>
      <c r="AC341" s="1">
        <v>3</v>
      </c>
      <c r="AD341" s="1">
        <v>3</v>
      </c>
      <c r="AE341" s="1">
        <v>4</v>
      </c>
      <c r="AF341" s="1">
        <v>2</v>
      </c>
      <c r="AG341" s="1">
        <v>2</v>
      </c>
      <c r="AH341" s="1">
        <v>3</v>
      </c>
      <c r="AI341" s="1">
        <v>4</v>
      </c>
      <c r="AJ341" s="1">
        <v>3</v>
      </c>
      <c r="AK341" s="1">
        <v>3</v>
      </c>
      <c r="AL341" s="1">
        <v>3</v>
      </c>
      <c r="AM341" s="1">
        <v>5</v>
      </c>
      <c r="AN341" s="1">
        <v>3</v>
      </c>
      <c r="AO341" s="1">
        <v>4</v>
      </c>
      <c r="AP341" s="1">
        <v>3</v>
      </c>
      <c r="AQ341" s="1">
        <v>3</v>
      </c>
      <c r="AR341" s="1">
        <v>4</v>
      </c>
      <c r="AS341" s="1">
        <v>4</v>
      </c>
      <c r="AT341" s="1">
        <v>4</v>
      </c>
      <c r="AU341" s="1">
        <v>4</v>
      </c>
      <c r="AV341" s="1">
        <v>4</v>
      </c>
      <c r="AW341" s="1">
        <v>2</v>
      </c>
      <c r="AX341" s="1">
        <v>3</v>
      </c>
      <c r="AY341" s="1">
        <v>3</v>
      </c>
      <c r="AZ341" s="1">
        <v>3</v>
      </c>
      <c r="BA341" s="1">
        <v>4</v>
      </c>
      <c r="BB341" s="1">
        <v>3</v>
      </c>
      <c r="BC341" s="1">
        <v>3</v>
      </c>
    </row>
    <row r="342" spans="1:55">
      <c r="A342" s="1" t="s">
        <v>578</v>
      </c>
      <c r="B342" s="1" t="s">
        <v>489</v>
      </c>
      <c r="C342" s="1" t="s">
        <v>577</v>
      </c>
      <c r="D342" s="1">
        <v>2</v>
      </c>
      <c r="E342" s="1">
        <v>3</v>
      </c>
      <c r="F342" s="1">
        <v>3</v>
      </c>
      <c r="G342" s="1">
        <v>3</v>
      </c>
      <c r="H342" s="1">
        <v>2</v>
      </c>
      <c r="I342" s="1">
        <v>3</v>
      </c>
      <c r="J342" s="1">
        <v>3</v>
      </c>
      <c r="K342" s="1">
        <v>3</v>
      </c>
      <c r="L342" s="1">
        <v>3</v>
      </c>
      <c r="M342" s="1">
        <v>3</v>
      </c>
      <c r="N342" s="1">
        <v>3</v>
      </c>
      <c r="O342" s="1">
        <v>2</v>
      </c>
      <c r="P342" s="1">
        <v>2</v>
      </c>
      <c r="Q342" s="1">
        <v>2</v>
      </c>
      <c r="R342" s="1">
        <v>4</v>
      </c>
      <c r="S342" s="1">
        <v>3</v>
      </c>
      <c r="T342" s="1">
        <v>4</v>
      </c>
      <c r="U342" s="1">
        <v>4</v>
      </c>
      <c r="V342" s="1">
        <v>2</v>
      </c>
      <c r="W342" s="1">
        <v>2</v>
      </c>
      <c r="X342" s="1">
        <v>3</v>
      </c>
      <c r="Y342" s="1">
        <v>3</v>
      </c>
      <c r="Z342" s="1">
        <v>3</v>
      </c>
      <c r="AA342" s="1">
        <v>2</v>
      </c>
      <c r="AB342" s="1">
        <v>1</v>
      </c>
      <c r="AC342" s="1">
        <v>3</v>
      </c>
      <c r="AD342" s="1">
        <v>2</v>
      </c>
      <c r="AE342" s="1">
        <v>3</v>
      </c>
      <c r="AF342" s="1">
        <v>3</v>
      </c>
      <c r="AG342" s="1">
        <v>3</v>
      </c>
      <c r="AH342" s="1">
        <v>3</v>
      </c>
      <c r="AI342" s="1">
        <v>4</v>
      </c>
      <c r="AJ342" s="1">
        <v>2</v>
      </c>
      <c r="AK342" s="1">
        <v>2</v>
      </c>
      <c r="AL342" s="1">
        <v>3</v>
      </c>
      <c r="AM342" s="1">
        <v>3</v>
      </c>
      <c r="AN342" s="1">
        <v>2</v>
      </c>
      <c r="AO342" s="1">
        <v>1</v>
      </c>
      <c r="AP342" s="1">
        <v>2</v>
      </c>
      <c r="AQ342" s="1">
        <v>2</v>
      </c>
      <c r="AR342" s="1">
        <v>2</v>
      </c>
      <c r="AS342" s="1">
        <v>3</v>
      </c>
      <c r="AT342" s="1">
        <v>3</v>
      </c>
      <c r="AU342" s="1">
        <v>4</v>
      </c>
      <c r="AV342" s="1">
        <v>3</v>
      </c>
      <c r="AW342" s="1">
        <v>2</v>
      </c>
      <c r="AX342" s="1">
        <v>3</v>
      </c>
      <c r="AY342" s="1">
        <v>2</v>
      </c>
      <c r="AZ342" s="1">
        <v>2</v>
      </c>
      <c r="BA342" s="1">
        <v>2</v>
      </c>
      <c r="BB342" s="1">
        <v>2</v>
      </c>
      <c r="BC342" s="1">
        <v>4</v>
      </c>
    </row>
    <row r="343" spans="1:55">
      <c r="A343" s="1" t="s">
        <v>579</v>
      </c>
      <c r="B343" s="1" t="s">
        <v>489</v>
      </c>
      <c r="C343" s="1" t="s">
        <v>580</v>
      </c>
      <c r="D343" s="1">
        <v>3</v>
      </c>
      <c r="E343" s="1">
        <v>3</v>
      </c>
      <c r="F343" s="1">
        <v>3</v>
      </c>
      <c r="G343" s="1">
        <v>2</v>
      </c>
      <c r="H343" s="1">
        <v>4</v>
      </c>
      <c r="I343" s="1">
        <v>4</v>
      </c>
      <c r="J343" s="1">
        <v>3</v>
      </c>
      <c r="K343" s="1">
        <v>2</v>
      </c>
      <c r="L343" s="1">
        <v>2</v>
      </c>
      <c r="M343" s="1">
        <v>4</v>
      </c>
      <c r="N343" s="1">
        <v>4</v>
      </c>
      <c r="O343" s="1">
        <v>3</v>
      </c>
      <c r="P343" s="1">
        <v>2</v>
      </c>
      <c r="Q343" s="1">
        <v>3</v>
      </c>
      <c r="R343" s="1">
        <v>4</v>
      </c>
      <c r="S343" s="1">
        <v>3</v>
      </c>
      <c r="T343" s="1">
        <v>3</v>
      </c>
      <c r="U343" s="1">
        <v>4</v>
      </c>
      <c r="V343" s="1">
        <v>4</v>
      </c>
      <c r="W343" s="1">
        <v>3</v>
      </c>
      <c r="X343" s="1">
        <v>2</v>
      </c>
      <c r="Y343" s="1">
        <v>3</v>
      </c>
      <c r="Z343" s="1">
        <v>3</v>
      </c>
      <c r="AA343" s="1">
        <v>2</v>
      </c>
      <c r="AB343" s="1">
        <v>2</v>
      </c>
      <c r="AC343" s="1">
        <v>3</v>
      </c>
      <c r="AD343" s="1">
        <v>2</v>
      </c>
      <c r="AE343" s="1">
        <v>2</v>
      </c>
      <c r="AF343" s="1">
        <v>2</v>
      </c>
      <c r="AG343" s="1">
        <v>1</v>
      </c>
      <c r="AH343" s="1">
        <v>3</v>
      </c>
      <c r="AI343" s="1">
        <v>4</v>
      </c>
      <c r="AJ343" s="1">
        <v>3</v>
      </c>
      <c r="AK343" s="1">
        <v>2</v>
      </c>
      <c r="AL343" s="1">
        <v>3</v>
      </c>
      <c r="AM343" s="1">
        <v>5</v>
      </c>
      <c r="AN343" s="1">
        <v>4</v>
      </c>
      <c r="AO343" s="1">
        <v>2</v>
      </c>
      <c r="AP343" s="1">
        <v>3</v>
      </c>
      <c r="AQ343" s="1">
        <v>1</v>
      </c>
      <c r="AR343" s="1">
        <v>4</v>
      </c>
      <c r="AS343" s="1">
        <v>3</v>
      </c>
      <c r="AT343" s="1">
        <v>4</v>
      </c>
      <c r="AU343" s="1">
        <v>5</v>
      </c>
      <c r="AV343" s="1">
        <v>2</v>
      </c>
      <c r="AW343" s="1">
        <v>3</v>
      </c>
      <c r="AX343" s="1">
        <v>4</v>
      </c>
      <c r="AY343" s="1">
        <v>3</v>
      </c>
      <c r="AZ343" s="1">
        <v>2</v>
      </c>
      <c r="BA343" s="1">
        <v>2</v>
      </c>
      <c r="BB343" s="1">
        <v>2</v>
      </c>
      <c r="BC343" s="1">
        <v>3</v>
      </c>
    </row>
    <row r="344" spans="1:55">
      <c r="A344" s="1" t="s">
        <v>581</v>
      </c>
      <c r="B344" s="1" t="s">
        <v>489</v>
      </c>
      <c r="C344" s="1" t="s">
        <v>580</v>
      </c>
      <c r="D344" s="1">
        <v>2</v>
      </c>
      <c r="E344" s="1">
        <v>4</v>
      </c>
      <c r="F344" s="1">
        <v>2</v>
      </c>
      <c r="G344" s="1">
        <v>2</v>
      </c>
      <c r="H344" s="1">
        <v>1</v>
      </c>
      <c r="I344" s="1">
        <v>3</v>
      </c>
      <c r="J344" s="1">
        <v>3</v>
      </c>
      <c r="K344" s="1">
        <v>2</v>
      </c>
      <c r="L344" s="1">
        <v>2</v>
      </c>
      <c r="M344" s="1">
        <v>3</v>
      </c>
      <c r="N344" s="1">
        <v>2</v>
      </c>
      <c r="O344" s="1">
        <v>2</v>
      </c>
      <c r="P344" s="1">
        <v>2</v>
      </c>
      <c r="Q344" s="1">
        <v>3</v>
      </c>
      <c r="R344" s="1">
        <v>4</v>
      </c>
      <c r="S344" s="1">
        <v>3</v>
      </c>
      <c r="T344" s="1">
        <v>3</v>
      </c>
      <c r="U344" s="1">
        <v>4</v>
      </c>
      <c r="V344" s="1">
        <v>2</v>
      </c>
      <c r="W344" s="1">
        <v>2</v>
      </c>
      <c r="X344" s="1">
        <v>3</v>
      </c>
      <c r="Y344" s="1">
        <v>4</v>
      </c>
      <c r="Z344" s="1">
        <v>2</v>
      </c>
      <c r="AA344" s="1">
        <v>2</v>
      </c>
      <c r="AB344" s="1">
        <v>3</v>
      </c>
      <c r="AC344" s="1">
        <v>3</v>
      </c>
      <c r="AD344" s="1">
        <v>2</v>
      </c>
      <c r="AE344" s="1">
        <v>3</v>
      </c>
      <c r="AF344" s="1">
        <v>3</v>
      </c>
      <c r="AG344" s="1">
        <v>3</v>
      </c>
      <c r="AH344" s="1">
        <v>3</v>
      </c>
      <c r="AI344" s="1">
        <v>2</v>
      </c>
      <c r="AJ344" s="1">
        <v>3</v>
      </c>
      <c r="AK344" s="1">
        <v>2</v>
      </c>
      <c r="AL344" s="1">
        <v>1</v>
      </c>
      <c r="AM344" s="1">
        <v>3</v>
      </c>
      <c r="AN344" s="1">
        <v>2</v>
      </c>
      <c r="AO344" s="1">
        <v>2</v>
      </c>
      <c r="AP344" s="1">
        <v>1</v>
      </c>
      <c r="AQ344" s="1">
        <v>3</v>
      </c>
      <c r="AR344" s="1">
        <v>3</v>
      </c>
      <c r="AS344" s="1">
        <v>3</v>
      </c>
      <c r="AT344" s="1">
        <v>4</v>
      </c>
      <c r="AU344" s="1">
        <v>3</v>
      </c>
      <c r="AV344" s="1">
        <v>3</v>
      </c>
      <c r="AW344" s="1">
        <v>2</v>
      </c>
      <c r="AX344" s="1">
        <v>2</v>
      </c>
      <c r="AY344" s="1">
        <v>3</v>
      </c>
      <c r="AZ344" s="1">
        <v>1</v>
      </c>
      <c r="BA344" s="1">
        <v>2</v>
      </c>
      <c r="BB344" s="1">
        <v>2</v>
      </c>
      <c r="BC344" s="1">
        <v>3</v>
      </c>
    </row>
    <row r="345" spans="1:55">
      <c r="A345" s="1" t="s">
        <v>582</v>
      </c>
      <c r="B345" s="1" t="s">
        <v>489</v>
      </c>
      <c r="C345" s="1" t="s">
        <v>583</v>
      </c>
      <c r="D345" s="1">
        <v>3</v>
      </c>
      <c r="E345" s="1">
        <v>5</v>
      </c>
      <c r="F345" s="1">
        <v>2</v>
      </c>
      <c r="G345" s="1">
        <v>3</v>
      </c>
      <c r="H345" s="1">
        <v>4</v>
      </c>
      <c r="I345" s="1">
        <v>3</v>
      </c>
      <c r="J345" s="1">
        <v>3</v>
      </c>
      <c r="K345" s="1">
        <v>3</v>
      </c>
      <c r="L345" s="1">
        <v>4</v>
      </c>
      <c r="M345" s="1">
        <v>3</v>
      </c>
      <c r="N345" s="1">
        <v>3</v>
      </c>
      <c r="O345" s="1">
        <v>2</v>
      </c>
      <c r="P345" s="1">
        <v>2</v>
      </c>
      <c r="Q345" s="1">
        <v>3</v>
      </c>
      <c r="R345" s="1">
        <v>3</v>
      </c>
      <c r="S345" s="1">
        <v>3</v>
      </c>
      <c r="T345" s="1">
        <v>4</v>
      </c>
      <c r="U345" s="1">
        <v>3</v>
      </c>
      <c r="V345" s="1">
        <v>3</v>
      </c>
      <c r="W345" s="1">
        <v>2</v>
      </c>
      <c r="X345" s="1">
        <v>1</v>
      </c>
      <c r="Y345" s="1">
        <v>2</v>
      </c>
      <c r="Z345" s="1">
        <v>2</v>
      </c>
      <c r="AA345" s="1">
        <v>3</v>
      </c>
      <c r="AB345" s="1">
        <v>3</v>
      </c>
      <c r="AC345" s="1">
        <v>3</v>
      </c>
      <c r="AD345" s="1">
        <v>3</v>
      </c>
      <c r="AE345" s="1">
        <v>3</v>
      </c>
      <c r="AF345" s="1">
        <v>3</v>
      </c>
      <c r="AG345" s="1">
        <v>1</v>
      </c>
      <c r="AH345" s="1">
        <v>3</v>
      </c>
      <c r="AI345" s="1">
        <v>3</v>
      </c>
      <c r="AJ345" s="1">
        <v>4</v>
      </c>
      <c r="AK345" s="1">
        <v>2</v>
      </c>
      <c r="AL345" s="1">
        <v>2</v>
      </c>
      <c r="AM345" s="1">
        <v>4</v>
      </c>
      <c r="AN345" s="1">
        <v>3</v>
      </c>
      <c r="AO345" s="1">
        <v>2</v>
      </c>
      <c r="AP345" s="1">
        <v>2</v>
      </c>
      <c r="AQ345" s="1">
        <v>2</v>
      </c>
      <c r="AR345" s="1">
        <v>4</v>
      </c>
      <c r="AS345" s="1">
        <v>3</v>
      </c>
      <c r="AT345" s="1">
        <v>4</v>
      </c>
      <c r="AU345" s="1">
        <v>4</v>
      </c>
      <c r="AV345" s="1">
        <v>3</v>
      </c>
      <c r="AW345" s="1">
        <v>2</v>
      </c>
      <c r="AX345" s="1">
        <v>2</v>
      </c>
      <c r="AY345" s="1">
        <v>2</v>
      </c>
      <c r="AZ345" s="1">
        <v>2</v>
      </c>
      <c r="BA345" s="1">
        <v>3</v>
      </c>
      <c r="BB345" s="1">
        <v>3</v>
      </c>
      <c r="BC345" s="1">
        <v>2</v>
      </c>
    </row>
    <row r="346" spans="1:55">
      <c r="A346" s="1" t="s">
        <v>584</v>
      </c>
      <c r="B346" s="1" t="s">
        <v>489</v>
      </c>
      <c r="C346" s="1" t="s">
        <v>583</v>
      </c>
      <c r="D346" s="1">
        <v>2</v>
      </c>
      <c r="E346" s="1">
        <v>3</v>
      </c>
      <c r="F346" s="1">
        <v>3</v>
      </c>
      <c r="G346" s="1">
        <v>3</v>
      </c>
      <c r="H346" s="1">
        <v>3</v>
      </c>
      <c r="I346" s="1">
        <v>4</v>
      </c>
      <c r="J346" s="1">
        <v>4</v>
      </c>
      <c r="K346" s="1">
        <v>3</v>
      </c>
      <c r="L346" s="1">
        <v>4</v>
      </c>
      <c r="M346" s="1">
        <v>2</v>
      </c>
      <c r="N346" s="1">
        <v>4</v>
      </c>
      <c r="O346" s="1">
        <v>3</v>
      </c>
      <c r="P346" s="1">
        <v>3</v>
      </c>
      <c r="Q346" s="1">
        <v>3</v>
      </c>
      <c r="R346" s="1">
        <v>4</v>
      </c>
      <c r="S346" s="1">
        <v>4</v>
      </c>
      <c r="T346" s="1">
        <v>2</v>
      </c>
      <c r="U346" s="1">
        <v>3</v>
      </c>
      <c r="V346" s="1">
        <v>2</v>
      </c>
      <c r="W346" s="1">
        <v>2</v>
      </c>
      <c r="X346" s="1">
        <v>2</v>
      </c>
      <c r="Y346" s="1">
        <v>2</v>
      </c>
      <c r="Z346" s="1">
        <v>4</v>
      </c>
      <c r="AA346" s="1">
        <v>4</v>
      </c>
      <c r="AB346" s="1">
        <v>4</v>
      </c>
      <c r="AC346" s="1">
        <v>3</v>
      </c>
      <c r="AD346" s="1">
        <v>4</v>
      </c>
      <c r="AE346" s="1">
        <v>3</v>
      </c>
      <c r="AF346" s="1">
        <v>4</v>
      </c>
      <c r="AG346" s="1">
        <v>3</v>
      </c>
      <c r="AH346" s="1">
        <v>4</v>
      </c>
      <c r="AI346" s="1">
        <v>3</v>
      </c>
      <c r="AJ346" s="1">
        <v>5</v>
      </c>
      <c r="AK346" s="1">
        <v>2</v>
      </c>
      <c r="AL346" s="1">
        <v>3</v>
      </c>
      <c r="AM346" s="1">
        <v>3</v>
      </c>
      <c r="AN346" s="1">
        <v>4</v>
      </c>
      <c r="AO346" s="1">
        <v>3</v>
      </c>
      <c r="AP346" s="1">
        <v>4</v>
      </c>
      <c r="AQ346" s="1">
        <v>4</v>
      </c>
      <c r="AR346" s="1">
        <v>3</v>
      </c>
      <c r="AS346" s="1">
        <v>3</v>
      </c>
      <c r="AT346" s="1">
        <v>2</v>
      </c>
      <c r="AU346" s="1">
        <v>3</v>
      </c>
      <c r="AV346" s="1">
        <v>3</v>
      </c>
      <c r="AW346" s="1">
        <v>2</v>
      </c>
      <c r="AX346" s="1">
        <v>2</v>
      </c>
      <c r="AY346" s="1">
        <v>2</v>
      </c>
      <c r="AZ346" s="1">
        <v>3</v>
      </c>
      <c r="BA346" s="1">
        <v>4</v>
      </c>
      <c r="BB346" s="1">
        <v>5</v>
      </c>
      <c r="BC346" s="1">
        <v>2</v>
      </c>
    </row>
    <row r="347" spans="1:55">
      <c r="A347" s="1" t="s">
        <v>585</v>
      </c>
      <c r="B347" s="1" t="s">
        <v>489</v>
      </c>
      <c r="C347" s="1" t="s">
        <v>586</v>
      </c>
      <c r="D347" s="1">
        <v>3</v>
      </c>
      <c r="E347" s="1">
        <v>2</v>
      </c>
      <c r="F347" s="1">
        <v>2</v>
      </c>
      <c r="G347" s="1">
        <v>3</v>
      </c>
      <c r="H347" s="1">
        <v>4</v>
      </c>
      <c r="I347" s="1">
        <v>2</v>
      </c>
      <c r="J347" s="1">
        <v>2</v>
      </c>
      <c r="K347" s="1">
        <v>3</v>
      </c>
      <c r="L347" s="1">
        <v>3</v>
      </c>
      <c r="M347" s="1">
        <v>3</v>
      </c>
      <c r="N347" s="1">
        <v>2</v>
      </c>
      <c r="O347" s="1">
        <v>3</v>
      </c>
      <c r="P347" s="1">
        <v>3</v>
      </c>
      <c r="Q347" s="1">
        <v>3</v>
      </c>
      <c r="R347" s="1">
        <v>2</v>
      </c>
      <c r="S347" s="1">
        <v>2</v>
      </c>
      <c r="T347" s="1">
        <v>2</v>
      </c>
      <c r="U347" s="1">
        <v>3</v>
      </c>
      <c r="V347" s="1">
        <v>3</v>
      </c>
      <c r="W347" s="1">
        <v>2</v>
      </c>
      <c r="X347" s="1">
        <v>1</v>
      </c>
      <c r="Y347" s="1">
        <v>2</v>
      </c>
      <c r="Z347" s="1">
        <v>2</v>
      </c>
      <c r="AA347" s="1">
        <v>2</v>
      </c>
      <c r="AB347" s="1">
        <v>2</v>
      </c>
      <c r="AC347" s="1">
        <v>4</v>
      </c>
      <c r="AD347" s="1">
        <v>3</v>
      </c>
      <c r="AE347" s="1">
        <v>3</v>
      </c>
      <c r="AF347" s="1">
        <v>4</v>
      </c>
      <c r="AG347" s="1">
        <v>3</v>
      </c>
      <c r="AH347" s="1">
        <v>2</v>
      </c>
      <c r="AI347" s="1">
        <v>2</v>
      </c>
      <c r="AJ347" s="1">
        <v>3</v>
      </c>
      <c r="AK347" s="1">
        <v>1</v>
      </c>
      <c r="AL347" s="1">
        <v>3</v>
      </c>
      <c r="AM347" s="1">
        <v>2</v>
      </c>
      <c r="AN347" s="1">
        <v>2</v>
      </c>
      <c r="AO347" s="1">
        <v>2</v>
      </c>
      <c r="AP347" s="1">
        <v>3</v>
      </c>
      <c r="AQ347" s="1">
        <v>2</v>
      </c>
      <c r="AR347" s="1">
        <v>3</v>
      </c>
      <c r="AS347" s="1">
        <v>3</v>
      </c>
      <c r="AT347" s="1">
        <v>3</v>
      </c>
      <c r="AU347" s="1">
        <v>3</v>
      </c>
      <c r="AV347" s="1">
        <v>3</v>
      </c>
      <c r="AW347" s="1">
        <v>2</v>
      </c>
      <c r="AX347" s="1">
        <v>3</v>
      </c>
      <c r="AY347" s="1">
        <v>2</v>
      </c>
      <c r="AZ347" s="1">
        <v>3</v>
      </c>
      <c r="BA347" s="1">
        <v>3</v>
      </c>
      <c r="BB347" s="1">
        <v>3</v>
      </c>
      <c r="BC347" s="1">
        <v>3</v>
      </c>
    </row>
    <row r="348" spans="1:55">
      <c r="A348" s="1" t="s">
        <v>587</v>
      </c>
      <c r="B348" s="1" t="s">
        <v>489</v>
      </c>
      <c r="C348" s="1" t="s">
        <v>586</v>
      </c>
      <c r="D348" s="1">
        <v>4</v>
      </c>
      <c r="E348" s="1">
        <v>3</v>
      </c>
      <c r="F348" s="1">
        <v>3</v>
      </c>
      <c r="G348" s="1">
        <v>2</v>
      </c>
      <c r="H348" s="1">
        <v>3</v>
      </c>
      <c r="I348" s="1">
        <v>2</v>
      </c>
      <c r="J348" s="1">
        <v>2</v>
      </c>
      <c r="K348" s="1">
        <v>3</v>
      </c>
      <c r="L348" s="1">
        <v>3</v>
      </c>
      <c r="M348" s="1">
        <v>3</v>
      </c>
      <c r="N348" s="1">
        <v>3</v>
      </c>
      <c r="O348" s="1">
        <v>3</v>
      </c>
      <c r="P348" s="1">
        <v>3</v>
      </c>
      <c r="Q348" s="1">
        <v>2</v>
      </c>
      <c r="R348" s="1">
        <v>4</v>
      </c>
      <c r="S348" s="1">
        <v>3</v>
      </c>
      <c r="T348" s="1">
        <v>4</v>
      </c>
      <c r="U348" s="1">
        <v>2</v>
      </c>
      <c r="V348" s="1">
        <v>3</v>
      </c>
      <c r="W348" s="1">
        <v>3</v>
      </c>
      <c r="X348" s="1">
        <v>3</v>
      </c>
      <c r="Y348" s="1">
        <v>3</v>
      </c>
      <c r="Z348" s="1">
        <v>3</v>
      </c>
      <c r="AA348" s="1">
        <v>2</v>
      </c>
      <c r="AB348" s="1">
        <v>3</v>
      </c>
      <c r="AC348" s="1">
        <v>3</v>
      </c>
      <c r="AD348" s="1">
        <v>4</v>
      </c>
      <c r="AE348" s="1">
        <v>4</v>
      </c>
      <c r="AF348" s="1">
        <v>3</v>
      </c>
      <c r="AG348" s="1">
        <v>2</v>
      </c>
      <c r="AH348" s="1">
        <v>3</v>
      </c>
      <c r="AI348" s="1">
        <v>3</v>
      </c>
      <c r="AJ348" s="1">
        <v>3</v>
      </c>
      <c r="AK348" s="1">
        <v>4</v>
      </c>
      <c r="AL348" s="1">
        <v>2</v>
      </c>
      <c r="AM348" s="1">
        <v>3</v>
      </c>
      <c r="AN348" s="1">
        <v>3</v>
      </c>
      <c r="AO348" s="1">
        <v>3</v>
      </c>
      <c r="AP348" s="1">
        <v>3</v>
      </c>
      <c r="AQ348" s="1">
        <v>3</v>
      </c>
      <c r="AR348" s="1">
        <v>3</v>
      </c>
      <c r="AS348" s="1">
        <v>4</v>
      </c>
      <c r="AT348" s="1">
        <v>4</v>
      </c>
      <c r="AU348" s="1">
        <v>3</v>
      </c>
      <c r="AV348" s="1">
        <v>4</v>
      </c>
      <c r="AW348" s="1">
        <v>4</v>
      </c>
      <c r="AX348" s="1">
        <v>4</v>
      </c>
      <c r="AY348" s="1">
        <v>3</v>
      </c>
      <c r="AZ348" s="1">
        <v>4</v>
      </c>
      <c r="BA348" s="1">
        <v>2</v>
      </c>
      <c r="BB348" s="1">
        <v>3</v>
      </c>
      <c r="BC348" s="1">
        <v>3</v>
      </c>
    </row>
    <row r="349" spans="1:55">
      <c r="A349" s="1" t="s">
        <v>588</v>
      </c>
      <c r="B349" s="1" t="s">
        <v>489</v>
      </c>
      <c r="C349" s="1" t="s">
        <v>589</v>
      </c>
      <c r="D349" s="1">
        <v>3</v>
      </c>
      <c r="E349" s="1">
        <v>4</v>
      </c>
      <c r="F349" s="1">
        <v>2</v>
      </c>
      <c r="G349" s="1">
        <v>3</v>
      </c>
      <c r="H349" s="1">
        <v>4</v>
      </c>
      <c r="I349" s="1">
        <v>3</v>
      </c>
      <c r="J349" s="1">
        <v>4</v>
      </c>
      <c r="K349" s="1">
        <v>2</v>
      </c>
      <c r="L349" s="1">
        <v>2</v>
      </c>
      <c r="M349" s="1">
        <v>3</v>
      </c>
      <c r="N349" s="1">
        <v>3</v>
      </c>
      <c r="O349" s="1">
        <v>3</v>
      </c>
      <c r="P349" s="1">
        <v>2</v>
      </c>
      <c r="Q349" s="1">
        <v>2</v>
      </c>
      <c r="R349" s="1">
        <v>4</v>
      </c>
      <c r="S349" s="1">
        <v>4</v>
      </c>
      <c r="T349" s="1">
        <v>4</v>
      </c>
      <c r="U349" s="1">
        <v>4</v>
      </c>
      <c r="V349" s="1">
        <v>3</v>
      </c>
      <c r="W349" s="1">
        <v>3</v>
      </c>
      <c r="X349" s="1">
        <v>4</v>
      </c>
      <c r="Y349" s="1">
        <v>2</v>
      </c>
      <c r="Z349" s="1">
        <v>2</v>
      </c>
      <c r="AA349" s="1">
        <v>4</v>
      </c>
      <c r="AB349" s="1">
        <v>2</v>
      </c>
      <c r="AC349" s="1">
        <v>3</v>
      </c>
      <c r="AD349" s="1">
        <v>3</v>
      </c>
      <c r="AE349" s="1">
        <v>3</v>
      </c>
      <c r="AF349" s="1">
        <v>3</v>
      </c>
      <c r="AG349" s="1">
        <v>3</v>
      </c>
      <c r="AH349" s="1">
        <v>3</v>
      </c>
      <c r="AI349" s="1">
        <v>3</v>
      </c>
      <c r="AJ349" s="1">
        <v>3</v>
      </c>
      <c r="AK349" s="1">
        <v>2</v>
      </c>
      <c r="AL349" s="1">
        <v>3</v>
      </c>
      <c r="AM349" s="1">
        <v>3</v>
      </c>
      <c r="AN349" s="1">
        <v>3</v>
      </c>
      <c r="AO349" s="1">
        <v>2</v>
      </c>
      <c r="AP349" s="1">
        <v>3</v>
      </c>
      <c r="AQ349" s="1">
        <v>2</v>
      </c>
      <c r="AR349" s="1">
        <v>4</v>
      </c>
      <c r="AS349" s="1">
        <v>4</v>
      </c>
      <c r="AT349" s="1">
        <v>4</v>
      </c>
      <c r="AU349" s="1">
        <v>4</v>
      </c>
      <c r="AV349" s="1">
        <v>3</v>
      </c>
      <c r="AW349" s="1">
        <v>3</v>
      </c>
      <c r="AX349" s="1">
        <v>3</v>
      </c>
      <c r="AY349" s="1">
        <v>3</v>
      </c>
      <c r="AZ349" s="1">
        <v>3</v>
      </c>
      <c r="BA349" s="1">
        <v>3</v>
      </c>
      <c r="BB349" s="1">
        <v>2</v>
      </c>
      <c r="BC349" s="1">
        <v>3</v>
      </c>
    </row>
    <row r="350" spans="1:55">
      <c r="A350" s="1" t="s">
        <v>590</v>
      </c>
      <c r="B350" s="1" t="s">
        <v>489</v>
      </c>
      <c r="C350" s="1" t="s">
        <v>589</v>
      </c>
      <c r="D350" s="1">
        <v>2</v>
      </c>
      <c r="E350" s="1">
        <v>3</v>
      </c>
      <c r="F350" s="1">
        <v>4</v>
      </c>
      <c r="G350" s="1">
        <v>3</v>
      </c>
      <c r="H350" s="1">
        <v>3</v>
      </c>
      <c r="I350" s="1">
        <v>3</v>
      </c>
      <c r="J350" s="1">
        <v>2</v>
      </c>
      <c r="K350" s="1">
        <v>1</v>
      </c>
      <c r="L350" s="1">
        <v>2</v>
      </c>
      <c r="M350" s="1">
        <v>4</v>
      </c>
      <c r="N350" s="1">
        <v>2</v>
      </c>
      <c r="O350" s="1">
        <v>2</v>
      </c>
      <c r="P350" s="1">
        <v>2</v>
      </c>
      <c r="Q350" s="1">
        <v>2</v>
      </c>
      <c r="R350" s="1">
        <v>4</v>
      </c>
      <c r="S350" s="1">
        <v>4</v>
      </c>
      <c r="T350" s="1">
        <v>3</v>
      </c>
      <c r="U350" s="1">
        <v>3</v>
      </c>
      <c r="V350" s="1">
        <v>2</v>
      </c>
      <c r="W350" s="1">
        <v>2</v>
      </c>
      <c r="X350" s="1">
        <v>2</v>
      </c>
      <c r="Y350" s="1">
        <v>2</v>
      </c>
      <c r="Z350" s="1">
        <v>3</v>
      </c>
      <c r="AA350" s="1">
        <v>3</v>
      </c>
      <c r="AB350" s="1">
        <v>1</v>
      </c>
      <c r="AC350" s="1">
        <v>4</v>
      </c>
      <c r="AD350" s="1">
        <v>3</v>
      </c>
      <c r="AE350" s="1">
        <v>4</v>
      </c>
      <c r="AF350" s="1">
        <v>2</v>
      </c>
      <c r="AG350" s="1">
        <v>1</v>
      </c>
      <c r="AH350" s="1">
        <v>3</v>
      </c>
      <c r="AI350" s="1">
        <v>3</v>
      </c>
      <c r="AJ350" s="1">
        <v>3</v>
      </c>
      <c r="AK350" s="1">
        <v>2</v>
      </c>
      <c r="AL350" s="1">
        <v>3</v>
      </c>
      <c r="AM350" s="1">
        <v>4</v>
      </c>
      <c r="AN350" s="1">
        <v>2</v>
      </c>
      <c r="AO350" s="1">
        <v>2</v>
      </c>
      <c r="AP350" s="1">
        <v>2</v>
      </c>
      <c r="AQ350" s="1">
        <v>2</v>
      </c>
      <c r="AR350" s="1">
        <v>4</v>
      </c>
      <c r="AS350" s="1">
        <v>5</v>
      </c>
      <c r="AT350" s="1">
        <v>4</v>
      </c>
      <c r="AU350" s="1">
        <v>4</v>
      </c>
      <c r="AV350" s="1">
        <v>1</v>
      </c>
      <c r="AW350" s="1">
        <v>2</v>
      </c>
      <c r="AX350" s="1">
        <v>1</v>
      </c>
      <c r="AY350" s="1">
        <v>1</v>
      </c>
      <c r="AZ350" s="1">
        <v>2</v>
      </c>
      <c r="BA350" s="1">
        <v>2</v>
      </c>
      <c r="BB350" s="1">
        <v>2</v>
      </c>
      <c r="BC350" s="1">
        <v>3</v>
      </c>
    </row>
    <row r="351" spans="1:55">
      <c r="A351" s="1" t="s">
        <v>591</v>
      </c>
      <c r="B351" s="1" t="s">
        <v>489</v>
      </c>
      <c r="C351" s="1" t="s">
        <v>592</v>
      </c>
      <c r="D351" s="1">
        <v>3</v>
      </c>
      <c r="E351" s="1">
        <v>3</v>
      </c>
      <c r="F351" s="1">
        <v>3</v>
      </c>
      <c r="G351" s="1">
        <v>3</v>
      </c>
      <c r="H351" s="1">
        <v>3</v>
      </c>
      <c r="I351" s="1">
        <v>3</v>
      </c>
      <c r="J351" s="1">
        <v>3</v>
      </c>
      <c r="K351" s="1">
        <v>3</v>
      </c>
      <c r="L351" s="1">
        <v>3</v>
      </c>
      <c r="M351" s="1">
        <v>2</v>
      </c>
      <c r="N351" s="1">
        <v>3</v>
      </c>
      <c r="O351" s="1">
        <v>3</v>
      </c>
      <c r="P351" s="1">
        <v>1</v>
      </c>
      <c r="Q351" s="1">
        <v>3</v>
      </c>
      <c r="R351" s="1">
        <v>3</v>
      </c>
      <c r="S351" s="1">
        <v>3</v>
      </c>
      <c r="T351" s="1">
        <v>4</v>
      </c>
      <c r="U351" s="1">
        <v>4</v>
      </c>
      <c r="V351" s="1">
        <v>2</v>
      </c>
      <c r="W351" s="1">
        <v>3</v>
      </c>
      <c r="X351" s="1">
        <v>3</v>
      </c>
      <c r="Y351" s="1">
        <v>4</v>
      </c>
      <c r="Z351" s="1">
        <v>2</v>
      </c>
      <c r="AA351" s="1">
        <v>2</v>
      </c>
      <c r="AB351" s="1">
        <v>3</v>
      </c>
      <c r="AC351" s="1">
        <v>3</v>
      </c>
      <c r="AD351" s="1">
        <v>3</v>
      </c>
      <c r="AE351" s="1">
        <v>2</v>
      </c>
      <c r="AF351" s="1">
        <v>2</v>
      </c>
      <c r="AG351" s="1">
        <v>3</v>
      </c>
      <c r="AH351" s="1">
        <v>2</v>
      </c>
      <c r="AI351" s="1">
        <v>2</v>
      </c>
      <c r="AJ351" s="1">
        <v>3</v>
      </c>
      <c r="AK351" s="1">
        <v>2</v>
      </c>
      <c r="AL351" s="1">
        <v>2</v>
      </c>
      <c r="AM351" s="1">
        <v>2</v>
      </c>
      <c r="AN351" s="1">
        <v>3</v>
      </c>
      <c r="AO351" s="1">
        <v>2</v>
      </c>
      <c r="AP351" s="1">
        <v>2</v>
      </c>
      <c r="AQ351" s="1">
        <v>3</v>
      </c>
      <c r="AR351" s="1">
        <v>4</v>
      </c>
      <c r="AS351" s="1">
        <v>4</v>
      </c>
      <c r="AT351" s="1">
        <v>2</v>
      </c>
      <c r="AU351" s="1">
        <v>3</v>
      </c>
      <c r="AV351" s="1">
        <v>2</v>
      </c>
      <c r="AW351" s="1">
        <v>3</v>
      </c>
      <c r="AX351" s="1">
        <v>3</v>
      </c>
      <c r="AY351" s="1">
        <v>3</v>
      </c>
      <c r="AZ351" s="1">
        <v>3</v>
      </c>
      <c r="BA351" s="1">
        <v>2</v>
      </c>
      <c r="BB351" s="1">
        <v>2</v>
      </c>
      <c r="BC351" s="1">
        <v>3</v>
      </c>
    </row>
    <row r="352" spans="1:55">
      <c r="A352" s="1" t="s">
        <v>593</v>
      </c>
      <c r="B352" s="1" t="s">
        <v>489</v>
      </c>
      <c r="C352" s="1" t="s">
        <v>592</v>
      </c>
      <c r="D352" s="1">
        <v>3</v>
      </c>
      <c r="E352" s="1">
        <v>4</v>
      </c>
      <c r="F352" s="1">
        <v>3</v>
      </c>
      <c r="G352" s="1">
        <v>3</v>
      </c>
      <c r="H352" s="1">
        <v>3</v>
      </c>
      <c r="I352" s="1">
        <v>2</v>
      </c>
      <c r="J352" s="1">
        <v>3</v>
      </c>
      <c r="K352" s="1">
        <v>3</v>
      </c>
      <c r="L352" s="1">
        <v>2</v>
      </c>
      <c r="M352" s="1">
        <v>4</v>
      </c>
      <c r="N352" s="1">
        <v>2</v>
      </c>
      <c r="O352" s="1">
        <v>3</v>
      </c>
      <c r="P352" s="1">
        <v>2</v>
      </c>
      <c r="Q352" s="1">
        <v>3</v>
      </c>
      <c r="R352" s="1">
        <v>5</v>
      </c>
      <c r="S352" s="1">
        <v>3</v>
      </c>
      <c r="T352" s="1">
        <v>3</v>
      </c>
      <c r="U352" s="1">
        <v>3</v>
      </c>
      <c r="V352" s="1">
        <v>2</v>
      </c>
      <c r="W352" s="1">
        <v>4</v>
      </c>
      <c r="X352" s="1">
        <v>3</v>
      </c>
      <c r="Y352" s="1">
        <v>4</v>
      </c>
      <c r="Z352" s="1">
        <v>2</v>
      </c>
      <c r="AA352" s="1">
        <v>2</v>
      </c>
      <c r="AB352" s="1">
        <v>2</v>
      </c>
      <c r="AC352" s="1">
        <v>4</v>
      </c>
      <c r="AD352" s="1">
        <v>3</v>
      </c>
      <c r="AE352" s="1">
        <v>3</v>
      </c>
      <c r="AF352" s="1">
        <v>1</v>
      </c>
      <c r="AG352" s="1">
        <v>3</v>
      </c>
      <c r="AH352" s="1">
        <v>1</v>
      </c>
      <c r="AI352" s="1">
        <v>2</v>
      </c>
      <c r="AJ352" s="1">
        <v>3</v>
      </c>
      <c r="AK352" s="1">
        <v>2</v>
      </c>
      <c r="AL352" s="1">
        <v>2</v>
      </c>
      <c r="AM352" s="1">
        <v>3</v>
      </c>
      <c r="AN352" s="1">
        <v>3</v>
      </c>
      <c r="AO352" s="1">
        <v>2</v>
      </c>
      <c r="AP352" s="1">
        <v>2</v>
      </c>
      <c r="AQ352" s="1">
        <v>3</v>
      </c>
      <c r="AR352" s="1">
        <v>3</v>
      </c>
      <c r="AS352" s="1">
        <v>3</v>
      </c>
      <c r="AT352" s="1">
        <v>3</v>
      </c>
      <c r="AU352" s="1">
        <v>4</v>
      </c>
      <c r="AV352" s="1">
        <v>2</v>
      </c>
      <c r="AW352" s="1">
        <v>4</v>
      </c>
      <c r="AX352" s="1">
        <v>4</v>
      </c>
      <c r="AY352" s="1">
        <v>3</v>
      </c>
      <c r="AZ352" s="1">
        <v>2</v>
      </c>
      <c r="BA352" s="1">
        <v>1</v>
      </c>
      <c r="BB352" s="1">
        <v>2</v>
      </c>
      <c r="BC352" s="1">
        <v>3</v>
      </c>
    </row>
    <row r="353" spans="1:55">
      <c r="A353" s="1" t="s">
        <v>594</v>
      </c>
      <c r="B353" s="1" t="s">
        <v>489</v>
      </c>
      <c r="C353" s="1" t="s">
        <v>595</v>
      </c>
      <c r="D353" s="1">
        <v>3</v>
      </c>
      <c r="E353" s="1">
        <v>4</v>
      </c>
      <c r="F353" s="1">
        <v>3</v>
      </c>
      <c r="G353" s="1">
        <v>3</v>
      </c>
      <c r="H353" s="1">
        <v>3</v>
      </c>
      <c r="I353" s="1">
        <v>4</v>
      </c>
      <c r="J353" s="1">
        <v>4</v>
      </c>
      <c r="K353" s="1">
        <v>2</v>
      </c>
      <c r="L353" s="1">
        <v>2</v>
      </c>
      <c r="M353" s="1">
        <v>4</v>
      </c>
      <c r="N353" s="1">
        <v>3</v>
      </c>
      <c r="O353" s="1">
        <v>3</v>
      </c>
      <c r="P353" s="1">
        <v>2</v>
      </c>
      <c r="Q353" s="1">
        <v>4</v>
      </c>
      <c r="R353" s="1">
        <v>3</v>
      </c>
      <c r="S353" s="1">
        <v>3</v>
      </c>
      <c r="T353" s="1">
        <v>2</v>
      </c>
      <c r="U353" s="1">
        <v>3</v>
      </c>
      <c r="V353" s="1">
        <v>3</v>
      </c>
      <c r="W353" s="1">
        <v>3</v>
      </c>
      <c r="X353" s="1">
        <v>3</v>
      </c>
      <c r="Y353" s="1">
        <v>3</v>
      </c>
      <c r="Z353" s="1">
        <v>3</v>
      </c>
      <c r="AA353" s="1">
        <v>2</v>
      </c>
      <c r="AB353" s="1">
        <v>3</v>
      </c>
      <c r="AC353" s="1">
        <v>2</v>
      </c>
      <c r="AD353" s="1">
        <v>3</v>
      </c>
      <c r="AE353" s="1">
        <v>3</v>
      </c>
      <c r="AF353" s="1">
        <v>4</v>
      </c>
      <c r="AG353" s="1">
        <v>2</v>
      </c>
      <c r="AH353" s="1">
        <v>3</v>
      </c>
      <c r="AI353" s="1">
        <v>3</v>
      </c>
      <c r="AJ353" s="1">
        <v>3</v>
      </c>
      <c r="AK353" s="1">
        <v>3</v>
      </c>
      <c r="AL353" s="1">
        <v>4</v>
      </c>
      <c r="AM353" s="1">
        <v>3</v>
      </c>
      <c r="AN353" s="1">
        <v>2</v>
      </c>
      <c r="AO353" s="1">
        <v>3</v>
      </c>
      <c r="AP353" s="1">
        <v>2</v>
      </c>
      <c r="AQ353" s="1">
        <v>2</v>
      </c>
      <c r="AR353" s="1">
        <v>4</v>
      </c>
      <c r="AS353" s="1">
        <v>3</v>
      </c>
      <c r="AT353" s="1">
        <v>4</v>
      </c>
      <c r="AU353" s="1">
        <v>4</v>
      </c>
      <c r="AV353" s="1">
        <v>4</v>
      </c>
      <c r="AW353" s="1">
        <v>2</v>
      </c>
      <c r="AX353" s="1">
        <v>3</v>
      </c>
      <c r="AY353" s="1">
        <v>3</v>
      </c>
      <c r="AZ353" s="1">
        <v>3</v>
      </c>
      <c r="BA353" s="1">
        <v>2</v>
      </c>
      <c r="BB353" s="1">
        <v>3</v>
      </c>
      <c r="BC353" s="1">
        <v>2</v>
      </c>
    </row>
    <row r="354" spans="1:55">
      <c r="A354" s="1" t="s">
        <v>596</v>
      </c>
      <c r="B354" s="1" t="s">
        <v>489</v>
      </c>
      <c r="C354" s="1" t="s">
        <v>595</v>
      </c>
      <c r="D354" s="1">
        <v>2</v>
      </c>
      <c r="E354" s="1">
        <v>3</v>
      </c>
      <c r="F354" s="1">
        <v>3</v>
      </c>
      <c r="G354" s="1">
        <v>2</v>
      </c>
      <c r="H354" s="1">
        <v>3</v>
      </c>
      <c r="I354" s="1">
        <v>3</v>
      </c>
      <c r="J354" s="1">
        <v>4</v>
      </c>
      <c r="K354" s="1">
        <v>3</v>
      </c>
      <c r="L354" s="1">
        <v>2</v>
      </c>
      <c r="M354" s="1">
        <v>3</v>
      </c>
      <c r="N354" s="1">
        <v>3</v>
      </c>
      <c r="O354" s="1">
        <v>2</v>
      </c>
      <c r="P354" s="1">
        <v>2</v>
      </c>
      <c r="Q354" s="1">
        <v>3</v>
      </c>
      <c r="R354" s="1">
        <v>3</v>
      </c>
      <c r="S354" s="1">
        <v>3</v>
      </c>
      <c r="T354" s="1">
        <v>4</v>
      </c>
      <c r="U354" s="1">
        <v>4</v>
      </c>
      <c r="V354" s="1">
        <v>3</v>
      </c>
      <c r="W354" s="1">
        <v>3</v>
      </c>
      <c r="X354" s="1">
        <v>2</v>
      </c>
      <c r="Y354" s="1">
        <v>2</v>
      </c>
      <c r="Z354" s="1">
        <v>2</v>
      </c>
      <c r="AA354" s="1">
        <v>2</v>
      </c>
      <c r="AB354" s="1">
        <v>3</v>
      </c>
      <c r="AC354" s="1">
        <v>2</v>
      </c>
      <c r="AD354" s="1">
        <v>4</v>
      </c>
      <c r="AE354" s="1">
        <v>3</v>
      </c>
      <c r="AF354" s="1">
        <v>3</v>
      </c>
      <c r="AG354" s="1">
        <v>2</v>
      </c>
      <c r="AH354" s="1">
        <v>3</v>
      </c>
      <c r="AI354" s="1">
        <v>3</v>
      </c>
      <c r="AJ354" s="1">
        <v>4</v>
      </c>
      <c r="AK354" s="1">
        <v>2</v>
      </c>
      <c r="AL354" s="1">
        <v>2</v>
      </c>
      <c r="AM354" s="1">
        <v>4</v>
      </c>
      <c r="AN354" s="1">
        <v>3</v>
      </c>
      <c r="AO354" s="1">
        <v>3</v>
      </c>
      <c r="AP354" s="1">
        <v>2</v>
      </c>
      <c r="AQ354" s="1">
        <v>3</v>
      </c>
      <c r="AR354" s="1">
        <v>3</v>
      </c>
      <c r="AS354" s="1">
        <v>3</v>
      </c>
      <c r="AT354" s="1">
        <v>4</v>
      </c>
      <c r="AU354" s="1">
        <v>4</v>
      </c>
      <c r="AV354" s="1">
        <v>3</v>
      </c>
      <c r="AW354" s="1">
        <v>3</v>
      </c>
      <c r="AX354" s="1">
        <v>3</v>
      </c>
      <c r="AY354" s="1">
        <v>3</v>
      </c>
      <c r="AZ354" s="1">
        <v>2</v>
      </c>
      <c r="BA354" s="1">
        <v>3</v>
      </c>
      <c r="BB354" s="1">
        <v>2</v>
      </c>
      <c r="BC354" s="1">
        <v>3</v>
      </c>
    </row>
    <row r="355" spans="1:55">
      <c r="A355" s="1" t="s">
        <v>597</v>
      </c>
      <c r="B355" s="1" t="s">
        <v>489</v>
      </c>
      <c r="C355" s="1" t="s">
        <v>598</v>
      </c>
      <c r="D355" s="1">
        <v>3</v>
      </c>
      <c r="E355" s="1">
        <v>3</v>
      </c>
      <c r="F355" s="1">
        <v>2</v>
      </c>
      <c r="G355" s="1">
        <v>3</v>
      </c>
      <c r="H355" s="1">
        <v>3</v>
      </c>
      <c r="I355" s="1">
        <v>3</v>
      </c>
      <c r="J355" s="1">
        <v>3</v>
      </c>
      <c r="K355" s="1">
        <v>3</v>
      </c>
      <c r="L355" s="1">
        <v>3</v>
      </c>
      <c r="M355" s="1">
        <v>3</v>
      </c>
      <c r="N355" s="1">
        <v>3</v>
      </c>
      <c r="O355" s="1">
        <v>2</v>
      </c>
      <c r="P355" s="1">
        <v>3</v>
      </c>
      <c r="Q355" s="1">
        <v>3</v>
      </c>
      <c r="R355" s="1">
        <v>4</v>
      </c>
      <c r="S355" s="1">
        <v>3</v>
      </c>
      <c r="T355" s="1">
        <v>3</v>
      </c>
      <c r="U355" s="1">
        <v>3</v>
      </c>
      <c r="V355" s="1">
        <v>3</v>
      </c>
      <c r="W355" s="1">
        <v>3</v>
      </c>
      <c r="X355" s="1">
        <v>3</v>
      </c>
      <c r="Y355" s="1">
        <v>3</v>
      </c>
      <c r="Z355" s="1">
        <v>2</v>
      </c>
      <c r="AA355" s="1">
        <v>3</v>
      </c>
      <c r="AB355" s="1">
        <v>3</v>
      </c>
      <c r="AC355" s="1">
        <v>3</v>
      </c>
      <c r="AD355" s="1">
        <v>3</v>
      </c>
      <c r="AE355" s="1">
        <v>3</v>
      </c>
      <c r="AF355" s="1">
        <v>4</v>
      </c>
      <c r="AG355" s="1">
        <v>2</v>
      </c>
      <c r="AH355" s="1">
        <v>3</v>
      </c>
      <c r="AI355" s="1">
        <v>4</v>
      </c>
      <c r="AJ355" s="1">
        <v>4</v>
      </c>
      <c r="AK355" s="1">
        <v>2</v>
      </c>
      <c r="AL355" s="1">
        <v>2</v>
      </c>
      <c r="AM355" s="1">
        <v>4</v>
      </c>
      <c r="AN355" s="1">
        <v>3</v>
      </c>
      <c r="AO355" s="1">
        <v>3</v>
      </c>
      <c r="AP355" s="1">
        <v>2</v>
      </c>
      <c r="AQ355" s="1">
        <v>3</v>
      </c>
      <c r="AR355" s="1">
        <v>3</v>
      </c>
      <c r="AS355" s="1">
        <v>2</v>
      </c>
      <c r="AT355" s="1">
        <v>2</v>
      </c>
      <c r="AU355" s="1">
        <v>4</v>
      </c>
      <c r="AV355" s="1">
        <v>3</v>
      </c>
      <c r="AW355" s="1">
        <v>3</v>
      </c>
      <c r="AX355" s="1">
        <v>2</v>
      </c>
      <c r="AY355" s="1">
        <v>3</v>
      </c>
      <c r="AZ355" s="1">
        <v>2</v>
      </c>
      <c r="BA355" s="1">
        <v>3</v>
      </c>
      <c r="BB355" s="1">
        <v>3</v>
      </c>
      <c r="BC355" s="1">
        <v>3</v>
      </c>
    </row>
    <row r="356" spans="1:55">
      <c r="A356" s="1" t="s">
        <v>599</v>
      </c>
      <c r="B356" s="1" t="s">
        <v>489</v>
      </c>
      <c r="C356" s="1" t="s">
        <v>598</v>
      </c>
      <c r="D356" s="1">
        <v>3</v>
      </c>
      <c r="E356" s="1">
        <v>3</v>
      </c>
      <c r="F356" s="1">
        <v>3</v>
      </c>
      <c r="G356" s="1">
        <v>4</v>
      </c>
      <c r="H356" s="1">
        <v>3</v>
      </c>
      <c r="I356" s="1">
        <v>3</v>
      </c>
      <c r="J356" s="1">
        <v>2</v>
      </c>
      <c r="K356" s="1">
        <v>4</v>
      </c>
      <c r="L356" s="1">
        <v>3</v>
      </c>
      <c r="M356" s="1">
        <v>4</v>
      </c>
      <c r="N356" s="1">
        <v>3</v>
      </c>
      <c r="O356" s="1">
        <v>4</v>
      </c>
      <c r="P356" s="1">
        <v>3</v>
      </c>
      <c r="Q356" s="1">
        <v>3</v>
      </c>
      <c r="R356" s="1">
        <v>2</v>
      </c>
      <c r="S356" s="1">
        <v>3</v>
      </c>
      <c r="T356" s="1">
        <v>2</v>
      </c>
      <c r="U356" s="1">
        <v>4</v>
      </c>
      <c r="V356" s="1">
        <v>3</v>
      </c>
      <c r="W356" s="1">
        <v>2</v>
      </c>
      <c r="X356" s="1">
        <v>3</v>
      </c>
      <c r="Y356" s="1">
        <v>2</v>
      </c>
      <c r="Z356" s="1">
        <v>4</v>
      </c>
      <c r="AA356" s="1">
        <v>4</v>
      </c>
      <c r="AB356" s="1">
        <v>3</v>
      </c>
      <c r="AC356" s="1">
        <v>2</v>
      </c>
      <c r="AD356" s="1">
        <v>2</v>
      </c>
      <c r="AE356" s="1">
        <v>3</v>
      </c>
      <c r="AF356" s="1">
        <v>3</v>
      </c>
      <c r="AG356" s="1">
        <v>5</v>
      </c>
      <c r="AH356" s="1">
        <v>3</v>
      </c>
      <c r="AI356" s="1">
        <v>2</v>
      </c>
      <c r="AJ356" s="1">
        <v>3</v>
      </c>
      <c r="AK356" s="1">
        <v>3</v>
      </c>
      <c r="AL356" s="1">
        <v>3</v>
      </c>
      <c r="AM356" s="1">
        <v>3</v>
      </c>
      <c r="AN356" s="1">
        <v>3</v>
      </c>
      <c r="AO356" s="1">
        <v>3</v>
      </c>
      <c r="AP356" s="1">
        <v>3</v>
      </c>
      <c r="AQ356" s="1">
        <v>3</v>
      </c>
      <c r="AR356" s="1">
        <v>2</v>
      </c>
      <c r="AS356" s="1">
        <v>2</v>
      </c>
      <c r="AT356" s="1">
        <v>3</v>
      </c>
      <c r="AU356" s="1">
        <v>3</v>
      </c>
      <c r="AV356" s="1">
        <v>1</v>
      </c>
      <c r="AW356" s="1">
        <v>2</v>
      </c>
      <c r="AX356" s="1">
        <v>1</v>
      </c>
      <c r="AY356" s="1">
        <v>2</v>
      </c>
      <c r="AZ356" s="1">
        <v>3</v>
      </c>
      <c r="BA356" s="1">
        <v>3</v>
      </c>
      <c r="BB356" s="1">
        <v>3</v>
      </c>
      <c r="BC356" s="1">
        <v>4</v>
      </c>
    </row>
    <row r="357" spans="1:55">
      <c r="A357" s="1" t="s">
        <v>600</v>
      </c>
      <c r="B357" s="1" t="s">
        <v>489</v>
      </c>
      <c r="C357" s="1" t="s">
        <v>601</v>
      </c>
      <c r="D357" s="1">
        <v>2</v>
      </c>
      <c r="E357" s="1">
        <v>2</v>
      </c>
      <c r="F357" s="1">
        <v>3</v>
      </c>
      <c r="G357" s="1">
        <v>4</v>
      </c>
      <c r="H357" s="1">
        <v>2</v>
      </c>
      <c r="I357" s="1">
        <v>3</v>
      </c>
      <c r="J357" s="1">
        <v>3</v>
      </c>
      <c r="K357" s="1">
        <v>3</v>
      </c>
      <c r="L357" s="1">
        <v>3</v>
      </c>
      <c r="M357" s="1">
        <v>3</v>
      </c>
      <c r="N357" s="1">
        <v>3</v>
      </c>
      <c r="O357" s="1">
        <v>3</v>
      </c>
      <c r="P357" s="1">
        <v>3</v>
      </c>
      <c r="Q357" s="1">
        <v>3</v>
      </c>
      <c r="R357" s="1">
        <v>2</v>
      </c>
      <c r="S357" s="1">
        <v>2</v>
      </c>
      <c r="T357" s="1">
        <v>3</v>
      </c>
      <c r="U357" s="1">
        <v>3</v>
      </c>
      <c r="V357" s="1">
        <v>3</v>
      </c>
      <c r="W357" s="1">
        <v>2</v>
      </c>
      <c r="X357" s="1">
        <v>2</v>
      </c>
      <c r="Y357" s="1">
        <v>2</v>
      </c>
      <c r="Z357" s="1">
        <v>3</v>
      </c>
      <c r="AA357" s="1">
        <v>4</v>
      </c>
      <c r="AB357" s="1">
        <v>3</v>
      </c>
      <c r="AC357" s="1">
        <v>2</v>
      </c>
      <c r="AD357" s="1">
        <v>3</v>
      </c>
      <c r="AE357" s="1">
        <v>2</v>
      </c>
      <c r="AF357" s="1">
        <v>4</v>
      </c>
      <c r="AG357" s="1">
        <v>4</v>
      </c>
      <c r="AH357" s="1">
        <v>2</v>
      </c>
      <c r="AI357" s="1">
        <v>4</v>
      </c>
      <c r="AJ357" s="1">
        <v>3</v>
      </c>
      <c r="AK357" s="1">
        <v>2</v>
      </c>
      <c r="AL357" s="1">
        <v>4</v>
      </c>
      <c r="AM357" s="1">
        <v>2</v>
      </c>
      <c r="AN357" s="1">
        <v>4</v>
      </c>
      <c r="AO357" s="1">
        <v>3</v>
      </c>
      <c r="AP357" s="1">
        <v>2</v>
      </c>
      <c r="AQ357" s="1">
        <v>3</v>
      </c>
      <c r="AR357" s="1">
        <v>4</v>
      </c>
      <c r="AS357" s="1">
        <v>3</v>
      </c>
      <c r="AT357" s="1">
        <v>1</v>
      </c>
      <c r="AU357" s="1">
        <v>2</v>
      </c>
      <c r="AV357" s="1">
        <v>4</v>
      </c>
      <c r="AW357" s="1">
        <v>3</v>
      </c>
      <c r="AX357" s="1">
        <v>2</v>
      </c>
      <c r="AY357" s="1">
        <v>3</v>
      </c>
      <c r="AZ357" s="1">
        <v>3</v>
      </c>
      <c r="BA357" s="1">
        <v>3</v>
      </c>
      <c r="BB357" s="1">
        <v>3</v>
      </c>
      <c r="BC357" s="1">
        <v>3</v>
      </c>
    </row>
    <row r="358" spans="1:55">
      <c r="A358" s="1" t="s">
        <v>602</v>
      </c>
      <c r="B358" s="1" t="s">
        <v>489</v>
      </c>
      <c r="C358" s="1" t="s">
        <v>601</v>
      </c>
      <c r="D358" s="1">
        <v>4</v>
      </c>
      <c r="E358" s="1">
        <v>3</v>
      </c>
      <c r="F358" s="1">
        <v>3</v>
      </c>
      <c r="G358" s="1">
        <v>2</v>
      </c>
      <c r="H358" s="1">
        <v>4</v>
      </c>
      <c r="I358" s="1">
        <v>3</v>
      </c>
      <c r="J358" s="1">
        <v>3</v>
      </c>
      <c r="K358" s="1">
        <v>3</v>
      </c>
      <c r="L358" s="1">
        <v>3</v>
      </c>
      <c r="M358" s="1">
        <v>3</v>
      </c>
      <c r="N358" s="1">
        <v>3</v>
      </c>
      <c r="O358" s="1">
        <v>3</v>
      </c>
      <c r="P358" s="1">
        <v>3</v>
      </c>
      <c r="Q358" s="1">
        <v>3</v>
      </c>
      <c r="R358" s="1">
        <v>4</v>
      </c>
      <c r="S358" s="1">
        <v>4</v>
      </c>
      <c r="T358" s="1">
        <v>4</v>
      </c>
      <c r="U358" s="1">
        <v>3</v>
      </c>
      <c r="V358" s="1">
        <v>4</v>
      </c>
      <c r="W358" s="1">
        <v>3</v>
      </c>
      <c r="X358" s="1">
        <v>4</v>
      </c>
      <c r="Y358" s="1">
        <v>3</v>
      </c>
      <c r="Z358" s="1">
        <v>3</v>
      </c>
      <c r="AA358" s="1">
        <v>3</v>
      </c>
      <c r="AB358" s="1">
        <v>3</v>
      </c>
      <c r="AC358" s="1">
        <v>3</v>
      </c>
      <c r="AD358" s="1">
        <v>2</v>
      </c>
      <c r="AE358" s="1">
        <v>3</v>
      </c>
      <c r="AF358" s="1">
        <v>3</v>
      </c>
      <c r="AG358" s="1">
        <v>2</v>
      </c>
      <c r="AH358" s="1">
        <v>4</v>
      </c>
      <c r="AI358" s="1">
        <v>2</v>
      </c>
      <c r="AJ358" s="1">
        <v>2</v>
      </c>
      <c r="AK358" s="1">
        <v>2</v>
      </c>
      <c r="AL358" s="1">
        <v>4</v>
      </c>
      <c r="AM358" s="1">
        <v>4</v>
      </c>
      <c r="AN358" s="1">
        <v>3</v>
      </c>
      <c r="AO358" s="1">
        <v>3</v>
      </c>
      <c r="AP358" s="1">
        <v>3</v>
      </c>
      <c r="AQ358" s="1">
        <v>3</v>
      </c>
      <c r="AR358" s="1">
        <v>3</v>
      </c>
      <c r="AS358" s="1">
        <v>2</v>
      </c>
      <c r="AT358" s="1">
        <v>3</v>
      </c>
      <c r="AU358" s="1">
        <v>4</v>
      </c>
      <c r="AV358" s="1">
        <v>2</v>
      </c>
      <c r="AW358" s="1">
        <v>3</v>
      </c>
      <c r="AX358" s="1">
        <v>3</v>
      </c>
      <c r="AY358" s="1">
        <v>3</v>
      </c>
      <c r="AZ358" s="1">
        <v>3</v>
      </c>
      <c r="BA358" s="1">
        <v>3</v>
      </c>
      <c r="BB358" s="1">
        <v>3</v>
      </c>
      <c r="BC358" s="1">
        <v>4</v>
      </c>
    </row>
    <row r="359" spans="1:55">
      <c r="A359" s="1" t="s">
        <v>603</v>
      </c>
      <c r="B359" s="1" t="s">
        <v>489</v>
      </c>
      <c r="C359" s="1" t="s">
        <v>604</v>
      </c>
      <c r="D359" s="1">
        <v>3</v>
      </c>
      <c r="E359" s="1">
        <v>4</v>
      </c>
      <c r="F359" s="1">
        <v>3</v>
      </c>
      <c r="G359" s="1">
        <v>3</v>
      </c>
      <c r="H359" s="1">
        <v>3</v>
      </c>
      <c r="I359" s="1">
        <v>4</v>
      </c>
      <c r="J359" s="1">
        <v>4</v>
      </c>
      <c r="K359" s="1">
        <v>2</v>
      </c>
      <c r="L359" s="1">
        <v>3</v>
      </c>
      <c r="M359" s="1">
        <v>4</v>
      </c>
      <c r="N359" s="1">
        <v>4</v>
      </c>
      <c r="O359" s="1">
        <v>4</v>
      </c>
      <c r="P359" s="1">
        <v>2</v>
      </c>
      <c r="Q359" s="1">
        <v>4</v>
      </c>
      <c r="R359" s="1">
        <v>3</v>
      </c>
      <c r="S359" s="1">
        <v>3</v>
      </c>
      <c r="T359" s="1">
        <v>4</v>
      </c>
      <c r="U359" s="1">
        <v>4</v>
      </c>
      <c r="V359" s="1">
        <v>4</v>
      </c>
      <c r="W359" s="1">
        <v>1</v>
      </c>
      <c r="X359" s="1">
        <v>3</v>
      </c>
      <c r="Y359" s="1">
        <v>2</v>
      </c>
      <c r="Z359" s="1">
        <v>2</v>
      </c>
      <c r="AA359" s="1">
        <v>2</v>
      </c>
      <c r="AB359" s="1">
        <v>2</v>
      </c>
      <c r="AC359" s="1">
        <v>3</v>
      </c>
      <c r="AD359" s="1">
        <v>3</v>
      </c>
      <c r="AE359" s="1">
        <v>4</v>
      </c>
      <c r="AF359" s="1">
        <v>2</v>
      </c>
      <c r="AG359" s="1">
        <v>4</v>
      </c>
      <c r="AH359" s="1">
        <v>4</v>
      </c>
      <c r="AI359" s="1">
        <v>4</v>
      </c>
      <c r="AJ359" s="1">
        <v>3</v>
      </c>
      <c r="AK359" s="1">
        <v>3</v>
      </c>
      <c r="AL359" s="1">
        <v>3</v>
      </c>
      <c r="AM359" s="1">
        <v>4</v>
      </c>
      <c r="AN359" s="1">
        <v>5</v>
      </c>
      <c r="AO359" s="1">
        <v>3</v>
      </c>
      <c r="AP359" s="1">
        <v>3</v>
      </c>
      <c r="AQ359" s="1">
        <v>3</v>
      </c>
      <c r="AR359" s="1">
        <v>3</v>
      </c>
      <c r="AS359" s="1">
        <v>3</v>
      </c>
      <c r="AT359" s="1">
        <v>4</v>
      </c>
      <c r="AU359" s="1">
        <v>3</v>
      </c>
      <c r="AV359" s="1">
        <v>3</v>
      </c>
      <c r="AW359" s="1">
        <v>2</v>
      </c>
      <c r="AX359" s="1">
        <v>3</v>
      </c>
      <c r="AY359" s="1">
        <v>3</v>
      </c>
      <c r="AZ359" s="1">
        <v>3</v>
      </c>
      <c r="BA359" s="1">
        <v>3</v>
      </c>
      <c r="BB359" s="1">
        <v>3</v>
      </c>
      <c r="BC359" s="1">
        <v>2</v>
      </c>
    </row>
    <row r="360" spans="1:55">
      <c r="A360" s="1" t="s">
        <v>605</v>
      </c>
      <c r="B360" s="1" t="s">
        <v>489</v>
      </c>
      <c r="C360" s="1" t="s">
        <v>604</v>
      </c>
      <c r="D360" s="1">
        <v>3</v>
      </c>
      <c r="E360" s="1">
        <v>3</v>
      </c>
      <c r="F360" s="1">
        <v>3</v>
      </c>
      <c r="G360" s="1">
        <v>3</v>
      </c>
      <c r="H360" s="1">
        <v>3</v>
      </c>
      <c r="I360" s="1">
        <v>2</v>
      </c>
      <c r="J360" s="1">
        <v>3</v>
      </c>
      <c r="K360" s="1">
        <v>3</v>
      </c>
      <c r="L360" s="1">
        <v>2</v>
      </c>
      <c r="M360" s="1">
        <v>3</v>
      </c>
      <c r="N360" s="1">
        <v>3</v>
      </c>
      <c r="O360" s="1">
        <v>3</v>
      </c>
      <c r="P360" s="1">
        <v>4</v>
      </c>
      <c r="Q360" s="1">
        <v>3</v>
      </c>
      <c r="R360" s="1">
        <v>2</v>
      </c>
      <c r="S360" s="1">
        <v>2</v>
      </c>
      <c r="T360" s="1">
        <v>3</v>
      </c>
      <c r="U360" s="1">
        <v>3</v>
      </c>
      <c r="V360" s="1">
        <v>4</v>
      </c>
      <c r="W360" s="1">
        <v>2</v>
      </c>
      <c r="X360" s="1">
        <v>3</v>
      </c>
      <c r="Y360" s="1">
        <v>3</v>
      </c>
      <c r="Z360" s="1">
        <v>3</v>
      </c>
      <c r="AA360" s="1">
        <v>3</v>
      </c>
      <c r="AB360" s="1">
        <v>3</v>
      </c>
      <c r="AC360" s="1">
        <v>3</v>
      </c>
      <c r="AD360" s="1">
        <v>4</v>
      </c>
      <c r="AE360" s="1">
        <v>2</v>
      </c>
      <c r="AF360" s="1">
        <v>3</v>
      </c>
      <c r="AG360" s="1">
        <v>3</v>
      </c>
      <c r="AH360" s="1">
        <v>3</v>
      </c>
      <c r="AI360" s="1">
        <v>3</v>
      </c>
      <c r="AJ360" s="1">
        <v>3</v>
      </c>
      <c r="AK360" s="1">
        <v>3</v>
      </c>
      <c r="AL360" s="1">
        <v>2</v>
      </c>
      <c r="AM360" s="1">
        <v>2</v>
      </c>
      <c r="AN360" s="1">
        <v>4</v>
      </c>
      <c r="AO360" s="1">
        <v>2</v>
      </c>
      <c r="AP360" s="1">
        <v>3</v>
      </c>
      <c r="AQ360" s="1">
        <v>3</v>
      </c>
      <c r="AR360" s="1">
        <v>3</v>
      </c>
      <c r="AS360" s="1">
        <v>3</v>
      </c>
      <c r="AT360" s="1">
        <v>3</v>
      </c>
      <c r="AU360" s="1">
        <v>2</v>
      </c>
      <c r="AV360" s="1">
        <v>3</v>
      </c>
      <c r="AW360" s="1">
        <v>2</v>
      </c>
      <c r="AX360" s="1">
        <v>2</v>
      </c>
      <c r="AY360" s="1">
        <v>3</v>
      </c>
      <c r="AZ360" s="1">
        <v>3</v>
      </c>
      <c r="BA360" s="1">
        <v>3</v>
      </c>
      <c r="BB360" s="1">
        <v>4</v>
      </c>
      <c r="BC360" s="1">
        <v>3</v>
      </c>
    </row>
    <row r="361" spans="1:55">
      <c r="A361" s="1" t="s">
        <v>606</v>
      </c>
      <c r="B361" s="1" t="s">
        <v>489</v>
      </c>
      <c r="C361" s="1" t="s">
        <v>607</v>
      </c>
      <c r="D361" s="1">
        <v>4</v>
      </c>
      <c r="E361" s="1">
        <v>4</v>
      </c>
      <c r="F361" s="1">
        <v>2</v>
      </c>
      <c r="G361" s="1">
        <v>3</v>
      </c>
      <c r="H361" s="1">
        <v>3</v>
      </c>
      <c r="I361" s="1">
        <v>2</v>
      </c>
      <c r="J361" s="1">
        <v>2</v>
      </c>
      <c r="K361" s="1">
        <v>3</v>
      </c>
      <c r="L361" s="1">
        <v>2</v>
      </c>
      <c r="M361" s="1">
        <v>3</v>
      </c>
      <c r="N361" s="1">
        <v>2</v>
      </c>
      <c r="O361" s="1">
        <v>3</v>
      </c>
      <c r="P361" s="1">
        <v>3</v>
      </c>
      <c r="Q361" s="1">
        <v>3</v>
      </c>
      <c r="R361" s="1">
        <v>3</v>
      </c>
      <c r="S361" s="1">
        <v>3</v>
      </c>
      <c r="T361" s="1">
        <v>4</v>
      </c>
      <c r="U361" s="1">
        <v>3</v>
      </c>
      <c r="V361" s="1">
        <v>2</v>
      </c>
      <c r="W361" s="1">
        <v>3</v>
      </c>
      <c r="X361" s="1">
        <v>3</v>
      </c>
      <c r="Y361" s="1">
        <v>3</v>
      </c>
      <c r="Z361" s="1">
        <v>2</v>
      </c>
      <c r="AA361" s="1">
        <v>4</v>
      </c>
      <c r="AB361" s="1">
        <v>4</v>
      </c>
      <c r="AC361" s="1">
        <v>4</v>
      </c>
      <c r="AD361" s="1">
        <v>2</v>
      </c>
      <c r="AE361" s="1">
        <v>4</v>
      </c>
      <c r="AF361" s="1">
        <v>3</v>
      </c>
      <c r="AG361" s="1">
        <v>3</v>
      </c>
      <c r="AH361" s="1">
        <v>2</v>
      </c>
      <c r="AI361" s="1">
        <v>2</v>
      </c>
      <c r="AJ361" s="1">
        <v>3</v>
      </c>
      <c r="AK361" s="1">
        <v>3</v>
      </c>
      <c r="AL361" s="1">
        <v>4</v>
      </c>
      <c r="AM361" s="1">
        <v>2</v>
      </c>
      <c r="AN361" s="1">
        <v>2</v>
      </c>
      <c r="AO361" s="1">
        <v>4</v>
      </c>
      <c r="AP361" s="1">
        <v>4</v>
      </c>
      <c r="AQ361" s="1">
        <v>3</v>
      </c>
      <c r="AR361" s="1">
        <v>4</v>
      </c>
      <c r="AS361" s="1">
        <v>3</v>
      </c>
      <c r="AT361" s="1">
        <v>2</v>
      </c>
      <c r="AU361" s="1">
        <v>3</v>
      </c>
      <c r="AV361" s="1">
        <v>2</v>
      </c>
      <c r="AW361" s="1">
        <v>3</v>
      </c>
      <c r="AX361" s="1">
        <v>4</v>
      </c>
      <c r="AY361" s="1">
        <v>3</v>
      </c>
      <c r="AZ361" s="1">
        <v>4</v>
      </c>
      <c r="BA361" s="1">
        <v>2</v>
      </c>
      <c r="BB361" s="1">
        <v>3</v>
      </c>
      <c r="BC361" s="1">
        <v>3</v>
      </c>
    </row>
    <row r="362" spans="1:55">
      <c r="A362" s="1" t="s">
        <v>608</v>
      </c>
      <c r="B362" s="1" t="s">
        <v>489</v>
      </c>
      <c r="C362" s="1" t="s">
        <v>607</v>
      </c>
      <c r="D362" s="1">
        <v>3</v>
      </c>
      <c r="E362" s="1">
        <v>2</v>
      </c>
      <c r="F362" s="1">
        <v>3</v>
      </c>
      <c r="G362" s="1">
        <v>5</v>
      </c>
      <c r="H362" s="1">
        <v>3</v>
      </c>
      <c r="I362" s="1">
        <v>3</v>
      </c>
      <c r="J362" s="1">
        <v>2</v>
      </c>
      <c r="K362" s="1">
        <v>3</v>
      </c>
      <c r="L362" s="1">
        <v>3</v>
      </c>
      <c r="M362" s="1">
        <v>2</v>
      </c>
      <c r="N362" s="1">
        <v>3</v>
      </c>
      <c r="O362" s="1">
        <v>4</v>
      </c>
      <c r="P362" s="1">
        <v>3</v>
      </c>
      <c r="Q362" s="1">
        <v>2</v>
      </c>
      <c r="R362" s="1">
        <v>2</v>
      </c>
      <c r="S362" s="1">
        <v>2</v>
      </c>
      <c r="T362" s="1">
        <v>3</v>
      </c>
      <c r="U362" s="1">
        <v>2</v>
      </c>
      <c r="V362" s="1">
        <v>4</v>
      </c>
      <c r="W362" s="1">
        <v>3</v>
      </c>
      <c r="X362" s="1">
        <v>5</v>
      </c>
      <c r="Y362" s="1">
        <v>3</v>
      </c>
      <c r="Z362" s="1">
        <v>3</v>
      </c>
      <c r="AA362" s="1">
        <v>3</v>
      </c>
      <c r="AB362" s="1">
        <v>3</v>
      </c>
      <c r="AC362" s="1">
        <v>3</v>
      </c>
      <c r="AD362" s="1">
        <v>4</v>
      </c>
      <c r="AE362" s="1">
        <v>3</v>
      </c>
      <c r="AF362" s="1">
        <v>4</v>
      </c>
      <c r="AG362" s="1">
        <v>4</v>
      </c>
      <c r="AH362" s="1">
        <v>4</v>
      </c>
      <c r="AI362" s="1">
        <v>4</v>
      </c>
      <c r="AJ362" s="1">
        <v>3</v>
      </c>
      <c r="AK362" s="1">
        <v>3</v>
      </c>
      <c r="AL362" s="1">
        <v>2</v>
      </c>
      <c r="AM362" s="1">
        <v>3</v>
      </c>
      <c r="AN362" s="1">
        <v>4</v>
      </c>
      <c r="AO362" s="1">
        <v>3</v>
      </c>
      <c r="AP362" s="1">
        <v>4</v>
      </c>
      <c r="AQ362" s="1">
        <v>3</v>
      </c>
      <c r="AR362" s="1">
        <v>2</v>
      </c>
      <c r="AS362" s="1">
        <v>3</v>
      </c>
      <c r="AT362" s="1">
        <v>2</v>
      </c>
      <c r="AU362" s="1">
        <v>3</v>
      </c>
      <c r="AV362" s="1">
        <v>3</v>
      </c>
      <c r="AW362" s="1">
        <v>3</v>
      </c>
      <c r="AX362" s="1">
        <v>3</v>
      </c>
      <c r="AY362" s="1">
        <v>3</v>
      </c>
      <c r="AZ362" s="1">
        <v>3</v>
      </c>
      <c r="BA362" s="1">
        <v>4</v>
      </c>
      <c r="BB362" s="1">
        <v>3</v>
      </c>
      <c r="BC362" s="1">
        <v>2</v>
      </c>
    </row>
    <row r="363" spans="1:55">
      <c r="A363" s="1" t="s">
        <v>609</v>
      </c>
      <c r="B363" s="1" t="s">
        <v>489</v>
      </c>
      <c r="C363" s="1" t="s">
        <v>610</v>
      </c>
      <c r="D363" s="1">
        <v>3</v>
      </c>
      <c r="E363" s="1">
        <v>3</v>
      </c>
      <c r="F363" s="1">
        <v>3</v>
      </c>
      <c r="G363" s="1">
        <v>3</v>
      </c>
      <c r="H363" s="1">
        <v>3</v>
      </c>
      <c r="I363" s="1">
        <v>4</v>
      </c>
      <c r="J363" s="1">
        <v>4</v>
      </c>
      <c r="K363" s="1">
        <v>3</v>
      </c>
      <c r="L363" s="1">
        <v>3</v>
      </c>
      <c r="M363" s="1">
        <v>3</v>
      </c>
      <c r="N363" s="1">
        <v>3</v>
      </c>
      <c r="O363" s="1">
        <v>3</v>
      </c>
      <c r="P363" s="1">
        <v>3</v>
      </c>
      <c r="Q363" s="1">
        <v>3</v>
      </c>
      <c r="R363" s="1">
        <v>3</v>
      </c>
      <c r="S363" s="1">
        <v>3</v>
      </c>
      <c r="T363" s="1">
        <v>3</v>
      </c>
      <c r="U363" s="1">
        <v>3</v>
      </c>
      <c r="V363" s="1">
        <v>2</v>
      </c>
      <c r="W363" s="1">
        <v>3</v>
      </c>
      <c r="X363" s="1">
        <v>2</v>
      </c>
      <c r="Y363" s="1">
        <v>4</v>
      </c>
      <c r="Z363" s="1">
        <v>2</v>
      </c>
      <c r="AA363" s="1">
        <v>3</v>
      </c>
      <c r="AB363" s="1">
        <v>3</v>
      </c>
      <c r="AC363" s="1">
        <v>3</v>
      </c>
      <c r="AD363" s="1">
        <v>2</v>
      </c>
      <c r="AE363" s="1">
        <v>3</v>
      </c>
      <c r="AF363" s="1">
        <v>3</v>
      </c>
      <c r="AG363" s="1">
        <v>3</v>
      </c>
      <c r="AH363" s="1">
        <v>2</v>
      </c>
      <c r="AI363" s="1">
        <v>3</v>
      </c>
      <c r="AJ363" s="1">
        <v>4</v>
      </c>
      <c r="AK363" s="1">
        <v>3</v>
      </c>
      <c r="AL363" s="1">
        <v>3</v>
      </c>
      <c r="AM363" s="1">
        <v>4</v>
      </c>
      <c r="AN363" s="1">
        <v>2</v>
      </c>
      <c r="AO363" s="1">
        <v>3</v>
      </c>
      <c r="AP363" s="1">
        <v>2</v>
      </c>
      <c r="AQ363" s="1">
        <v>3</v>
      </c>
      <c r="AR363" s="1">
        <v>3</v>
      </c>
      <c r="AS363" s="1">
        <v>2</v>
      </c>
      <c r="AT363" s="1">
        <v>2</v>
      </c>
      <c r="AU363" s="1">
        <v>2</v>
      </c>
      <c r="AV363" s="1">
        <v>3</v>
      </c>
      <c r="AW363" s="1">
        <v>3</v>
      </c>
      <c r="AX363" s="1">
        <v>4</v>
      </c>
      <c r="AY363" s="1">
        <v>3</v>
      </c>
      <c r="AZ363" s="1">
        <v>3</v>
      </c>
      <c r="BA363" s="1">
        <v>2</v>
      </c>
      <c r="BB363" s="1">
        <v>3</v>
      </c>
      <c r="BC363" s="1">
        <v>2</v>
      </c>
    </row>
    <row r="364" spans="1:55">
      <c r="A364" s="1" t="s">
        <v>611</v>
      </c>
      <c r="B364" s="1" t="s">
        <v>489</v>
      </c>
      <c r="C364" s="1" t="s">
        <v>610</v>
      </c>
      <c r="D364" s="1">
        <v>3</v>
      </c>
      <c r="E364" s="1">
        <v>3</v>
      </c>
      <c r="F364" s="1">
        <v>3</v>
      </c>
      <c r="G364" s="1">
        <v>4</v>
      </c>
      <c r="H364" s="1">
        <v>3</v>
      </c>
      <c r="I364" s="1">
        <v>3</v>
      </c>
      <c r="J364" s="1">
        <v>3</v>
      </c>
      <c r="K364" s="1">
        <v>4</v>
      </c>
      <c r="L364" s="1">
        <v>3</v>
      </c>
      <c r="M364" s="1">
        <v>2</v>
      </c>
      <c r="N364" s="1">
        <v>4</v>
      </c>
      <c r="O364" s="1">
        <v>4</v>
      </c>
      <c r="P364" s="1">
        <v>4</v>
      </c>
      <c r="Q364" s="1">
        <v>4</v>
      </c>
      <c r="R364" s="1">
        <v>2</v>
      </c>
      <c r="S364" s="1">
        <v>3</v>
      </c>
      <c r="T364" s="1">
        <v>3</v>
      </c>
      <c r="U364" s="1">
        <v>3</v>
      </c>
      <c r="V364" s="1">
        <v>3</v>
      </c>
      <c r="W364" s="1">
        <v>3</v>
      </c>
      <c r="X364" s="1">
        <v>3</v>
      </c>
      <c r="Y364" s="1">
        <v>3</v>
      </c>
      <c r="Z364" s="1">
        <v>3</v>
      </c>
      <c r="AA364" s="1">
        <v>3</v>
      </c>
      <c r="AB364" s="1">
        <v>3</v>
      </c>
      <c r="AC364" s="1">
        <v>3</v>
      </c>
      <c r="AD364" s="1">
        <v>4</v>
      </c>
      <c r="AE364" s="1">
        <v>3</v>
      </c>
      <c r="AF364" s="1">
        <v>3</v>
      </c>
      <c r="AG364" s="1">
        <v>4</v>
      </c>
      <c r="AH364" s="1">
        <v>3</v>
      </c>
      <c r="AI364" s="1">
        <v>4</v>
      </c>
      <c r="AJ364" s="1">
        <v>3</v>
      </c>
      <c r="AK364" s="1">
        <v>3</v>
      </c>
      <c r="AL364" s="1">
        <v>4</v>
      </c>
      <c r="AM364" s="1">
        <v>3</v>
      </c>
      <c r="AN364" s="1">
        <v>3</v>
      </c>
      <c r="AO364" s="1">
        <v>4</v>
      </c>
      <c r="AP364" s="1">
        <v>3</v>
      </c>
      <c r="AQ364" s="1">
        <v>4</v>
      </c>
      <c r="AR364" s="1">
        <v>2</v>
      </c>
      <c r="AS364" s="1">
        <v>3</v>
      </c>
      <c r="AT364" s="1">
        <v>2</v>
      </c>
      <c r="AU364" s="1">
        <v>3</v>
      </c>
      <c r="AV364" s="1">
        <v>3</v>
      </c>
      <c r="AW364" s="1">
        <v>3</v>
      </c>
      <c r="AX364" s="1">
        <v>3</v>
      </c>
      <c r="AY364" s="1">
        <v>2</v>
      </c>
      <c r="AZ364" s="1">
        <v>4</v>
      </c>
      <c r="BA364" s="1">
        <v>2</v>
      </c>
      <c r="BB364" s="1">
        <v>4</v>
      </c>
      <c r="BC364" s="1">
        <v>2</v>
      </c>
    </row>
    <row r="365" spans="1:55">
      <c r="A365" s="1" t="s">
        <v>612</v>
      </c>
      <c r="B365" s="1" t="s">
        <v>489</v>
      </c>
      <c r="C365" s="1" t="s">
        <v>613</v>
      </c>
      <c r="D365" s="1">
        <v>3</v>
      </c>
      <c r="E365" s="1">
        <v>4</v>
      </c>
      <c r="F365" s="1">
        <v>2</v>
      </c>
      <c r="G365" s="1">
        <v>2</v>
      </c>
      <c r="H365" s="1">
        <v>2</v>
      </c>
      <c r="I365" s="1">
        <v>3</v>
      </c>
      <c r="J365" s="1">
        <v>2</v>
      </c>
      <c r="K365" s="1">
        <v>3</v>
      </c>
      <c r="L365" s="1">
        <v>4</v>
      </c>
      <c r="M365" s="1">
        <v>4</v>
      </c>
      <c r="N365" s="1">
        <v>3</v>
      </c>
      <c r="O365" s="1">
        <v>4</v>
      </c>
      <c r="P365" s="1">
        <v>4</v>
      </c>
      <c r="Q365" s="1">
        <v>3</v>
      </c>
      <c r="R365" s="1">
        <v>4</v>
      </c>
      <c r="S365" s="1">
        <v>4</v>
      </c>
      <c r="T365" s="1">
        <v>4</v>
      </c>
      <c r="U365" s="1">
        <v>3</v>
      </c>
      <c r="V365" s="1">
        <v>2</v>
      </c>
      <c r="W365" s="1">
        <v>2</v>
      </c>
      <c r="X365" s="1">
        <v>2</v>
      </c>
      <c r="Y365" s="1">
        <v>3</v>
      </c>
      <c r="Z365" s="1">
        <v>4</v>
      </c>
      <c r="AA365" s="1">
        <v>4</v>
      </c>
      <c r="AB365" s="1">
        <v>4</v>
      </c>
      <c r="AC365" s="1">
        <v>4</v>
      </c>
      <c r="AD365" s="1">
        <v>3</v>
      </c>
      <c r="AE365" s="1">
        <v>4</v>
      </c>
      <c r="AF365" s="1">
        <v>3</v>
      </c>
      <c r="AG365" s="1">
        <v>2</v>
      </c>
      <c r="AH365" s="1">
        <v>2</v>
      </c>
      <c r="AI365" s="1">
        <v>2</v>
      </c>
      <c r="AJ365" s="1">
        <v>3</v>
      </c>
      <c r="AK365" s="1">
        <v>4</v>
      </c>
      <c r="AL365" s="1">
        <v>4</v>
      </c>
      <c r="AM365" s="1">
        <v>3</v>
      </c>
      <c r="AN365" s="1">
        <v>3</v>
      </c>
      <c r="AO365" s="1">
        <v>4</v>
      </c>
      <c r="AP365" s="1">
        <v>4</v>
      </c>
      <c r="AQ365" s="1">
        <v>5</v>
      </c>
      <c r="AR365" s="1">
        <v>4</v>
      </c>
      <c r="AS365" s="1">
        <v>4</v>
      </c>
      <c r="AT365" s="1">
        <v>4</v>
      </c>
      <c r="AU365" s="1">
        <v>4</v>
      </c>
      <c r="AV365" s="1">
        <v>3</v>
      </c>
      <c r="AW365" s="1">
        <v>3</v>
      </c>
      <c r="AX365" s="1">
        <v>3</v>
      </c>
      <c r="AY365" s="1">
        <v>3</v>
      </c>
      <c r="AZ365" s="1">
        <v>3</v>
      </c>
      <c r="BA365" s="1">
        <v>4</v>
      </c>
      <c r="BB365" s="1">
        <v>4</v>
      </c>
      <c r="BC365" s="1">
        <v>5</v>
      </c>
    </row>
    <row r="366" spans="1:55">
      <c r="A366" s="1" t="s">
        <v>614</v>
      </c>
      <c r="B366" s="1" t="s">
        <v>489</v>
      </c>
      <c r="C366" s="1" t="s">
        <v>613</v>
      </c>
      <c r="D366" s="1">
        <v>3</v>
      </c>
      <c r="E366" s="1">
        <v>3</v>
      </c>
      <c r="F366" s="1">
        <v>4</v>
      </c>
      <c r="G366" s="1">
        <v>4</v>
      </c>
      <c r="H366" s="1">
        <v>3</v>
      </c>
      <c r="I366" s="1">
        <v>3</v>
      </c>
      <c r="J366" s="1">
        <v>5</v>
      </c>
      <c r="K366" s="1">
        <v>2</v>
      </c>
      <c r="L366" s="1">
        <v>3</v>
      </c>
      <c r="M366" s="1">
        <v>2</v>
      </c>
      <c r="N366" s="1">
        <v>3</v>
      </c>
      <c r="O366" s="1">
        <v>3</v>
      </c>
      <c r="P366" s="1">
        <v>2</v>
      </c>
      <c r="Q366" s="1">
        <v>2</v>
      </c>
      <c r="R366" s="1">
        <v>2</v>
      </c>
      <c r="S366" s="1">
        <v>3</v>
      </c>
      <c r="T366" s="1">
        <v>2</v>
      </c>
      <c r="U366" s="1">
        <v>1</v>
      </c>
      <c r="V366" s="1">
        <v>3</v>
      </c>
      <c r="W366" s="1">
        <v>4</v>
      </c>
      <c r="X366" s="1">
        <v>3</v>
      </c>
      <c r="Y366" s="1">
        <v>4</v>
      </c>
      <c r="Z366" s="1">
        <v>3</v>
      </c>
      <c r="AA366" s="1">
        <v>3</v>
      </c>
      <c r="AB366" s="1">
        <v>2</v>
      </c>
      <c r="AC366" s="1">
        <v>3</v>
      </c>
      <c r="AD366" s="1">
        <v>2</v>
      </c>
      <c r="AE366" s="1">
        <v>1</v>
      </c>
      <c r="AF366" s="1">
        <v>4</v>
      </c>
      <c r="AG366" s="1">
        <v>3</v>
      </c>
      <c r="AH366" s="1">
        <v>3</v>
      </c>
      <c r="AI366" s="1">
        <v>2</v>
      </c>
      <c r="AJ366" s="1">
        <v>4</v>
      </c>
      <c r="AK366" s="1">
        <v>2</v>
      </c>
      <c r="AL366" s="1">
        <v>2</v>
      </c>
      <c r="AM366" s="1">
        <v>2</v>
      </c>
      <c r="AN366" s="1">
        <v>3</v>
      </c>
      <c r="AO366" s="1">
        <v>1</v>
      </c>
      <c r="AP366" s="1">
        <v>2</v>
      </c>
      <c r="AQ366" s="1">
        <v>2</v>
      </c>
      <c r="AR366" s="1">
        <v>2</v>
      </c>
      <c r="AS366" s="1">
        <v>2</v>
      </c>
      <c r="AT366" s="1">
        <v>3</v>
      </c>
      <c r="AU366" s="1">
        <v>1</v>
      </c>
      <c r="AV366" s="1">
        <v>3</v>
      </c>
      <c r="AW366" s="1">
        <v>2</v>
      </c>
      <c r="AX366" s="1">
        <v>5</v>
      </c>
      <c r="AY366" s="1">
        <v>4</v>
      </c>
      <c r="AZ366" s="1">
        <v>2</v>
      </c>
      <c r="BA366" s="1">
        <v>2</v>
      </c>
      <c r="BB366" s="1">
        <v>2</v>
      </c>
      <c r="BC366" s="1">
        <v>2</v>
      </c>
    </row>
    <row r="367" spans="1:55">
      <c r="A367" s="1" t="s">
        <v>615</v>
      </c>
      <c r="B367" s="1" t="s">
        <v>489</v>
      </c>
      <c r="C367" s="1" t="s">
        <v>616</v>
      </c>
      <c r="D367" s="1">
        <v>2</v>
      </c>
      <c r="E367" s="1">
        <v>3</v>
      </c>
      <c r="F367" s="1">
        <v>3</v>
      </c>
      <c r="G367" s="1">
        <v>3</v>
      </c>
      <c r="H367" s="1">
        <v>3</v>
      </c>
      <c r="I367" s="1">
        <v>2</v>
      </c>
      <c r="J367" s="1">
        <v>3</v>
      </c>
      <c r="K367" s="1">
        <v>2</v>
      </c>
      <c r="L367" s="1">
        <v>3</v>
      </c>
      <c r="M367" s="1">
        <v>3</v>
      </c>
      <c r="N367" s="1">
        <v>2</v>
      </c>
      <c r="O367" s="1">
        <v>2</v>
      </c>
      <c r="P367" s="1">
        <v>3</v>
      </c>
      <c r="Q367" s="1">
        <v>3</v>
      </c>
      <c r="R367" s="1">
        <v>3</v>
      </c>
      <c r="S367" s="1">
        <v>3</v>
      </c>
      <c r="T367" s="1">
        <v>3</v>
      </c>
      <c r="U367" s="1">
        <v>3</v>
      </c>
      <c r="V367" s="1">
        <v>3</v>
      </c>
      <c r="W367" s="1">
        <v>2</v>
      </c>
      <c r="X367" s="1">
        <v>2</v>
      </c>
      <c r="Y367" s="1">
        <v>2</v>
      </c>
      <c r="Z367" s="1">
        <v>4</v>
      </c>
      <c r="AA367" s="1">
        <v>2</v>
      </c>
      <c r="AB367" s="1">
        <v>3</v>
      </c>
      <c r="AC367" s="1">
        <v>4</v>
      </c>
      <c r="AD367" s="1">
        <v>3</v>
      </c>
      <c r="AE367" s="1">
        <v>3</v>
      </c>
      <c r="AF367" s="1">
        <v>2</v>
      </c>
      <c r="AG367" s="1">
        <v>3</v>
      </c>
      <c r="AH367" s="1">
        <v>2</v>
      </c>
      <c r="AI367" s="1">
        <v>3</v>
      </c>
      <c r="AJ367" s="1">
        <v>3</v>
      </c>
      <c r="AK367" s="1">
        <v>3</v>
      </c>
      <c r="AL367" s="1">
        <v>3</v>
      </c>
      <c r="AM367" s="1">
        <v>2</v>
      </c>
      <c r="AN367" s="1">
        <v>3</v>
      </c>
      <c r="AO367" s="1">
        <v>3</v>
      </c>
      <c r="AP367" s="1">
        <v>2</v>
      </c>
      <c r="AQ367" s="1">
        <v>3</v>
      </c>
      <c r="AR367" s="1">
        <v>3</v>
      </c>
      <c r="AS367" s="1">
        <v>3</v>
      </c>
      <c r="AT367" s="1">
        <v>4</v>
      </c>
      <c r="AU367" s="1">
        <v>3</v>
      </c>
      <c r="AV367" s="1">
        <v>2</v>
      </c>
      <c r="AW367" s="1">
        <v>2</v>
      </c>
      <c r="AX367" s="1">
        <v>1</v>
      </c>
      <c r="AY367" s="1">
        <v>2</v>
      </c>
      <c r="AZ367" s="1">
        <v>3</v>
      </c>
      <c r="BA367" s="1">
        <v>2</v>
      </c>
      <c r="BB367" s="1">
        <v>2</v>
      </c>
      <c r="BC367" s="1">
        <v>4</v>
      </c>
    </row>
    <row r="368" spans="1:55">
      <c r="A368" s="1" t="s">
        <v>617</v>
      </c>
      <c r="B368" s="1" t="s">
        <v>489</v>
      </c>
      <c r="C368" s="1" t="s">
        <v>616</v>
      </c>
      <c r="D368" s="1">
        <v>2</v>
      </c>
      <c r="E368" s="1">
        <v>2</v>
      </c>
      <c r="F368" s="1">
        <v>3</v>
      </c>
      <c r="G368" s="1">
        <v>4</v>
      </c>
      <c r="H368" s="1">
        <v>3</v>
      </c>
      <c r="I368" s="1">
        <v>3</v>
      </c>
      <c r="J368" s="1">
        <v>3</v>
      </c>
      <c r="K368" s="1">
        <v>3</v>
      </c>
      <c r="L368" s="1">
        <v>3</v>
      </c>
      <c r="M368" s="1">
        <v>3</v>
      </c>
      <c r="N368" s="1">
        <v>4</v>
      </c>
      <c r="O368" s="1">
        <v>3</v>
      </c>
      <c r="P368" s="1">
        <v>2</v>
      </c>
      <c r="Q368" s="1">
        <v>3</v>
      </c>
      <c r="R368" s="1">
        <v>2</v>
      </c>
      <c r="S368" s="1">
        <v>3</v>
      </c>
      <c r="T368" s="1">
        <v>4</v>
      </c>
      <c r="U368" s="1">
        <v>3</v>
      </c>
      <c r="V368" s="1">
        <v>3</v>
      </c>
      <c r="W368" s="1">
        <v>2</v>
      </c>
      <c r="X368" s="1">
        <v>3</v>
      </c>
      <c r="Y368" s="1">
        <v>2</v>
      </c>
      <c r="Z368" s="1">
        <v>3</v>
      </c>
      <c r="AA368" s="1">
        <v>2</v>
      </c>
      <c r="AB368" s="1">
        <v>3</v>
      </c>
      <c r="AC368" s="1">
        <v>2</v>
      </c>
      <c r="AD368" s="1">
        <v>3</v>
      </c>
      <c r="AE368" s="1">
        <v>3</v>
      </c>
      <c r="AF368" s="1">
        <v>4</v>
      </c>
      <c r="AG368" s="1">
        <v>4</v>
      </c>
      <c r="AH368" s="1">
        <v>4</v>
      </c>
      <c r="AI368" s="1">
        <v>4</v>
      </c>
      <c r="AJ368" s="1">
        <v>4</v>
      </c>
      <c r="AK368" s="1">
        <v>2</v>
      </c>
      <c r="AL368" s="1">
        <v>4</v>
      </c>
      <c r="AM368" s="1">
        <v>2</v>
      </c>
      <c r="AN368" s="1">
        <v>3</v>
      </c>
      <c r="AO368" s="1">
        <v>3</v>
      </c>
      <c r="AP368" s="1">
        <v>2</v>
      </c>
      <c r="AQ368" s="1">
        <v>4</v>
      </c>
      <c r="AR368" s="1">
        <v>3</v>
      </c>
      <c r="AS368" s="1">
        <v>2</v>
      </c>
      <c r="AT368" s="1">
        <v>3</v>
      </c>
      <c r="AU368" s="1">
        <v>3</v>
      </c>
      <c r="AV368" s="1">
        <v>3</v>
      </c>
      <c r="AW368" s="1">
        <v>3</v>
      </c>
      <c r="AX368" s="1">
        <v>3</v>
      </c>
      <c r="AY368" s="1">
        <v>3</v>
      </c>
      <c r="AZ368" s="1">
        <v>3</v>
      </c>
      <c r="BA368" s="1">
        <v>2</v>
      </c>
      <c r="BB368" s="1">
        <v>3</v>
      </c>
      <c r="BC368" s="1">
        <v>4</v>
      </c>
    </row>
    <row r="369" spans="1:55">
      <c r="A369" s="1" t="s">
        <v>618</v>
      </c>
      <c r="B369" s="1" t="s">
        <v>489</v>
      </c>
      <c r="C369" s="1" t="s">
        <v>619</v>
      </c>
      <c r="D369" s="1">
        <v>4</v>
      </c>
      <c r="E369" s="1">
        <v>3</v>
      </c>
      <c r="F369" s="1">
        <v>3</v>
      </c>
      <c r="G369" s="1">
        <v>2</v>
      </c>
      <c r="H369" s="1">
        <v>3</v>
      </c>
      <c r="I369" s="1">
        <v>3</v>
      </c>
      <c r="J369" s="1">
        <v>4</v>
      </c>
      <c r="K369" s="1">
        <v>3</v>
      </c>
      <c r="L369" s="1">
        <v>4</v>
      </c>
      <c r="M369" s="1">
        <v>4</v>
      </c>
      <c r="N369" s="1">
        <v>4</v>
      </c>
      <c r="O369" s="1">
        <v>4</v>
      </c>
      <c r="P369" s="1">
        <v>3</v>
      </c>
      <c r="Q369" s="1">
        <v>3</v>
      </c>
      <c r="R369" s="1">
        <v>2</v>
      </c>
      <c r="S369" s="1">
        <v>3</v>
      </c>
      <c r="T369" s="1">
        <v>4</v>
      </c>
      <c r="U369" s="1">
        <v>3</v>
      </c>
      <c r="V369" s="1">
        <v>4</v>
      </c>
      <c r="W369" s="1">
        <v>4</v>
      </c>
      <c r="X369" s="1">
        <v>3</v>
      </c>
      <c r="Y369" s="1">
        <v>4</v>
      </c>
      <c r="Z369" s="1">
        <v>3</v>
      </c>
      <c r="AA369" s="1">
        <v>3</v>
      </c>
      <c r="AB369" s="1">
        <v>3</v>
      </c>
      <c r="AC369" s="1">
        <v>3</v>
      </c>
      <c r="AD369" s="1">
        <v>3</v>
      </c>
      <c r="AE369" s="1">
        <v>4</v>
      </c>
      <c r="AF369" s="1">
        <v>3</v>
      </c>
      <c r="AG369" s="1">
        <v>3</v>
      </c>
      <c r="AH369" s="1">
        <v>4</v>
      </c>
      <c r="AI369" s="1">
        <v>4</v>
      </c>
      <c r="AJ369" s="1">
        <v>4</v>
      </c>
      <c r="AK369" s="1">
        <v>4</v>
      </c>
      <c r="AL369" s="1">
        <v>4</v>
      </c>
      <c r="AM369" s="1">
        <v>4</v>
      </c>
      <c r="AN369" s="1">
        <v>4</v>
      </c>
      <c r="AO369" s="1">
        <v>3</v>
      </c>
      <c r="AP369" s="1">
        <v>3</v>
      </c>
      <c r="AQ369" s="1">
        <v>4</v>
      </c>
      <c r="AR369" s="1">
        <v>4</v>
      </c>
      <c r="AS369" s="1">
        <v>3</v>
      </c>
      <c r="AT369" s="1">
        <v>3</v>
      </c>
      <c r="AU369" s="1">
        <v>4</v>
      </c>
      <c r="AV369" s="1">
        <v>3</v>
      </c>
      <c r="AW369" s="1">
        <v>3</v>
      </c>
      <c r="AX369" s="1">
        <v>2</v>
      </c>
      <c r="AY369" s="1">
        <v>3</v>
      </c>
      <c r="AZ369" s="1">
        <v>2</v>
      </c>
      <c r="BA369" s="1">
        <v>3</v>
      </c>
      <c r="BB369" s="1">
        <v>3</v>
      </c>
      <c r="BC369" s="1">
        <v>2</v>
      </c>
    </row>
    <row r="370" spans="1:55">
      <c r="A370" s="1" t="s">
        <v>620</v>
      </c>
      <c r="B370" s="1" t="s">
        <v>489</v>
      </c>
      <c r="C370" s="1" t="s">
        <v>619</v>
      </c>
      <c r="D370" s="1">
        <v>3</v>
      </c>
      <c r="E370" s="1">
        <v>3</v>
      </c>
      <c r="F370" s="1">
        <v>3</v>
      </c>
      <c r="G370" s="1">
        <v>3</v>
      </c>
      <c r="H370" s="1">
        <v>4</v>
      </c>
      <c r="I370" s="1">
        <v>5</v>
      </c>
      <c r="J370" s="1">
        <v>4</v>
      </c>
      <c r="K370" s="1">
        <v>3</v>
      </c>
      <c r="L370" s="1">
        <v>3</v>
      </c>
      <c r="M370" s="1">
        <v>4</v>
      </c>
      <c r="N370" s="1">
        <v>4</v>
      </c>
      <c r="O370" s="1">
        <v>2</v>
      </c>
      <c r="P370" s="1">
        <v>2</v>
      </c>
      <c r="Q370" s="1">
        <v>3</v>
      </c>
      <c r="R370" s="1">
        <v>4</v>
      </c>
      <c r="S370" s="1">
        <v>3</v>
      </c>
      <c r="T370" s="1">
        <v>3</v>
      </c>
      <c r="U370" s="1">
        <v>4</v>
      </c>
      <c r="V370" s="1">
        <v>4</v>
      </c>
      <c r="W370" s="1">
        <v>4</v>
      </c>
      <c r="X370" s="1">
        <v>4</v>
      </c>
      <c r="Y370" s="1">
        <v>3</v>
      </c>
      <c r="Z370" s="1">
        <v>2</v>
      </c>
      <c r="AA370" s="1">
        <v>3</v>
      </c>
      <c r="AB370" s="1">
        <v>2</v>
      </c>
      <c r="AC370" s="1">
        <v>2</v>
      </c>
      <c r="AD370" s="1">
        <v>3</v>
      </c>
      <c r="AE370" s="1">
        <v>3</v>
      </c>
      <c r="AF370" s="1">
        <v>2</v>
      </c>
      <c r="AG370" s="1">
        <v>3</v>
      </c>
      <c r="AH370" s="1">
        <v>4</v>
      </c>
      <c r="AI370" s="1">
        <v>4</v>
      </c>
      <c r="AJ370" s="1">
        <v>4</v>
      </c>
      <c r="AK370" s="1">
        <v>2</v>
      </c>
      <c r="AL370" s="1">
        <v>3</v>
      </c>
      <c r="AM370" s="1">
        <v>3</v>
      </c>
      <c r="AN370" s="1">
        <v>4</v>
      </c>
      <c r="AO370" s="1">
        <v>2</v>
      </c>
      <c r="AP370" s="1">
        <v>3</v>
      </c>
      <c r="AQ370" s="1">
        <v>2</v>
      </c>
      <c r="AR370" s="1">
        <v>4</v>
      </c>
      <c r="AS370" s="1">
        <v>4</v>
      </c>
      <c r="AT370" s="1">
        <v>2</v>
      </c>
      <c r="AU370" s="1">
        <v>3</v>
      </c>
      <c r="AV370" s="1">
        <v>4</v>
      </c>
      <c r="AW370" s="1">
        <v>4</v>
      </c>
      <c r="AX370" s="1">
        <v>3</v>
      </c>
      <c r="AY370" s="1">
        <v>3</v>
      </c>
      <c r="AZ370" s="1">
        <v>2</v>
      </c>
      <c r="BA370" s="1">
        <v>2</v>
      </c>
      <c r="BB370" s="1">
        <v>3</v>
      </c>
      <c r="BC370" s="1">
        <v>3</v>
      </c>
    </row>
    <row r="371" spans="1:55">
      <c r="A371" s="1" t="s">
        <v>621</v>
      </c>
      <c r="B371" s="1" t="s">
        <v>489</v>
      </c>
      <c r="C371" s="1" t="s">
        <v>622</v>
      </c>
      <c r="D371" s="1">
        <v>3</v>
      </c>
      <c r="E371" s="1">
        <v>3</v>
      </c>
      <c r="F371" s="1">
        <v>3</v>
      </c>
      <c r="G371" s="1">
        <v>2</v>
      </c>
      <c r="H371" s="1">
        <v>3</v>
      </c>
      <c r="I371" s="1">
        <v>3</v>
      </c>
      <c r="J371" s="1">
        <v>3</v>
      </c>
      <c r="K371" s="1">
        <v>3</v>
      </c>
      <c r="L371" s="1">
        <v>3</v>
      </c>
      <c r="M371" s="1">
        <v>3</v>
      </c>
      <c r="N371" s="1">
        <v>3</v>
      </c>
      <c r="O371" s="1">
        <v>3</v>
      </c>
      <c r="P371" s="1">
        <v>3</v>
      </c>
      <c r="Q371" s="1">
        <v>3</v>
      </c>
      <c r="R371" s="1">
        <v>4</v>
      </c>
      <c r="S371" s="1">
        <v>3</v>
      </c>
      <c r="T371" s="1">
        <v>3</v>
      </c>
      <c r="U371" s="1">
        <v>3</v>
      </c>
      <c r="V371" s="1">
        <v>3</v>
      </c>
      <c r="W371" s="1">
        <v>2</v>
      </c>
      <c r="X371" s="1">
        <v>3</v>
      </c>
      <c r="Y371" s="1">
        <v>3</v>
      </c>
      <c r="Z371" s="1">
        <v>4</v>
      </c>
      <c r="AA371" s="1">
        <v>3</v>
      </c>
      <c r="AB371" s="1">
        <v>2</v>
      </c>
      <c r="AC371" s="1">
        <v>3</v>
      </c>
      <c r="AD371" s="1">
        <v>4</v>
      </c>
      <c r="AE371" s="1">
        <v>3</v>
      </c>
      <c r="AF371" s="1">
        <v>2</v>
      </c>
      <c r="AG371" s="1">
        <v>3</v>
      </c>
      <c r="AH371" s="1">
        <v>4</v>
      </c>
      <c r="AI371" s="1">
        <v>3</v>
      </c>
      <c r="AJ371" s="1">
        <v>3</v>
      </c>
      <c r="AK371" s="1">
        <v>3</v>
      </c>
      <c r="AL371" s="1">
        <v>2</v>
      </c>
      <c r="AM371" s="1">
        <v>3</v>
      </c>
      <c r="AN371" s="1">
        <v>3</v>
      </c>
      <c r="AO371" s="1">
        <v>3</v>
      </c>
      <c r="AP371" s="1">
        <v>3</v>
      </c>
      <c r="AQ371" s="1">
        <v>3</v>
      </c>
      <c r="AR371" s="1">
        <v>3</v>
      </c>
      <c r="AS371" s="1">
        <v>4</v>
      </c>
      <c r="AT371" s="1">
        <v>4</v>
      </c>
      <c r="AU371" s="1">
        <v>3</v>
      </c>
      <c r="AV371" s="1">
        <v>3</v>
      </c>
      <c r="AW371" s="1">
        <v>3</v>
      </c>
      <c r="AX371" s="1">
        <v>3</v>
      </c>
      <c r="AY371" s="1">
        <v>3</v>
      </c>
      <c r="AZ371" s="1">
        <v>2</v>
      </c>
      <c r="BA371" s="1">
        <v>2</v>
      </c>
      <c r="BB371" s="1">
        <v>2</v>
      </c>
      <c r="BC371" s="1">
        <v>3</v>
      </c>
    </row>
    <row r="372" spans="1:55">
      <c r="A372" s="1" t="s">
        <v>623</v>
      </c>
      <c r="B372" s="1" t="s">
        <v>489</v>
      </c>
      <c r="C372" s="1" t="s">
        <v>622</v>
      </c>
      <c r="D372" s="1">
        <v>2</v>
      </c>
      <c r="E372" s="1">
        <v>2</v>
      </c>
      <c r="F372" s="1">
        <v>4</v>
      </c>
      <c r="G372" s="1">
        <v>4</v>
      </c>
      <c r="H372" s="1">
        <v>2</v>
      </c>
      <c r="I372" s="1">
        <v>2</v>
      </c>
      <c r="J372" s="1">
        <v>3</v>
      </c>
      <c r="K372" s="1">
        <v>3</v>
      </c>
      <c r="L372" s="1">
        <v>3</v>
      </c>
      <c r="M372" s="1">
        <v>3</v>
      </c>
      <c r="N372" s="1">
        <v>1</v>
      </c>
      <c r="O372" s="1">
        <v>2</v>
      </c>
      <c r="P372" s="1">
        <v>3</v>
      </c>
      <c r="Q372" s="1">
        <v>2</v>
      </c>
      <c r="R372" s="1">
        <v>2</v>
      </c>
      <c r="S372" s="1">
        <v>2</v>
      </c>
      <c r="T372" s="1">
        <v>3</v>
      </c>
      <c r="U372" s="1">
        <v>2</v>
      </c>
      <c r="V372" s="1">
        <v>2</v>
      </c>
      <c r="W372" s="1">
        <v>4</v>
      </c>
      <c r="X372" s="1">
        <v>5</v>
      </c>
      <c r="Y372" s="1">
        <v>3</v>
      </c>
      <c r="Z372" s="1">
        <v>3</v>
      </c>
      <c r="AA372" s="1">
        <v>2</v>
      </c>
      <c r="AB372" s="1">
        <v>2</v>
      </c>
      <c r="AC372" s="1">
        <v>5</v>
      </c>
      <c r="AD372" s="1">
        <v>2</v>
      </c>
      <c r="AE372" s="1">
        <v>2</v>
      </c>
      <c r="AF372" s="1">
        <v>4</v>
      </c>
      <c r="AG372" s="1">
        <v>4</v>
      </c>
      <c r="AH372" s="1">
        <v>3</v>
      </c>
      <c r="AI372" s="1">
        <v>1</v>
      </c>
      <c r="AJ372" s="1">
        <v>2</v>
      </c>
      <c r="AK372" s="1">
        <v>4</v>
      </c>
      <c r="AL372" s="1">
        <v>3</v>
      </c>
      <c r="AM372" s="1">
        <v>2</v>
      </c>
      <c r="AN372" s="1">
        <v>3</v>
      </c>
      <c r="AO372" s="1">
        <v>2</v>
      </c>
      <c r="AP372" s="1">
        <v>3</v>
      </c>
      <c r="AQ372" s="1">
        <v>3</v>
      </c>
      <c r="AR372" s="1">
        <v>3</v>
      </c>
      <c r="AS372" s="1">
        <v>2</v>
      </c>
      <c r="AT372" s="1">
        <v>3</v>
      </c>
      <c r="AU372" s="1">
        <v>2</v>
      </c>
      <c r="AV372" s="1">
        <v>2</v>
      </c>
      <c r="AW372" s="1">
        <v>3</v>
      </c>
      <c r="AX372" s="1">
        <v>4</v>
      </c>
      <c r="AY372" s="1">
        <v>4</v>
      </c>
      <c r="AZ372" s="1">
        <v>3</v>
      </c>
      <c r="BA372" s="1">
        <v>3</v>
      </c>
      <c r="BB372" s="1">
        <v>3</v>
      </c>
      <c r="BC372" s="1">
        <v>3</v>
      </c>
    </row>
    <row r="373" spans="1:55">
      <c r="A373" s="1" t="s">
        <v>624</v>
      </c>
      <c r="B373" s="1" t="s">
        <v>489</v>
      </c>
      <c r="C373" s="1" t="s">
        <v>625</v>
      </c>
      <c r="D373" s="1">
        <v>4</v>
      </c>
      <c r="E373" s="1">
        <v>3</v>
      </c>
      <c r="F373" s="1">
        <v>3</v>
      </c>
      <c r="G373" s="1">
        <v>3</v>
      </c>
      <c r="H373" s="1">
        <v>3</v>
      </c>
      <c r="I373" s="1">
        <v>4</v>
      </c>
      <c r="J373" s="1">
        <v>3</v>
      </c>
      <c r="K373" s="1">
        <v>1</v>
      </c>
      <c r="L373" s="1">
        <v>3</v>
      </c>
      <c r="M373" s="1">
        <v>3</v>
      </c>
      <c r="N373" s="1">
        <v>3</v>
      </c>
      <c r="O373" s="1">
        <v>2</v>
      </c>
      <c r="P373" s="1">
        <v>2</v>
      </c>
      <c r="Q373" s="1">
        <v>2</v>
      </c>
      <c r="R373" s="1">
        <v>3</v>
      </c>
      <c r="S373" s="1">
        <v>3</v>
      </c>
      <c r="T373" s="1">
        <v>3</v>
      </c>
      <c r="U373" s="1">
        <v>3</v>
      </c>
      <c r="V373" s="1">
        <v>3</v>
      </c>
      <c r="W373" s="1">
        <v>3</v>
      </c>
      <c r="X373" s="1">
        <v>4</v>
      </c>
      <c r="Y373" s="1">
        <v>3</v>
      </c>
      <c r="Z373" s="1">
        <v>2</v>
      </c>
      <c r="AA373" s="1">
        <v>2</v>
      </c>
      <c r="AB373" s="1">
        <v>4</v>
      </c>
      <c r="AC373" s="1">
        <v>3</v>
      </c>
      <c r="AD373" s="1">
        <v>3</v>
      </c>
      <c r="AE373" s="1">
        <v>4</v>
      </c>
      <c r="AF373" s="1">
        <v>3</v>
      </c>
      <c r="AG373" s="1">
        <v>3</v>
      </c>
      <c r="AH373" s="1">
        <v>3</v>
      </c>
      <c r="AI373" s="1">
        <v>3</v>
      </c>
      <c r="AJ373" s="1">
        <v>3</v>
      </c>
      <c r="AK373" s="1">
        <v>2</v>
      </c>
      <c r="AL373" s="1">
        <v>3</v>
      </c>
      <c r="AM373" s="1">
        <v>4</v>
      </c>
      <c r="AN373" s="1">
        <v>3</v>
      </c>
      <c r="AO373" s="1">
        <v>3</v>
      </c>
      <c r="AP373" s="1">
        <v>2</v>
      </c>
      <c r="AQ373" s="1">
        <v>2</v>
      </c>
      <c r="AR373" s="1">
        <v>4</v>
      </c>
      <c r="AS373" s="1">
        <v>3</v>
      </c>
      <c r="AT373" s="1">
        <v>3</v>
      </c>
      <c r="AU373" s="1">
        <v>4</v>
      </c>
      <c r="AV373" s="1">
        <v>3</v>
      </c>
      <c r="AW373" s="1">
        <v>4</v>
      </c>
      <c r="AX373" s="1">
        <v>5</v>
      </c>
      <c r="AY373" s="1">
        <v>4</v>
      </c>
      <c r="AZ373" s="1">
        <v>4</v>
      </c>
      <c r="BA373" s="1">
        <v>2</v>
      </c>
      <c r="BB373" s="1">
        <v>3</v>
      </c>
      <c r="BC373" s="1">
        <v>3</v>
      </c>
    </row>
    <row r="374" spans="1:55">
      <c r="A374" s="1" t="s">
        <v>626</v>
      </c>
      <c r="B374" s="1" t="s">
        <v>489</v>
      </c>
      <c r="C374" s="1" t="s">
        <v>625</v>
      </c>
      <c r="D374" s="1">
        <v>3</v>
      </c>
      <c r="E374" s="1">
        <v>3</v>
      </c>
      <c r="F374" s="1">
        <v>4</v>
      </c>
      <c r="G374" s="1">
        <v>3</v>
      </c>
      <c r="H374" s="1">
        <v>3</v>
      </c>
      <c r="I374" s="1">
        <v>2</v>
      </c>
      <c r="J374" s="1">
        <v>3</v>
      </c>
      <c r="K374" s="1">
        <v>3</v>
      </c>
      <c r="L374" s="1">
        <v>3</v>
      </c>
      <c r="M374" s="1">
        <v>4</v>
      </c>
      <c r="N374" s="1">
        <v>4</v>
      </c>
      <c r="O374" s="1">
        <v>1</v>
      </c>
      <c r="P374" s="1">
        <v>3</v>
      </c>
      <c r="Q374" s="1">
        <v>3</v>
      </c>
      <c r="R374" s="1">
        <v>3</v>
      </c>
      <c r="S374" s="1">
        <v>5</v>
      </c>
      <c r="T374" s="1">
        <v>2</v>
      </c>
      <c r="U374" s="1">
        <v>3</v>
      </c>
      <c r="V374" s="1">
        <v>3</v>
      </c>
      <c r="W374" s="1">
        <v>3</v>
      </c>
      <c r="X374" s="1">
        <v>3</v>
      </c>
      <c r="Y374" s="1">
        <v>2</v>
      </c>
      <c r="Z374" s="1">
        <v>3</v>
      </c>
      <c r="AA374" s="1">
        <v>2</v>
      </c>
      <c r="AB374" s="1">
        <v>3</v>
      </c>
      <c r="AC374" s="1">
        <v>3</v>
      </c>
      <c r="AD374" s="1">
        <v>2</v>
      </c>
      <c r="AE374" s="1">
        <v>4</v>
      </c>
      <c r="AF374" s="1">
        <v>2</v>
      </c>
      <c r="AG374" s="1">
        <v>3</v>
      </c>
      <c r="AH374" s="1">
        <v>3</v>
      </c>
      <c r="AI374" s="1">
        <v>3</v>
      </c>
      <c r="AJ374" s="1">
        <v>3</v>
      </c>
      <c r="AK374" s="1">
        <v>3</v>
      </c>
      <c r="AL374" s="1">
        <v>2</v>
      </c>
      <c r="AM374" s="1">
        <v>3</v>
      </c>
      <c r="AN374" s="1">
        <v>3</v>
      </c>
      <c r="AO374" s="1">
        <v>2</v>
      </c>
      <c r="AP374" s="1">
        <v>3</v>
      </c>
      <c r="AQ374" s="1">
        <v>3</v>
      </c>
      <c r="AR374" s="1">
        <v>3</v>
      </c>
      <c r="AS374" s="1">
        <v>3</v>
      </c>
      <c r="AT374" s="1">
        <v>4</v>
      </c>
      <c r="AU374" s="1">
        <v>3</v>
      </c>
      <c r="AV374" s="1">
        <v>3</v>
      </c>
      <c r="AW374" s="1">
        <v>3</v>
      </c>
      <c r="AX374" s="1">
        <v>3</v>
      </c>
      <c r="AY374" s="1">
        <v>3</v>
      </c>
      <c r="AZ374" s="1">
        <v>2</v>
      </c>
      <c r="BA374" s="1">
        <v>2</v>
      </c>
      <c r="BB374" s="1">
        <v>2</v>
      </c>
      <c r="BC374" s="1">
        <v>3</v>
      </c>
    </row>
    <row r="375" spans="1:55">
      <c r="A375" s="1" t="s">
        <v>627</v>
      </c>
      <c r="B375" s="1" t="s">
        <v>489</v>
      </c>
      <c r="C375" s="1" t="s">
        <v>628</v>
      </c>
      <c r="D375" s="1">
        <v>3</v>
      </c>
      <c r="E375" s="1">
        <v>3</v>
      </c>
      <c r="F375" s="1">
        <v>4</v>
      </c>
      <c r="G375" s="1">
        <v>3</v>
      </c>
      <c r="H375" s="1">
        <v>3</v>
      </c>
      <c r="I375" s="1">
        <v>3</v>
      </c>
      <c r="J375" s="1">
        <v>3</v>
      </c>
      <c r="K375" s="1">
        <v>2</v>
      </c>
      <c r="L375" s="1">
        <v>2</v>
      </c>
      <c r="M375" s="1">
        <v>3</v>
      </c>
      <c r="N375" s="1">
        <v>3</v>
      </c>
      <c r="O375" s="1">
        <v>3</v>
      </c>
      <c r="P375" s="1">
        <v>2</v>
      </c>
      <c r="Q375" s="1">
        <v>2</v>
      </c>
      <c r="R375" s="1">
        <v>2</v>
      </c>
      <c r="S375" s="1">
        <v>3</v>
      </c>
      <c r="T375" s="1">
        <v>3</v>
      </c>
      <c r="U375" s="1">
        <v>3</v>
      </c>
      <c r="V375" s="1">
        <v>2</v>
      </c>
      <c r="W375" s="1">
        <v>2</v>
      </c>
      <c r="X375" s="1">
        <v>4</v>
      </c>
      <c r="Y375" s="1">
        <v>3</v>
      </c>
      <c r="Z375" s="1">
        <v>3</v>
      </c>
      <c r="AA375" s="1">
        <v>2</v>
      </c>
      <c r="AB375" s="1">
        <v>2</v>
      </c>
      <c r="AC375" s="1">
        <v>4</v>
      </c>
      <c r="AD375" s="1">
        <v>3</v>
      </c>
      <c r="AE375" s="1">
        <v>2</v>
      </c>
      <c r="AF375" s="1">
        <v>3</v>
      </c>
      <c r="AG375" s="1">
        <v>3</v>
      </c>
      <c r="AH375" s="1">
        <v>3</v>
      </c>
      <c r="AI375" s="1">
        <v>3</v>
      </c>
      <c r="AJ375" s="1">
        <v>3</v>
      </c>
      <c r="AK375" s="1">
        <v>3</v>
      </c>
      <c r="AL375" s="1">
        <v>3</v>
      </c>
      <c r="AM375" s="1">
        <v>3</v>
      </c>
      <c r="AN375" s="1">
        <v>3</v>
      </c>
      <c r="AO375" s="1">
        <v>3</v>
      </c>
      <c r="AP375" s="1">
        <v>2</v>
      </c>
      <c r="AQ375" s="1">
        <v>4</v>
      </c>
      <c r="AR375" s="1">
        <v>3</v>
      </c>
      <c r="AS375" s="1">
        <v>3</v>
      </c>
      <c r="AT375" s="1">
        <v>4</v>
      </c>
      <c r="AU375" s="1">
        <v>3</v>
      </c>
      <c r="AV375" s="1">
        <v>3</v>
      </c>
      <c r="AW375" s="1">
        <v>2</v>
      </c>
      <c r="AX375" s="1">
        <v>3</v>
      </c>
      <c r="AY375" s="1">
        <v>3</v>
      </c>
      <c r="AZ375" s="1">
        <v>3</v>
      </c>
      <c r="BA375" s="1">
        <v>3</v>
      </c>
      <c r="BB375" s="1">
        <v>3</v>
      </c>
      <c r="BC375" s="1">
        <v>4</v>
      </c>
    </row>
    <row r="376" spans="1:55">
      <c r="A376" s="1" t="s">
        <v>629</v>
      </c>
      <c r="B376" s="1" t="s">
        <v>489</v>
      </c>
      <c r="C376" s="1" t="s">
        <v>628</v>
      </c>
      <c r="D376" s="1">
        <v>4</v>
      </c>
      <c r="E376" s="1">
        <v>3</v>
      </c>
      <c r="F376" s="1">
        <v>2</v>
      </c>
      <c r="G376" s="1">
        <v>3</v>
      </c>
      <c r="H376" s="1">
        <v>2</v>
      </c>
      <c r="I376" s="1">
        <v>3</v>
      </c>
      <c r="J376" s="1">
        <v>3</v>
      </c>
      <c r="K376" s="1">
        <v>5</v>
      </c>
      <c r="L376" s="1">
        <v>4</v>
      </c>
      <c r="M376" s="1">
        <v>4</v>
      </c>
      <c r="N376" s="1">
        <v>1</v>
      </c>
      <c r="O376" s="1">
        <v>3</v>
      </c>
      <c r="P376" s="1">
        <v>4</v>
      </c>
      <c r="Q376" s="1">
        <v>4</v>
      </c>
      <c r="R376" s="1">
        <v>5</v>
      </c>
      <c r="S376" s="1">
        <v>3</v>
      </c>
      <c r="T376" s="1">
        <v>5</v>
      </c>
      <c r="U376" s="1">
        <v>4</v>
      </c>
      <c r="V376" s="1">
        <v>2</v>
      </c>
      <c r="W376" s="1">
        <v>2</v>
      </c>
      <c r="X376" s="1">
        <v>3</v>
      </c>
      <c r="Y376" s="1">
        <v>2</v>
      </c>
      <c r="Z376" s="1">
        <v>4</v>
      </c>
      <c r="AA376" s="1">
        <v>3</v>
      </c>
      <c r="AB376" s="1">
        <v>4</v>
      </c>
      <c r="AC376" s="1">
        <v>4</v>
      </c>
      <c r="AD376" s="1">
        <v>4</v>
      </c>
      <c r="AE376" s="1">
        <v>3</v>
      </c>
      <c r="AF376" s="1">
        <v>2</v>
      </c>
      <c r="AG376" s="1">
        <v>3</v>
      </c>
      <c r="AH376" s="1">
        <v>3</v>
      </c>
      <c r="AI376" s="1">
        <v>2</v>
      </c>
      <c r="AJ376" s="1">
        <v>2</v>
      </c>
      <c r="AK376" s="1">
        <v>4</v>
      </c>
      <c r="AL376" s="1">
        <v>3</v>
      </c>
      <c r="AM376" s="1">
        <v>4</v>
      </c>
      <c r="AN376" s="1">
        <v>2</v>
      </c>
      <c r="AO376" s="1">
        <v>4</v>
      </c>
      <c r="AP376" s="1">
        <v>4</v>
      </c>
      <c r="AQ376" s="1">
        <v>4</v>
      </c>
      <c r="AR376" s="1">
        <v>4</v>
      </c>
      <c r="AS376" s="1">
        <v>3</v>
      </c>
      <c r="AT376" s="1">
        <v>3</v>
      </c>
      <c r="AU376" s="1">
        <v>3</v>
      </c>
      <c r="AV376" s="1">
        <v>3</v>
      </c>
      <c r="AW376" s="1">
        <v>3</v>
      </c>
      <c r="AX376" s="1">
        <v>2</v>
      </c>
      <c r="AY376" s="1">
        <v>3</v>
      </c>
      <c r="AZ376" s="1">
        <v>4</v>
      </c>
      <c r="BA376" s="1">
        <v>4</v>
      </c>
      <c r="BB376" s="1">
        <v>5</v>
      </c>
      <c r="BC376" s="1">
        <v>4</v>
      </c>
    </row>
    <row r="377" spans="1:55">
      <c r="A377" s="1" t="s">
        <v>630</v>
      </c>
      <c r="B377" s="1" t="s">
        <v>489</v>
      </c>
      <c r="C377" s="1" t="s">
        <v>631</v>
      </c>
      <c r="D377" s="1">
        <v>3</v>
      </c>
      <c r="E377" s="1">
        <v>4</v>
      </c>
      <c r="F377" s="1">
        <v>4</v>
      </c>
      <c r="G377" s="1">
        <v>4</v>
      </c>
      <c r="H377" s="1">
        <v>2</v>
      </c>
      <c r="I377" s="1">
        <v>3</v>
      </c>
      <c r="J377" s="1">
        <v>2</v>
      </c>
      <c r="K377" s="1">
        <v>2</v>
      </c>
      <c r="L377" s="1">
        <v>2</v>
      </c>
      <c r="M377" s="1">
        <v>3</v>
      </c>
      <c r="N377" s="1">
        <v>2</v>
      </c>
      <c r="O377" s="1">
        <v>2</v>
      </c>
      <c r="P377" s="1">
        <v>3</v>
      </c>
      <c r="Q377" s="1">
        <v>3</v>
      </c>
      <c r="R377" s="1">
        <v>3</v>
      </c>
      <c r="S377" s="1">
        <v>3</v>
      </c>
      <c r="T377" s="1">
        <v>3</v>
      </c>
      <c r="U377" s="1">
        <v>3</v>
      </c>
      <c r="V377" s="1">
        <v>3</v>
      </c>
      <c r="W377" s="1">
        <v>1</v>
      </c>
      <c r="X377" s="1">
        <v>2</v>
      </c>
      <c r="Y377" s="1">
        <v>2</v>
      </c>
      <c r="Z377" s="1">
        <v>2</v>
      </c>
      <c r="AA377" s="1">
        <v>2</v>
      </c>
      <c r="AB377" s="1">
        <v>2</v>
      </c>
      <c r="AC377" s="1">
        <v>4</v>
      </c>
      <c r="AD377" s="1">
        <v>3</v>
      </c>
      <c r="AE377" s="1">
        <v>2</v>
      </c>
      <c r="AF377" s="1">
        <v>3</v>
      </c>
      <c r="AG377" s="1">
        <v>2</v>
      </c>
      <c r="AH377" s="1">
        <v>2</v>
      </c>
      <c r="AI377" s="1">
        <v>2</v>
      </c>
      <c r="AJ377" s="1">
        <v>2</v>
      </c>
      <c r="AK377" s="1">
        <v>2</v>
      </c>
      <c r="AL377" s="1">
        <v>2</v>
      </c>
      <c r="AM377" s="1">
        <v>2</v>
      </c>
      <c r="AN377" s="1">
        <v>4</v>
      </c>
      <c r="AO377" s="1">
        <v>2</v>
      </c>
      <c r="AP377" s="1">
        <v>2</v>
      </c>
      <c r="AQ377" s="1">
        <v>2</v>
      </c>
      <c r="AR377" s="1">
        <v>2</v>
      </c>
      <c r="AS377" s="1">
        <v>3</v>
      </c>
      <c r="AT377" s="1">
        <v>4</v>
      </c>
      <c r="AU377" s="1">
        <v>3</v>
      </c>
      <c r="AV377" s="1">
        <v>3</v>
      </c>
      <c r="AW377" s="1">
        <v>2</v>
      </c>
      <c r="AX377" s="1">
        <v>2</v>
      </c>
      <c r="AY377" s="1">
        <v>2</v>
      </c>
      <c r="AZ377" s="1">
        <v>3</v>
      </c>
      <c r="BA377" s="1">
        <v>2</v>
      </c>
      <c r="BB377" s="1">
        <v>3</v>
      </c>
      <c r="BC377" s="1">
        <v>4</v>
      </c>
    </row>
    <row r="378" spans="1:55">
      <c r="A378" s="1" t="s">
        <v>632</v>
      </c>
      <c r="B378" s="1" t="s">
        <v>489</v>
      </c>
      <c r="C378" s="1" t="s">
        <v>631</v>
      </c>
      <c r="D378" s="1">
        <v>4</v>
      </c>
      <c r="E378" s="1">
        <v>2</v>
      </c>
      <c r="F378" s="1">
        <v>3</v>
      </c>
      <c r="G378" s="1">
        <v>3</v>
      </c>
      <c r="H378" s="1">
        <v>3</v>
      </c>
      <c r="I378" s="1">
        <v>3</v>
      </c>
      <c r="J378" s="1">
        <v>3</v>
      </c>
      <c r="K378" s="1">
        <v>3</v>
      </c>
      <c r="L378" s="1">
        <v>4</v>
      </c>
      <c r="M378" s="1">
        <v>4</v>
      </c>
      <c r="N378" s="1">
        <v>2</v>
      </c>
      <c r="O378" s="1">
        <v>3</v>
      </c>
      <c r="P378" s="1">
        <v>3</v>
      </c>
      <c r="Q378" s="1">
        <v>3</v>
      </c>
      <c r="R378" s="1">
        <v>4</v>
      </c>
      <c r="S378" s="1">
        <v>3</v>
      </c>
      <c r="T378" s="1">
        <v>3</v>
      </c>
      <c r="U378" s="1">
        <v>3</v>
      </c>
      <c r="V378" s="1">
        <v>3</v>
      </c>
      <c r="W378" s="1">
        <v>3</v>
      </c>
      <c r="X378" s="1">
        <v>3</v>
      </c>
      <c r="Y378" s="1">
        <v>3</v>
      </c>
      <c r="Z378" s="1">
        <v>3</v>
      </c>
      <c r="AA378" s="1">
        <v>3</v>
      </c>
      <c r="AB378" s="1">
        <v>3</v>
      </c>
      <c r="AC378" s="1">
        <v>3</v>
      </c>
      <c r="AD378" s="1">
        <v>3</v>
      </c>
      <c r="AE378" s="1">
        <v>3</v>
      </c>
      <c r="AF378" s="1">
        <v>2</v>
      </c>
      <c r="AG378" s="1">
        <v>3</v>
      </c>
      <c r="AH378" s="1">
        <v>3</v>
      </c>
      <c r="AI378" s="1">
        <v>3</v>
      </c>
      <c r="AJ378" s="1">
        <v>2</v>
      </c>
      <c r="AK378" s="1">
        <v>3</v>
      </c>
      <c r="AL378" s="1">
        <v>3</v>
      </c>
      <c r="AM378" s="1">
        <v>3</v>
      </c>
      <c r="AN378" s="1">
        <v>2</v>
      </c>
      <c r="AO378" s="1">
        <v>3</v>
      </c>
      <c r="AP378" s="1">
        <v>2</v>
      </c>
      <c r="AQ378" s="1">
        <v>3</v>
      </c>
      <c r="AR378" s="1">
        <v>3</v>
      </c>
      <c r="AS378" s="1">
        <v>3</v>
      </c>
      <c r="AT378" s="1">
        <v>4</v>
      </c>
      <c r="AU378" s="1">
        <v>4</v>
      </c>
      <c r="AV378" s="1">
        <v>2</v>
      </c>
      <c r="AW378" s="1">
        <v>3</v>
      </c>
      <c r="AX378" s="1">
        <v>3</v>
      </c>
      <c r="AY378" s="1">
        <v>4</v>
      </c>
      <c r="AZ378" s="1">
        <v>3</v>
      </c>
      <c r="BA378" s="1">
        <v>3</v>
      </c>
      <c r="BB378" s="1">
        <v>3</v>
      </c>
      <c r="BC378" s="1">
        <v>5</v>
      </c>
    </row>
    <row r="379" spans="1:55">
      <c r="A379" s="1" t="s">
        <v>633</v>
      </c>
      <c r="B379" s="1" t="s">
        <v>489</v>
      </c>
      <c r="C379" s="1" t="s">
        <v>634</v>
      </c>
      <c r="D379" s="1">
        <v>3</v>
      </c>
      <c r="E379" s="1">
        <v>4</v>
      </c>
      <c r="F379" s="1">
        <v>2</v>
      </c>
      <c r="G379" s="1">
        <v>2</v>
      </c>
      <c r="H379" s="1">
        <v>3</v>
      </c>
      <c r="I379" s="1">
        <v>2</v>
      </c>
      <c r="J379" s="1">
        <v>3</v>
      </c>
      <c r="K379" s="1">
        <v>4</v>
      </c>
      <c r="L379" s="1">
        <v>3</v>
      </c>
      <c r="M379" s="1">
        <v>3</v>
      </c>
      <c r="N379" s="1">
        <v>2</v>
      </c>
      <c r="O379" s="1">
        <v>3</v>
      </c>
      <c r="P379" s="1">
        <v>3</v>
      </c>
      <c r="Q379" s="1">
        <v>3</v>
      </c>
      <c r="R379" s="1">
        <v>3</v>
      </c>
      <c r="S379" s="1">
        <v>5</v>
      </c>
      <c r="T379" s="1">
        <v>3</v>
      </c>
      <c r="U379" s="1">
        <v>3</v>
      </c>
      <c r="V379" s="1">
        <v>2</v>
      </c>
      <c r="W379" s="1">
        <v>2</v>
      </c>
      <c r="X379" s="1">
        <v>3</v>
      </c>
      <c r="Y379" s="1">
        <v>2</v>
      </c>
      <c r="Z379" s="1">
        <v>3</v>
      </c>
      <c r="AA379" s="1">
        <v>4</v>
      </c>
      <c r="AB379" s="1">
        <v>4</v>
      </c>
      <c r="AC379" s="1">
        <v>3</v>
      </c>
      <c r="AD379" s="1">
        <v>4</v>
      </c>
      <c r="AE379" s="1">
        <v>3</v>
      </c>
      <c r="AF379" s="1">
        <v>2</v>
      </c>
      <c r="AG379" s="1">
        <v>3</v>
      </c>
      <c r="AH379" s="1">
        <v>3</v>
      </c>
      <c r="AI379" s="1">
        <v>3</v>
      </c>
      <c r="AJ379" s="1">
        <v>4</v>
      </c>
      <c r="AK379" s="1">
        <v>3</v>
      </c>
      <c r="AL379" s="1">
        <v>3</v>
      </c>
      <c r="AM379" s="1">
        <v>3</v>
      </c>
      <c r="AN379" s="1">
        <v>2</v>
      </c>
      <c r="AO379" s="1">
        <v>3</v>
      </c>
      <c r="AP379" s="1">
        <v>3</v>
      </c>
      <c r="AQ379" s="1">
        <v>3</v>
      </c>
      <c r="AR379" s="1">
        <v>4</v>
      </c>
      <c r="AS379" s="1">
        <v>4</v>
      </c>
      <c r="AT379" s="1">
        <v>3</v>
      </c>
      <c r="AU379" s="1">
        <v>3</v>
      </c>
      <c r="AV379" s="1">
        <v>3</v>
      </c>
      <c r="AW379" s="1">
        <v>3</v>
      </c>
      <c r="AX379" s="1">
        <v>3</v>
      </c>
      <c r="AY379" s="1">
        <v>3</v>
      </c>
      <c r="AZ379" s="1">
        <v>4</v>
      </c>
      <c r="BA379" s="1">
        <v>4</v>
      </c>
      <c r="BB379" s="1">
        <v>3</v>
      </c>
      <c r="BC379" s="1">
        <v>3</v>
      </c>
    </row>
    <row r="380" spans="1:55">
      <c r="A380" s="1" t="s">
        <v>635</v>
      </c>
      <c r="B380" s="1" t="s">
        <v>489</v>
      </c>
      <c r="C380" s="1" t="s">
        <v>634</v>
      </c>
      <c r="D380" s="1">
        <v>3</v>
      </c>
      <c r="E380" s="1">
        <v>3</v>
      </c>
      <c r="F380" s="1">
        <v>2</v>
      </c>
      <c r="G380" s="1">
        <v>2</v>
      </c>
      <c r="H380" s="1">
        <v>3</v>
      </c>
      <c r="I380" s="1">
        <v>5</v>
      </c>
      <c r="J380" s="1">
        <v>3</v>
      </c>
      <c r="K380" s="1">
        <v>2</v>
      </c>
      <c r="L380" s="1">
        <v>3</v>
      </c>
      <c r="M380" s="1">
        <v>3</v>
      </c>
      <c r="N380" s="1">
        <v>4</v>
      </c>
      <c r="O380" s="1">
        <v>3</v>
      </c>
      <c r="P380" s="1">
        <v>3</v>
      </c>
      <c r="Q380" s="1">
        <v>2</v>
      </c>
      <c r="R380" s="1">
        <v>4</v>
      </c>
      <c r="S380" s="1">
        <v>4</v>
      </c>
      <c r="T380" s="1">
        <v>5</v>
      </c>
      <c r="U380" s="1">
        <v>4</v>
      </c>
      <c r="V380" s="1">
        <v>4</v>
      </c>
      <c r="W380" s="1">
        <v>3</v>
      </c>
      <c r="X380" s="1">
        <v>4</v>
      </c>
      <c r="Y380" s="1">
        <v>4</v>
      </c>
      <c r="Z380" s="1">
        <v>3</v>
      </c>
      <c r="AA380" s="1">
        <v>4</v>
      </c>
      <c r="AB380" s="1">
        <v>4</v>
      </c>
      <c r="AC380" s="1">
        <v>2</v>
      </c>
      <c r="AD380" s="1">
        <v>3</v>
      </c>
      <c r="AE380" s="1">
        <v>4</v>
      </c>
      <c r="AF380" s="1">
        <v>3</v>
      </c>
      <c r="AG380" s="1">
        <v>3</v>
      </c>
      <c r="AH380" s="1">
        <v>3</v>
      </c>
      <c r="AI380" s="1">
        <v>4</v>
      </c>
      <c r="AJ380" s="1">
        <v>3</v>
      </c>
      <c r="AK380" s="1">
        <v>3</v>
      </c>
      <c r="AL380" s="1">
        <v>4</v>
      </c>
      <c r="AM380" s="1">
        <v>4</v>
      </c>
      <c r="AN380" s="1">
        <v>4</v>
      </c>
      <c r="AO380" s="1">
        <v>3</v>
      </c>
      <c r="AP380" s="1">
        <v>3</v>
      </c>
      <c r="AQ380" s="1">
        <v>3</v>
      </c>
      <c r="AR380" s="1">
        <v>4</v>
      </c>
      <c r="AS380" s="1">
        <v>3</v>
      </c>
      <c r="AT380" s="1">
        <v>4</v>
      </c>
      <c r="AU380" s="1">
        <v>3</v>
      </c>
      <c r="AV380" s="1">
        <v>3</v>
      </c>
      <c r="AW380" s="1">
        <v>3</v>
      </c>
      <c r="AX380" s="1">
        <v>3</v>
      </c>
      <c r="AY380" s="1">
        <v>4</v>
      </c>
      <c r="AZ380" s="1">
        <v>3</v>
      </c>
      <c r="BA380" s="1">
        <v>4</v>
      </c>
      <c r="BB380" s="1">
        <v>4</v>
      </c>
      <c r="BC380" s="1">
        <v>2</v>
      </c>
    </row>
    <row r="381" spans="1:55">
      <c r="A381" s="1" t="s">
        <v>636</v>
      </c>
      <c r="B381" s="1" t="s">
        <v>489</v>
      </c>
      <c r="C381" s="1" t="s">
        <v>637</v>
      </c>
      <c r="D381" s="1">
        <v>3</v>
      </c>
      <c r="E381" s="1">
        <v>3</v>
      </c>
      <c r="F381" s="1">
        <v>2</v>
      </c>
      <c r="G381" s="1">
        <v>3</v>
      </c>
      <c r="H381" s="1">
        <v>3</v>
      </c>
      <c r="I381" s="1">
        <v>3</v>
      </c>
      <c r="J381" s="1">
        <v>4</v>
      </c>
      <c r="K381" s="1">
        <v>3</v>
      </c>
      <c r="L381" s="1">
        <v>3</v>
      </c>
      <c r="M381" s="1">
        <v>3</v>
      </c>
      <c r="N381" s="1">
        <v>4</v>
      </c>
      <c r="O381" s="1">
        <v>2</v>
      </c>
      <c r="P381" s="1">
        <v>3</v>
      </c>
      <c r="Q381" s="1">
        <v>3</v>
      </c>
      <c r="R381" s="1">
        <v>4</v>
      </c>
      <c r="S381" s="1">
        <v>3</v>
      </c>
      <c r="T381" s="1">
        <v>4</v>
      </c>
      <c r="U381" s="1">
        <v>4</v>
      </c>
      <c r="V381" s="1">
        <v>4</v>
      </c>
      <c r="W381" s="1">
        <v>3</v>
      </c>
      <c r="X381" s="1">
        <v>3</v>
      </c>
      <c r="Y381" s="1">
        <v>3</v>
      </c>
      <c r="Z381" s="1">
        <v>4</v>
      </c>
      <c r="AA381" s="1">
        <v>2</v>
      </c>
      <c r="AB381" s="1">
        <v>4</v>
      </c>
      <c r="AC381" s="1">
        <v>2</v>
      </c>
      <c r="AD381" s="1">
        <v>3</v>
      </c>
      <c r="AE381" s="1">
        <v>3</v>
      </c>
      <c r="AF381" s="1">
        <v>2</v>
      </c>
      <c r="AG381" s="1">
        <v>2</v>
      </c>
      <c r="AH381" s="1">
        <v>3</v>
      </c>
      <c r="AI381" s="1">
        <v>4</v>
      </c>
      <c r="AJ381" s="1">
        <v>3</v>
      </c>
      <c r="AK381" s="1">
        <v>3</v>
      </c>
      <c r="AL381" s="1">
        <v>3</v>
      </c>
      <c r="AM381" s="1">
        <v>4</v>
      </c>
      <c r="AN381" s="1">
        <v>3</v>
      </c>
      <c r="AO381" s="1">
        <v>3</v>
      </c>
      <c r="AP381" s="1">
        <v>3</v>
      </c>
      <c r="AQ381" s="1">
        <v>3</v>
      </c>
      <c r="AR381" s="1">
        <v>2</v>
      </c>
      <c r="AS381" s="1">
        <v>3</v>
      </c>
      <c r="AT381" s="1">
        <v>4</v>
      </c>
      <c r="AU381" s="1">
        <v>3</v>
      </c>
      <c r="AV381" s="1">
        <v>3</v>
      </c>
      <c r="AW381" s="1">
        <v>4</v>
      </c>
      <c r="AX381" s="1">
        <v>3</v>
      </c>
      <c r="AY381" s="1">
        <v>3</v>
      </c>
      <c r="AZ381" s="1">
        <v>3</v>
      </c>
      <c r="BA381" s="1">
        <v>3</v>
      </c>
      <c r="BB381" s="1">
        <v>2</v>
      </c>
      <c r="BC381" s="1">
        <v>2</v>
      </c>
    </row>
    <row r="382" spans="1:55">
      <c r="A382" s="1" t="s">
        <v>638</v>
      </c>
      <c r="B382" s="1" t="s">
        <v>489</v>
      </c>
      <c r="C382" s="1" t="s">
        <v>637</v>
      </c>
      <c r="D382" s="1">
        <v>3</v>
      </c>
      <c r="E382" s="1">
        <v>3</v>
      </c>
      <c r="F382" s="1">
        <v>2</v>
      </c>
      <c r="G382" s="1">
        <v>2</v>
      </c>
      <c r="H382" s="1">
        <v>3</v>
      </c>
      <c r="I382" s="1">
        <v>2</v>
      </c>
      <c r="J382" s="1">
        <v>2</v>
      </c>
      <c r="K382" s="1">
        <v>4</v>
      </c>
      <c r="L382" s="1">
        <v>4</v>
      </c>
      <c r="M382" s="1">
        <v>3</v>
      </c>
      <c r="N382" s="1">
        <v>2</v>
      </c>
      <c r="O382" s="1">
        <v>4</v>
      </c>
      <c r="P382" s="1">
        <v>3</v>
      </c>
      <c r="Q382" s="1">
        <v>4</v>
      </c>
      <c r="R382" s="1">
        <v>3</v>
      </c>
      <c r="S382" s="1">
        <v>3</v>
      </c>
      <c r="T382" s="1">
        <v>3</v>
      </c>
      <c r="U382" s="1">
        <v>2</v>
      </c>
      <c r="V382" s="1">
        <v>2</v>
      </c>
      <c r="W382" s="1">
        <v>3</v>
      </c>
      <c r="X382" s="1">
        <v>3</v>
      </c>
      <c r="Y382" s="1">
        <v>3</v>
      </c>
      <c r="Z382" s="1">
        <v>4</v>
      </c>
      <c r="AA382" s="1">
        <v>4</v>
      </c>
      <c r="AB382" s="1">
        <v>4</v>
      </c>
      <c r="AC382" s="1">
        <v>4</v>
      </c>
      <c r="AD382" s="1">
        <v>4</v>
      </c>
      <c r="AE382" s="1">
        <v>3</v>
      </c>
      <c r="AF382" s="1">
        <v>3</v>
      </c>
      <c r="AG382" s="1">
        <v>3</v>
      </c>
      <c r="AH382" s="1">
        <v>2</v>
      </c>
      <c r="AI382" s="1">
        <v>2</v>
      </c>
      <c r="AJ382" s="1">
        <v>3</v>
      </c>
      <c r="AK382" s="1">
        <v>4</v>
      </c>
      <c r="AL382" s="1">
        <v>3</v>
      </c>
      <c r="AM382" s="1">
        <v>4</v>
      </c>
      <c r="AN382" s="1">
        <v>2</v>
      </c>
      <c r="AO382" s="1">
        <v>3</v>
      </c>
      <c r="AP382" s="1">
        <v>3</v>
      </c>
      <c r="AQ382" s="1">
        <v>4</v>
      </c>
      <c r="AR382" s="1">
        <v>2</v>
      </c>
      <c r="AS382" s="1">
        <v>3</v>
      </c>
      <c r="AT382" s="1">
        <v>2</v>
      </c>
      <c r="AU382" s="1">
        <v>3</v>
      </c>
      <c r="AV382" s="1">
        <v>2</v>
      </c>
      <c r="AW382" s="1">
        <v>3</v>
      </c>
      <c r="AX382" s="1">
        <v>3</v>
      </c>
      <c r="AY382" s="1">
        <v>4</v>
      </c>
      <c r="AZ382" s="1">
        <v>3</v>
      </c>
      <c r="BA382" s="1">
        <v>3</v>
      </c>
      <c r="BB382" s="1">
        <v>4</v>
      </c>
      <c r="BC382" s="1">
        <v>4</v>
      </c>
    </row>
    <row r="383" spans="1:55">
      <c r="A383" s="1" t="s">
        <v>639</v>
      </c>
      <c r="B383" s="1" t="s">
        <v>489</v>
      </c>
      <c r="C383" s="1" t="s">
        <v>640</v>
      </c>
      <c r="D383" s="1">
        <v>3</v>
      </c>
      <c r="E383" s="1">
        <v>3</v>
      </c>
      <c r="F383" s="1">
        <v>3</v>
      </c>
      <c r="G383" s="1">
        <v>3</v>
      </c>
      <c r="H383" s="1">
        <v>2</v>
      </c>
      <c r="I383" s="1">
        <v>2</v>
      </c>
      <c r="J383" s="1">
        <v>3</v>
      </c>
      <c r="K383" s="1">
        <v>3</v>
      </c>
      <c r="L383" s="1">
        <v>4</v>
      </c>
      <c r="M383" s="1">
        <v>3</v>
      </c>
      <c r="N383" s="1">
        <v>3</v>
      </c>
      <c r="O383" s="1">
        <v>3</v>
      </c>
      <c r="P383" s="1">
        <v>3</v>
      </c>
      <c r="Q383" s="1">
        <v>3</v>
      </c>
      <c r="R383" s="1">
        <v>2</v>
      </c>
      <c r="S383" s="1">
        <v>3</v>
      </c>
      <c r="T383" s="1">
        <v>3</v>
      </c>
      <c r="U383" s="1">
        <v>3</v>
      </c>
      <c r="V383" s="1">
        <v>3</v>
      </c>
      <c r="W383" s="1">
        <v>3</v>
      </c>
      <c r="X383" s="1">
        <v>3</v>
      </c>
      <c r="Y383" s="1">
        <v>2</v>
      </c>
      <c r="Z383" s="1">
        <v>3</v>
      </c>
      <c r="AA383" s="1">
        <v>4</v>
      </c>
      <c r="AB383" s="1">
        <v>3</v>
      </c>
      <c r="AC383" s="1">
        <v>3</v>
      </c>
      <c r="AD383" s="1">
        <v>3</v>
      </c>
      <c r="AE383" s="1">
        <v>3</v>
      </c>
      <c r="AF383" s="1">
        <v>2</v>
      </c>
      <c r="AG383" s="1">
        <v>4</v>
      </c>
      <c r="AH383" s="1">
        <v>2</v>
      </c>
      <c r="AI383" s="1">
        <v>3</v>
      </c>
      <c r="AJ383" s="1">
        <v>3</v>
      </c>
      <c r="AK383" s="1">
        <v>3</v>
      </c>
      <c r="AL383" s="1">
        <v>4</v>
      </c>
      <c r="AM383" s="1">
        <v>3</v>
      </c>
      <c r="AN383" s="1">
        <v>3</v>
      </c>
      <c r="AO383" s="1">
        <v>3</v>
      </c>
      <c r="AP383" s="1">
        <v>4</v>
      </c>
      <c r="AQ383" s="1">
        <v>3</v>
      </c>
      <c r="AR383" s="1">
        <v>4</v>
      </c>
      <c r="AS383" s="1">
        <v>2</v>
      </c>
      <c r="AT383" s="1">
        <v>3</v>
      </c>
      <c r="AU383" s="1">
        <v>3</v>
      </c>
      <c r="AV383" s="1">
        <v>3</v>
      </c>
      <c r="AW383" s="1">
        <v>3</v>
      </c>
      <c r="AX383" s="1">
        <v>3</v>
      </c>
      <c r="AY383" s="1">
        <v>3</v>
      </c>
      <c r="AZ383" s="1">
        <v>3</v>
      </c>
      <c r="BA383" s="1">
        <v>4</v>
      </c>
      <c r="BB383" s="1">
        <v>4</v>
      </c>
      <c r="BC383" s="1">
        <v>4</v>
      </c>
    </row>
    <row r="384" spans="1:55">
      <c r="A384" s="1" t="s">
        <v>641</v>
      </c>
      <c r="B384" s="1" t="s">
        <v>489</v>
      </c>
      <c r="C384" s="1" t="s">
        <v>640</v>
      </c>
      <c r="D384" s="1">
        <v>3</v>
      </c>
      <c r="E384" s="1">
        <v>4</v>
      </c>
      <c r="F384" s="1">
        <v>2</v>
      </c>
      <c r="G384" s="1">
        <v>3</v>
      </c>
      <c r="H384" s="1">
        <v>3</v>
      </c>
      <c r="I384" s="1">
        <v>4</v>
      </c>
      <c r="J384" s="1">
        <v>3</v>
      </c>
      <c r="K384" s="1">
        <v>4</v>
      </c>
      <c r="L384" s="1">
        <v>3</v>
      </c>
      <c r="M384" s="1">
        <v>4</v>
      </c>
      <c r="N384" s="1">
        <v>3</v>
      </c>
      <c r="O384" s="1">
        <v>3</v>
      </c>
      <c r="P384" s="1">
        <v>3</v>
      </c>
      <c r="Q384" s="1">
        <v>4</v>
      </c>
      <c r="R384" s="1">
        <v>3</v>
      </c>
      <c r="S384" s="1">
        <v>3</v>
      </c>
      <c r="T384" s="1">
        <v>3</v>
      </c>
      <c r="U384" s="1">
        <v>4</v>
      </c>
      <c r="V384" s="1">
        <v>4</v>
      </c>
      <c r="W384" s="1">
        <v>2</v>
      </c>
      <c r="X384" s="1">
        <v>2</v>
      </c>
      <c r="Y384" s="1">
        <v>3</v>
      </c>
      <c r="Z384" s="1">
        <v>4</v>
      </c>
      <c r="AA384" s="1">
        <v>4</v>
      </c>
      <c r="AB384" s="1">
        <v>3</v>
      </c>
      <c r="AC384" s="1">
        <v>2</v>
      </c>
      <c r="AD384" s="1">
        <v>3</v>
      </c>
      <c r="AE384" s="1">
        <v>3</v>
      </c>
      <c r="AF384" s="1">
        <v>2</v>
      </c>
      <c r="AG384" s="1">
        <v>1</v>
      </c>
      <c r="AH384" s="1">
        <v>3</v>
      </c>
      <c r="AI384" s="1">
        <v>3</v>
      </c>
      <c r="AJ384" s="1">
        <v>4</v>
      </c>
      <c r="AK384" s="1">
        <v>4</v>
      </c>
      <c r="AL384" s="1">
        <v>4</v>
      </c>
      <c r="AM384" s="1">
        <v>4</v>
      </c>
      <c r="AN384" s="1">
        <v>4</v>
      </c>
      <c r="AO384" s="1">
        <v>4</v>
      </c>
      <c r="AP384" s="1">
        <v>4</v>
      </c>
      <c r="AQ384" s="1">
        <v>4</v>
      </c>
      <c r="AR384" s="1">
        <v>4</v>
      </c>
      <c r="AS384" s="1">
        <v>4</v>
      </c>
      <c r="AT384" s="1">
        <v>4</v>
      </c>
      <c r="AU384" s="1">
        <v>3</v>
      </c>
      <c r="AV384" s="1">
        <v>4</v>
      </c>
      <c r="AW384" s="1">
        <v>3</v>
      </c>
      <c r="AX384" s="1">
        <v>3</v>
      </c>
      <c r="AY384" s="1">
        <v>2</v>
      </c>
      <c r="AZ384" s="1">
        <v>4</v>
      </c>
      <c r="BA384" s="1">
        <v>4</v>
      </c>
      <c r="BB384" s="1">
        <v>4</v>
      </c>
      <c r="BC384" s="1">
        <v>3</v>
      </c>
    </row>
    <row r="385" spans="1:55">
      <c r="A385" s="1" t="s">
        <v>642</v>
      </c>
      <c r="B385" s="1" t="s">
        <v>489</v>
      </c>
      <c r="C385" s="1" t="s">
        <v>643</v>
      </c>
      <c r="D385" s="1">
        <v>3</v>
      </c>
      <c r="E385" s="1">
        <v>3</v>
      </c>
      <c r="F385" s="1">
        <v>2</v>
      </c>
      <c r="G385" s="1">
        <v>3</v>
      </c>
      <c r="H385" s="1">
        <v>3</v>
      </c>
      <c r="I385" s="1">
        <v>3</v>
      </c>
      <c r="J385" s="1">
        <v>3</v>
      </c>
      <c r="K385" s="1">
        <v>3</v>
      </c>
      <c r="L385" s="1">
        <v>3</v>
      </c>
      <c r="M385" s="1">
        <v>3</v>
      </c>
      <c r="N385" s="1">
        <v>3</v>
      </c>
      <c r="O385" s="1">
        <v>4</v>
      </c>
      <c r="P385" s="1">
        <v>4</v>
      </c>
      <c r="Q385" s="1">
        <v>3</v>
      </c>
      <c r="R385" s="1">
        <v>3</v>
      </c>
      <c r="S385" s="1">
        <v>3</v>
      </c>
      <c r="T385" s="1">
        <v>4</v>
      </c>
      <c r="U385" s="1">
        <v>3</v>
      </c>
      <c r="V385" s="1">
        <v>4</v>
      </c>
      <c r="W385" s="1">
        <v>4</v>
      </c>
      <c r="X385" s="1">
        <v>2</v>
      </c>
      <c r="Y385" s="1">
        <v>4</v>
      </c>
      <c r="Z385" s="1">
        <v>3</v>
      </c>
      <c r="AA385" s="1">
        <v>3</v>
      </c>
      <c r="AB385" s="1">
        <v>3</v>
      </c>
      <c r="AC385" s="1">
        <v>3</v>
      </c>
      <c r="AD385" s="1">
        <v>3</v>
      </c>
      <c r="AE385" s="1">
        <v>4</v>
      </c>
      <c r="AF385" s="1">
        <v>3</v>
      </c>
      <c r="AG385" s="1">
        <v>3</v>
      </c>
      <c r="AH385" s="1">
        <v>4</v>
      </c>
      <c r="AI385" s="1">
        <v>4</v>
      </c>
      <c r="AJ385" s="1">
        <v>3</v>
      </c>
      <c r="AK385" s="1">
        <v>3</v>
      </c>
      <c r="AL385" s="1">
        <v>4</v>
      </c>
      <c r="AM385" s="1">
        <v>4</v>
      </c>
      <c r="AN385" s="1">
        <v>3</v>
      </c>
      <c r="AO385" s="1">
        <v>3</v>
      </c>
      <c r="AP385" s="1">
        <v>4</v>
      </c>
      <c r="AQ385" s="1">
        <v>3</v>
      </c>
      <c r="AR385" s="1">
        <v>3</v>
      </c>
      <c r="AS385" s="1">
        <v>3</v>
      </c>
      <c r="AT385" s="1">
        <v>3</v>
      </c>
      <c r="AU385" s="1">
        <v>3</v>
      </c>
      <c r="AV385" s="1">
        <v>4</v>
      </c>
      <c r="AW385" s="1">
        <v>3</v>
      </c>
      <c r="AX385" s="1">
        <v>3</v>
      </c>
      <c r="AY385" s="1">
        <v>3</v>
      </c>
      <c r="AZ385" s="1">
        <v>4</v>
      </c>
      <c r="BA385" s="1">
        <v>2</v>
      </c>
      <c r="BB385" s="1">
        <v>3</v>
      </c>
      <c r="BC385" s="1">
        <v>2</v>
      </c>
    </row>
    <row r="386" spans="1:55">
      <c r="A386" s="1" t="s">
        <v>644</v>
      </c>
      <c r="B386" s="1" t="s">
        <v>489</v>
      </c>
      <c r="C386" s="1" t="s">
        <v>643</v>
      </c>
      <c r="D386" s="1">
        <v>3</v>
      </c>
      <c r="E386" s="1">
        <v>2</v>
      </c>
      <c r="F386" s="1">
        <v>3</v>
      </c>
      <c r="G386" s="1">
        <v>3</v>
      </c>
      <c r="H386" s="1">
        <v>5</v>
      </c>
      <c r="I386" s="1">
        <v>4</v>
      </c>
      <c r="J386" s="1">
        <v>3</v>
      </c>
      <c r="K386" s="1">
        <v>2</v>
      </c>
      <c r="L386" s="1">
        <v>3</v>
      </c>
      <c r="M386" s="1">
        <v>2</v>
      </c>
      <c r="N386" s="1">
        <v>4</v>
      </c>
      <c r="O386" s="1">
        <v>3</v>
      </c>
      <c r="P386" s="1">
        <v>3</v>
      </c>
      <c r="Q386" s="1">
        <v>3</v>
      </c>
      <c r="R386" s="1">
        <v>2</v>
      </c>
      <c r="S386" s="1">
        <v>3</v>
      </c>
      <c r="T386" s="1">
        <v>2</v>
      </c>
      <c r="U386" s="1">
        <v>2</v>
      </c>
      <c r="V386" s="1">
        <v>4</v>
      </c>
      <c r="W386" s="1">
        <v>4</v>
      </c>
      <c r="X386" s="1">
        <v>4</v>
      </c>
      <c r="Y386" s="1">
        <v>3</v>
      </c>
      <c r="Z386" s="1">
        <v>2</v>
      </c>
      <c r="AA386" s="1">
        <v>4</v>
      </c>
      <c r="AB386" s="1">
        <v>3</v>
      </c>
      <c r="AC386" s="1">
        <v>2</v>
      </c>
      <c r="AD386" s="1">
        <v>4</v>
      </c>
      <c r="AE386" s="1">
        <v>3</v>
      </c>
      <c r="AF386" s="1">
        <v>3</v>
      </c>
      <c r="AG386" s="1">
        <v>3</v>
      </c>
      <c r="AH386" s="1">
        <v>4</v>
      </c>
      <c r="AI386" s="1">
        <v>4</v>
      </c>
      <c r="AJ386" s="1">
        <v>4</v>
      </c>
      <c r="AK386" s="1">
        <v>3</v>
      </c>
      <c r="AL386" s="1">
        <v>3</v>
      </c>
      <c r="AM386" s="1">
        <v>1</v>
      </c>
      <c r="AN386" s="1">
        <v>3</v>
      </c>
      <c r="AO386" s="1">
        <v>4</v>
      </c>
      <c r="AP386" s="1">
        <v>3</v>
      </c>
      <c r="AQ386" s="1">
        <v>3</v>
      </c>
      <c r="AR386" s="1">
        <v>3</v>
      </c>
      <c r="AS386" s="1">
        <v>3</v>
      </c>
      <c r="AT386" s="1">
        <v>4</v>
      </c>
      <c r="AU386" s="1">
        <v>3</v>
      </c>
      <c r="AV386" s="1">
        <v>3</v>
      </c>
      <c r="AW386" s="1">
        <v>3</v>
      </c>
      <c r="AX386" s="1">
        <v>4</v>
      </c>
      <c r="AY386" s="1">
        <v>4</v>
      </c>
      <c r="AZ386" s="1">
        <v>3</v>
      </c>
      <c r="BA386" s="1">
        <v>3</v>
      </c>
      <c r="BB386" s="1">
        <v>2</v>
      </c>
      <c r="BC386" s="1">
        <v>3</v>
      </c>
    </row>
    <row r="387" spans="1:55">
      <c r="A387" s="1" t="s">
        <v>645</v>
      </c>
      <c r="B387" s="1" t="s">
        <v>489</v>
      </c>
      <c r="C387" s="1" t="s">
        <v>646</v>
      </c>
      <c r="D387" s="1">
        <v>2</v>
      </c>
      <c r="E387" s="1">
        <v>4</v>
      </c>
      <c r="F387" s="1">
        <v>2</v>
      </c>
      <c r="G387" s="1">
        <v>3</v>
      </c>
      <c r="H387" s="1">
        <v>3</v>
      </c>
      <c r="I387" s="1">
        <v>3</v>
      </c>
      <c r="J387" s="1">
        <v>3</v>
      </c>
      <c r="K387" s="1">
        <v>4</v>
      </c>
      <c r="L387" s="1">
        <v>3</v>
      </c>
      <c r="M387" s="1">
        <v>4</v>
      </c>
      <c r="N387" s="1">
        <v>2</v>
      </c>
      <c r="O387" s="1">
        <v>3</v>
      </c>
      <c r="P387" s="1">
        <v>4</v>
      </c>
      <c r="Q387" s="1">
        <v>3</v>
      </c>
      <c r="R387" s="1">
        <v>3</v>
      </c>
      <c r="S387" s="1">
        <v>4</v>
      </c>
      <c r="T387" s="1">
        <v>3</v>
      </c>
      <c r="U387" s="1">
        <v>3</v>
      </c>
      <c r="V387" s="1">
        <v>3</v>
      </c>
      <c r="W387" s="1">
        <v>3</v>
      </c>
      <c r="X387" s="1">
        <v>3</v>
      </c>
      <c r="Y387" s="1">
        <v>4</v>
      </c>
      <c r="Z387" s="1">
        <v>3</v>
      </c>
      <c r="AA387" s="1">
        <v>3</v>
      </c>
      <c r="AB387" s="1">
        <v>2</v>
      </c>
      <c r="AC387" s="1">
        <v>4</v>
      </c>
      <c r="AD387" s="1">
        <v>3</v>
      </c>
      <c r="AE387" s="1">
        <v>4</v>
      </c>
      <c r="AF387" s="1">
        <v>3</v>
      </c>
      <c r="AG387" s="1">
        <v>3</v>
      </c>
      <c r="AH387" s="1">
        <v>3</v>
      </c>
      <c r="AI387" s="1">
        <v>3</v>
      </c>
      <c r="AJ387" s="1">
        <v>2</v>
      </c>
      <c r="AK387" s="1">
        <v>4</v>
      </c>
      <c r="AL387" s="1">
        <v>2</v>
      </c>
      <c r="AM387" s="1">
        <v>3</v>
      </c>
      <c r="AN387" s="1">
        <v>4</v>
      </c>
      <c r="AO387" s="1">
        <v>4</v>
      </c>
      <c r="AP387" s="1">
        <v>3</v>
      </c>
      <c r="AQ387" s="1">
        <v>4</v>
      </c>
      <c r="AR387" s="1">
        <v>3</v>
      </c>
      <c r="AS387" s="1">
        <v>4</v>
      </c>
      <c r="AT387" s="1">
        <v>3</v>
      </c>
      <c r="AU387" s="1">
        <v>4</v>
      </c>
      <c r="AV387" s="1">
        <v>3</v>
      </c>
      <c r="AW387" s="1">
        <v>3</v>
      </c>
      <c r="AX387" s="1">
        <v>3</v>
      </c>
      <c r="AY387" s="1">
        <v>4</v>
      </c>
      <c r="AZ387" s="1">
        <v>3</v>
      </c>
      <c r="BA387" s="1">
        <v>3</v>
      </c>
      <c r="BB387" s="1">
        <v>4</v>
      </c>
      <c r="BC387" s="1">
        <v>3</v>
      </c>
    </row>
    <row r="388" spans="1:55">
      <c r="A388" s="1" t="s">
        <v>647</v>
      </c>
      <c r="B388" s="1" t="s">
        <v>489</v>
      </c>
      <c r="C388" s="1" t="s">
        <v>646</v>
      </c>
      <c r="D388" s="1">
        <v>3</v>
      </c>
      <c r="E388" s="1">
        <v>3</v>
      </c>
      <c r="F388" s="1">
        <v>2</v>
      </c>
      <c r="G388" s="1">
        <v>3</v>
      </c>
      <c r="H388" s="1">
        <v>3</v>
      </c>
      <c r="I388" s="1">
        <v>2</v>
      </c>
      <c r="J388" s="1">
        <v>3</v>
      </c>
      <c r="K388" s="1">
        <v>4</v>
      </c>
      <c r="L388" s="1">
        <v>3</v>
      </c>
      <c r="M388" s="1">
        <v>3</v>
      </c>
      <c r="N388" s="1">
        <v>2</v>
      </c>
      <c r="O388" s="1">
        <v>2</v>
      </c>
      <c r="P388" s="1">
        <v>3</v>
      </c>
      <c r="Q388" s="1">
        <v>3</v>
      </c>
      <c r="R388" s="1">
        <v>2</v>
      </c>
      <c r="S388" s="1">
        <v>3</v>
      </c>
      <c r="T388" s="1">
        <v>3</v>
      </c>
      <c r="U388" s="1">
        <v>4</v>
      </c>
      <c r="V388" s="1">
        <v>2</v>
      </c>
      <c r="W388" s="1">
        <v>2</v>
      </c>
      <c r="X388" s="1">
        <v>1</v>
      </c>
      <c r="Y388" s="1">
        <v>1</v>
      </c>
      <c r="Z388" s="1">
        <v>2</v>
      </c>
      <c r="AA388" s="1">
        <v>3</v>
      </c>
      <c r="AB388" s="1">
        <v>3</v>
      </c>
      <c r="AC388" s="1">
        <v>3</v>
      </c>
      <c r="AD388" s="1">
        <v>2</v>
      </c>
      <c r="AE388" s="1">
        <v>3</v>
      </c>
      <c r="AF388" s="1">
        <v>3</v>
      </c>
      <c r="AG388" s="1">
        <v>3</v>
      </c>
      <c r="AH388" s="1">
        <v>3</v>
      </c>
      <c r="AI388" s="1">
        <v>2</v>
      </c>
      <c r="AJ388" s="1">
        <v>2</v>
      </c>
      <c r="AK388" s="1">
        <v>4</v>
      </c>
      <c r="AL388" s="1">
        <v>4</v>
      </c>
      <c r="AM388" s="1">
        <v>3</v>
      </c>
      <c r="AN388" s="1">
        <v>3</v>
      </c>
      <c r="AO388" s="1">
        <v>3</v>
      </c>
      <c r="AP388" s="1">
        <v>2</v>
      </c>
      <c r="AQ388" s="1">
        <v>3</v>
      </c>
      <c r="AR388" s="1">
        <v>4</v>
      </c>
      <c r="AS388" s="1">
        <v>2</v>
      </c>
      <c r="AT388" s="1">
        <v>3</v>
      </c>
      <c r="AU388" s="1">
        <v>4</v>
      </c>
      <c r="AV388" s="1">
        <v>2</v>
      </c>
      <c r="AW388" s="1">
        <v>2</v>
      </c>
      <c r="AX388" s="1">
        <v>2</v>
      </c>
      <c r="AY388" s="1">
        <v>1</v>
      </c>
      <c r="AZ388" s="1">
        <v>4</v>
      </c>
      <c r="BA388" s="1">
        <v>3</v>
      </c>
      <c r="BB388" s="1">
        <v>3</v>
      </c>
      <c r="BC388" s="1">
        <v>3</v>
      </c>
    </row>
    <row r="389" spans="1:55">
      <c r="A389" s="1" t="s">
        <v>648</v>
      </c>
      <c r="B389" s="1" t="s">
        <v>489</v>
      </c>
      <c r="C389" s="1" t="s">
        <v>649</v>
      </c>
      <c r="D389" s="1">
        <v>4</v>
      </c>
      <c r="E389" s="1">
        <v>5</v>
      </c>
      <c r="F389" s="1">
        <v>3</v>
      </c>
      <c r="G389" s="1">
        <v>2</v>
      </c>
      <c r="H389" s="1">
        <v>4</v>
      </c>
      <c r="I389" s="1">
        <v>2</v>
      </c>
      <c r="J389" s="1">
        <v>3</v>
      </c>
      <c r="K389" s="1">
        <v>3</v>
      </c>
      <c r="L389" s="1">
        <v>2</v>
      </c>
      <c r="M389" s="1">
        <v>4</v>
      </c>
      <c r="N389" s="1">
        <v>3</v>
      </c>
      <c r="O389" s="1">
        <v>3</v>
      </c>
      <c r="P389" s="1">
        <v>3</v>
      </c>
      <c r="Q389" s="1">
        <v>2</v>
      </c>
      <c r="R389" s="1">
        <v>3</v>
      </c>
      <c r="S389" s="1">
        <v>4</v>
      </c>
      <c r="T389" s="1">
        <v>4</v>
      </c>
      <c r="U389" s="1">
        <v>3</v>
      </c>
      <c r="V389" s="1">
        <v>3</v>
      </c>
      <c r="W389" s="1">
        <v>2</v>
      </c>
      <c r="X389" s="1">
        <v>3</v>
      </c>
      <c r="Y389" s="1">
        <v>3</v>
      </c>
      <c r="Z389" s="1">
        <v>2</v>
      </c>
      <c r="AA389" s="1">
        <v>3</v>
      </c>
      <c r="AB389" s="1">
        <v>3</v>
      </c>
      <c r="AC389" s="1">
        <v>3</v>
      </c>
      <c r="AD389" s="1">
        <v>4</v>
      </c>
      <c r="AE389" s="1">
        <v>4</v>
      </c>
      <c r="AF389" s="1">
        <v>2</v>
      </c>
      <c r="AG389" s="1">
        <v>1</v>
      </c>
      <c r="AH389" s="1">
        <v>3</v>
      </c>
      <c r="AI389" s="1">
        <v>3</v>
      </c>
      <c r="AJ389" s="1">
        <v>3</v>
      </c>
      <c r="AK389" s="1">
        <v>3</v>
      </c>
      <c r="AL389" s="1">
        <v>3</v>
      </c>
      <c r="AM389" s="1">
        <v>5</v>
      </c>
      <c r="AN389" s="1">
        <v>3</v>
      </c>
      <c r="AO389" s="1">
        <v>4</v>
      </c>
      <c r="AP389" s="1">
        <v>3</v>
      </c>
      <c r="AQ389" s="1">
        <v>3</v>
      </c>
      <c r="AR389" s="1">
        <v>4</v>
      </c>
      <c r="AS389" s="1">
        <v>4</v>
      </c>
      <c r="AT389" s="1">
        <v>4</v>
      </c>
      <c r="AU389" s="1">
        <v>4</v>
      </c>
      <c r="AV389" s="1">
        <v>2</v>
      </c>
      <c r="AW389" s="1">
        <v>3</v>
      </c>
      <c r="AX389" s="1">
        <v>3</v>
      </c>
      <c r="AY389" s="1">
        <v>3</v>
      </c>
      <c r="AZ389" s="1">
        <v>3</v>
      </c>
      <c r="BA389" s="1">
        <v>3</v>
      </c>
      <c r="BB389" s="1">
        <v>3</v>
      </c>
      <c r="BC389" s="1">
        <v>3</v>
      </c>
    </row>
    <row r="390" spans="1:55">
      <c r="A390" s="1" t="s">
        <v>650</v>
      </c>
      <c r="B390" s="1" t="s">
        <v>489</v>
      </c>
      <c r="C390" s="1" t="s">
        <v>649</v>
      </c>
      <c r="D390" s="1">
        <v>3</v>
      </c>
      <c r="E390" s="1">
        <v>4</v>
      </c>
      <c r="F390" s="1">
        <v>3</v>
      </c>
      <c r="G390" s="1">
        <v>3</v>
      </c>
      <c r="H390" s="1">
        <v>2</v>
      </c>
      <c r="I390" s="1">
        <v>4</v>
      </c>
      <c r="J390" s="1">
        <v>2</v>
      </c>
      <c r="K390" s="1">
        <v>2</v>
      </c>
      <c r="L390" s="1">
        <v>3</v>
      </c>
      <c r="M390" s="1">
        <v>3</v>
      </c>
      <c r="N390" s="1">
        <v>2</v>
      </c>
      <c r="O390" s="1">
        <v>3</v>
      </c>
      <c r="P390" s="1">
        <v>2</v>
      </c>
      <c r="Q390" s="1">
        <v>3</v>
      </c>
      <c r="R390" s="1">
        <v>3</v>
      </c>
      <c r="S390" s="1">
        <v>3</v>
      </c>
      <c r="T390" s="1">
        <v>3</v>
      </c>
      <c r="U390" s="1">
        <v>1</v>
      </c>
      <c r="V390" s="1">
        <v>3</v>
      </c>
      <c r="W390" s="1">
        <v>2</v>
      </c>
      <c r="X390" s="1">
        <v>3</v>
      </c>
      <c r="Y390" s="1">
        <v>3</v>
      </c>
      <c r="Z390" s="1">
        <v>2</v>
      </c>
      <c r="AA390" s="1">
        <v>4</v>
      </c>
      <c r="AB390" s="1">
        <v>3</v>
      </c>
      <c r="AC390" s="1">
        <v>4</v>
      </c>
      <c r="AD390" s="1">
        <v>3</v>
      </c>
      <c r="AE390" s="1">
        <v>3</v>
      </c>
      <c r="AF390" s="1">
        <v>3</v>
      </c>
      <c r="AG390" s="1">
        <v>3</v>
      </c>
      <c r="AH390" s="1">
        <v>2</v>
      </c>
      <c r="AI390" s="1">
        <v>3</v>
      </c>
      <c r="AJ390" s="1">
        <v>4</v>
      </c>
      <c r="AK390" s="1">
        <v>3</v>
      </c>
      <c r="AL390" s="1">
        <v>3</v>
      </c>
      <c r="AM390" s="1">
        <v>3</v>
      </c>
      <c r="AN390" s="1">
        <v>3</v>
      </c>
      <c r="AO390" s="1">
        <v>2</v>
      </c>
      <c r="AP390" s="1">
        <v>3</v>
      </c>
      <c r="AQ390" s="1">
        <v>3</v>
      </c>
      <c r="AR390" s="1">
        <v>4</v>
      </c>
      <c r="AS390" s="1">
        <v>3</v>
      </c>
      <c r="AT390" s="1">
        <v>3</v>
      </c>
      <c r="AU390" s="1">
        <v>3</v>
      </c>
      <c r="AV390" s="1">
        <v>2</v>
      </c>
      <c r="AW390" s="1">
        <v>2</v>
      </c>
      <c r="AX390" s="1">
        <v>3</v>
      </c>
      <c r="AY390" s="1">
        <v>3</v>
      </c>
      <c r="AZ390" s="1">
        <v>2</v>
      </c>
      <c r="BA390" s="1">
        <v>3</v>
      </c>
      <c r="BB390" s="1">
        <v>3</v>
      </c>
      <c r="BC390" s="1">
        <v>3</v>
      </c>
    </row>
    <row r="391" spans="1:55">
      <c r="A391" s="1" t="s">
        <v>651</v>
      </c>
      <c r="B391" s="1" t="s">
        <v>489</v>
      </c>
      <c r="C391" s="1" t="s">
        <v>652</v>
      </c>
      <c r="D391" s="1">
        <v>3</v>
      </c>
      <c r="E391" s="1">
        <v>3</v>
      </c>
      <c r="F391" s="1">
        <v>3</v>
      </c>
      <c r="G391" s="1">
        <v>3</v>
      </c>
      <c r="H391" s="1">
        <v>3</v>
      </c>
      <c r="I391" s="1">
        <v>3</v>
      </c>
      <c r="J391" s="1">
        <v>3</v>
      </c>
      <c r="K391" s="1">
        <v>3</v>
      </c>
      <c r="L391" s="1">
        <v>4</v>
      </c>
      <c r="M391" s="1">
        <v>3</v>
      </c>
      <c r="N391" s="1">
        <v>3</v>
      </c>
      <c r="O391" s="1">
        <v>3</v>
      </c>
      <c r="P391" s="1">
        <v>3</v>
      </c>
      <c r="Q391" s="1">
        <v>3</v>
      </c>
      <c r="R391" s="1">
        <v>4</v>
      </c>
      <c r="S391" s="1">
        <v>2</v>
      </c>
      <c r="T391" s="1">
        <v>3</v>
      </c>
      <c r="U391" s="1">
        <v>3</v>
      </c>
      <c r="V391" s="1">
        <v>4</v>
      </c>
      <c r="W391" s="1">
        <v>2</v>
      </c>
      <c r="X391" s="1">
        <v>2</v>
      </c>
      <c r="Y391" s="1">
        <v>2</v>
      </c>
      <c r="Z391" s="1">
        <v>3</v>
      </c>
      <c r="AA391" s="1">
        <v>1</v>
      </c>
      <c r="AB391" s="1">
        <v>2</v>
      </c>
      <c r="AC391" s="1">
        <v>2</v>
      </c>
      <c r="AD391" s="1">
        <v>2</v>
      </c>
      <c r="AE391" s="1">
        <v>2</v>
      </c>
      <c r="AF391" s="1">
        <v>3</v>
      </c>
      <c r="AG391" s="1">
        <v>3</v>
      </c>
      <c r="AH391" s="1">
        <v>4</v>
      </c>
      <c r="AI391" s="1">
        <v>4</v>
      </c>
      <c r="AJ391" s="1">
        <v>3</v>
      </c>
      <c r="AK391" s="1">
        <v>3</v>
      </c>
      <c r="AL391" s="1">
        <v>4</v>
      </c>
      <c r="AM391" s="1">
        <v>2</v>
      </c>
      <c r="AN391" s="1">
        <v>4</v>
      </c>
      <c r="AO391" s="1">
        <v>4</v>
      </c>
      <c r="AP391" s="1">
        <v>4</v>
      </c>
      <c r="AQ391" s="1">
        <v>2</v>
      </c>
      <c r="AR391" s="1">
        <v>3</v>
      </c>
      <c r="AS391" s="1">
        <v>2</v>
      </c>
      <c r="AT391" s="1">
        <v>2</v>
      </c>
      <c r="AU391" s="1">
        <v>3</v>
      </c>
      <c r="AV391" s="1">
        <v>4</v>
      </c>
      <c r="AW391" s="1">
        <v>3</v>
      </c>
      <c r="AX391" s="1">
        <v>3</v>
      </c>
      <c r="AY391" s="1">
        <v>4</v>
      </c>
      <c r="AZ391" s="1">
        <v>4</v>
      </c>
      <c r="BA391" s="1">
        <v>3</v>
      </c>
      <c r="BB391" s="1">
        <v>3</v>
      </c>
      <c r="BC391" s="1">
        <v>2</v>
      </c>
    </row>
    <row r="392" spans="1:55">
      <c r="A392" s="1" t="s">
        <v>653</v>
      </c>
      <c r="B392" s="1" t="s">
        <v>489</v>
      </c>
      <c r="C392" s="1" t="s">
        <v>652</v>
      </c>
      <c r="D392" s="1">
        <v>3</v>
      </c>
      <c r="E392" s="1">
        <v>4</v>
      </c>
      <c r="F392" s="1">
        <v>2</v>
      </c>
      <c r="G392" s="1">
        <v>3</v>
      </c>
      <c r="H392" s="1">
        <v>2</v>
      </c>
      <c r="I392" s="1">
        <v>3</v>
      </c>
      <c r="J392" s="1">
        <v>2</v>
      </c>
      <c r="K392" s="1">
        <v>4</v>
      </c>
      <c r="L392" s="1">
        <v>2</v>
      </c>
      <c r="M392" s="1">
        <v>4</v>
      </c>
      <c r="N392" s="1">
        <v>2</v>
      </c>
      <c r="O392" s="1">
        <v>3</v>
      </c>
      <c r="P392" s="1">
        <v>3</v>
      </c>
      <c r="Q392" s="1">
        <v>3</v>
      </c>
      <c r="R392" s="1">
        <v>4</v>
      </c>
      <c r="S392" s="1">
        <v>3</v>
      </c>
      <c r="T392" s="1">
        <v>4</v>
      </c>
      <c r="U392" s="1">
        <v>4</v>
      </c>
      <c r="V392" s="1">
        <v>3</v>
      </c>
      <c r="W392" s="1">
        <v>3</v>
      </c>
      <c r="X392" s="1">
        <v>2</v>
      </c>
      <c r="Y392" s="1">
        <v>3</v>
      </c>
      <c r="Z392" s="1">
        <v>3</v>
      </c>
      <c r="AA392" s="1">
        <v>3</v>
      </c>
      <c r="AB392" s="1">
        <v>3</v>
      </c>
      <c r="AC392" s="1">
        <v>3</v>
      </c>
      <c r="AD392" s="1">
        <v>2</v>
      </c>
      <c r="AE392" s="1">
        <v>3</v>
      </c>
      <c r="AF392" s="1">
        <v>3</v>
      </c>
      <c r="AG392" s="1">
        <v>2</v>
      </c>
      <c r="AH392" s="1">
        <v>3</v>
      </c>
      <c r="AI392" s="1">
        <v>2</v>
      </c>
      <c r="AJ392" s="1">
        <v>3</v>
      </c>
      <c r="AK392" s="1">
        <v>4</v>
      </c>
      <c r="AL392" s="1">
        <v>4</v>
      </c>
      <c r="AM392" s="1">
        <v>4</v>
      </c>
      <c r="AN392" s="1">
        <v>3</v>
      </c>
      <c r="AO392" s="1">
        <v>3</v>
      </c>
      <c r="AP392" s="1">
        <v>4</v>
      </c>
      <c r="AQ392" s="1">
        <v>4</v>
      </c>
      <c r="AR392" s="1">
        <v>4</v>
      </c>
      <c r="AS392" s="1">
        <v>3</v>
      </c>
      <c r="AT392" s="1">
        <v>4</v>
      </c>
      <c r="AU392" s="1">
        <v>3</v>
      </c>
      <c r="AV392" s="1">
        <v>3</v>
      </c>
      <c r="AW392" s="1">
        <v>3</v>
      </c>
      <c r="AX392" s="1">
        <v>3</v>
      </c>
      <c r="AY392" s="1">
        <v>2</v>
      </c>
      <c r="AZ392" s="1">
        <v>4</v>
      </c>
      <c r="BA392" s="1">
        <v>4</v>
      </c>
      <c r="BB392" s="1">
        <v>3</v>
      </c>
      <c r="BC392" s="1">
        <v>3</v>
      </c>
    </row>
    <row r="393" spans="1:55">
      <c r="A393" s="1" t="s">
        <v>654</v>
      </c>
      <c r="B393" s="1" t="s">
        <v>489</v>
      </c>
      <c r="C393" s="1" t="s">
        <v>655</v>
      </c>
      <c r="D393" s="1">
        <v>3</v>
      </c>
      <c r="E393" s="1">
        <v>4</v>
      </c>
      <c r="F393" s="1">
        <v>2</v>
      </c>
      <c r="G393" s="1">
        <v>3</v>
      </c>
      <c r="H393" s="1">
        <v>2</v>
      </c>
      <c r="I393" s="1">
        <v>2</v>
      </c>
      <c r="J393" s="1">
        <v>2</v>
      </c>
      <c r="K393" s="1">
        <v>3</v>
      </c>
      <c r="L393" s="1">
        <v>4</v>
      </c>
      <c r="M393" s="1">
        <v>3</v>
      </c>
      <c r="N393" s="1">
        <v>3</v>
      </c>
      <c r="O393" s="1">
        <v>3</v>
      </c>
      <c r="P393" s="1">
        <v>3</v>
      </c>
      <c r="Q393" s="1">
        <v>3</v>
      </c>
      <c r="R393" s="1">
        <v>3</v>
      </c>
      <c r="S393" s="1">
        <v>3</v>
      </c>
      <c r="T393" s="1">
        <v>4</v>
      </c>
      <c r="U393" s="1">
        <v>4</v>
      </c>
      <c r="V393" s="1">
        <v>3</v>
      </c>
      <c r="W393" s="1">
        <v>4</v>
      </c>
      <c r="X393" s="1">
        <v>3</v>
      </c>
      <c r="Y393" s="1">
        <v>4</v>
      </c>
      <c r="Z393" s="1">
        <v>3</v>
      </c>
      <c r="AA393" s="1">
        <v>3</v>
      </c>
      <c r="AB393" s="1">
        <v>2</v>
      </c>
      <c r="AC393" s="1">
        <v>4</v>
      </c>
      <c r="AD393" s="1">
        <v>3</v>
      </c>
      <c r="AE393" s="1">
        <v>4</v>
      </c>
      <c r="AF393" s="1">
        <v>2</v>
      </c>
      <c r="AG393" s="1">
        <v>2</v>
      </c>
      <c r="AH393" s="1">
        <v>3</v>
      </c>
      <c r="AI393" s="1">
        <v>2</v>
      </c>
      <c r="AJ393" s="1">
        <v>1</v>
      </c>
      <c r="AK393" s="1">
        <v>2</v>
      </c>
      <c r="AL393" s="1">
        <v>2</v>
      </c>
      <c r="AM393" s="1">
        <v>4</v>
      </c>
      <c r="AN393" s="1">
        <v>2</v>
      </c>
      <c r="AO393" s="1">
        <v>2</v>
      </c>
      <c r="AP393" s="1">
        <v>3</v>
      </c>
      <c r="AQ393" s="1">
        <v>2</v>
      </c>
      <c r="AR393" s="1">
        <v>3</v>
      </c>
      <c r="AS393" s="1">
        <v>4</v>
      </c>
      <c r="AT393" s="1">
        <v>4</v>
      </c>
      <c r="AU393" s="1">
        <v>4</v>
      </c>
      <c r="AV393" s="1">
        <v>2</v>
      </c>
      <c r="AW393" s="1">
        <v>4</v>
      </c>
      <c r="AX393" s="1">
        <v>4</v>
      </c>
      <c r="AY393" s="1">
        <v>3</v>
      </c>
      <c r="AZ393" s="1">
        <v>3</v>
      </c>
      <c r="BA393" s="1">
        <v>2</v>
      </c>
      <c r="BB393" s="1">
        <v>2</v>
      </c>
      <c r="BC393" s="1">
        <v>3</v>
      </c>
    </row>
    <row r="394" spans="1:55">
      <c r="A394" s="1" t="s">
        <v>656</v>
      </c>
      <c r="B394" s="1" t="s">
        <v>489</v>
      </c>
      <c r="C394" s="1" t="s">
        <v>655</v>
      </c>
      <c r="D394" s="1">
        <v>4</v>
      </c>
      <c r="E394" s="1">
        <v>2</v>
      </c>
      <c r="F394" s="1">
        <v>4</v>
      </c>
      <c r="G394" s="1">
        <v>4</v>
      </c>
      <c r="H394" s="1">
        <v>4</v>
      </c>
      <c r="I394" s="1">
        <v>3</v>
      </c>
      <c r="J394" s="1">
        <v>4</v>
      </c>
      <c r="K394" s="1">
        <v>3</v>
      </c>
      <c r="L394" s="1">
        <v>3</v>
      </c>
      <c r="M394" s="1">
        <v>3</v>
      </c>
      <c r="N394" s="1">
        <v>5</v>
      </c>
      <c r="O394" s="1">
        <v>3</v>
      </c>
      <c r="P394" s="1">
        <v>3</v>
      </c>
      <c r="Q394" s="1">
        <v>3</v>
      </c>
      <c r="R394" s="1">
        <v>3</v>
      </c>
      <c r="S394" s="1">
        <v>3</v>
      </c>
      <c r="T394" s="1">
        <v>3</v>
      </c>
      <c r="U394" s="1">
        <v>2</v>
      </c>
      <c r="V394" s="1">
        <v>3</v>
      </c>
      <c r="W394" s="1">
        <v>2</v>
      </c>
      <c r="X394" s="1">
        <v>3</v>
      </c>
      <c r="Y394" s="1">
        <v>3</v>
      </c>
      <c r="Z394" s="1">
        <v>2</v>
      </c>
      <c r="AA394" s="1">
        <v>3</v>
      </c>
      <c r="AB394" s="1">
        <v>2</v>
      </c>
      <c r="AC394" s="1">
        <v>1</v>
      </c>
      <c r="AD394" s="1">
        <v>3</v>
      </c>
      <c r="AE394" s="1">
        <v>3</v>
      </c>
      <c r="AF394" s="1">
        <v>3</v>
      </c>
      <c r="AG394" s="1">
        <v>3</v>
      </c>
      <c r="AH394" s="1">
        <v>4</v>
      </c>
      <c r="AI394" s="1">
        <v>4</v>
      </c>
      <c r="AJ394" s="1">
        <v>4</v>
      </c>
      <c r="AK394" s="1">
        <v>3</v>
      </c>
      <c r="AL394" s="1">
        <v>3</v>
      </c>
      <c r="AM394" s="1">
        <v>3</v>
      </c>
      <c r="AN394" s="1">
        <v>5</v>
      </c>
      <c r="AO394" s="1">
        <v>3</v>
      </c>
      <c r="AP394" s="1">
        <v>3</v>
      </c>
      <c r="AQ394" s="1">
        <v>3</v>
      </c>
      <c r="AR394" s="1">
        <v>3</v>
      </c>
      <c r="AS394" s="1">
        <v>3</v>
      </c>
      <c r="AT394" s="1">
        <v>3</v>
      </c>
      <c r="AU394" s="1">
        <v>3</v>
      </c>
      <c r="AV394" s="1">
        <v>4</v>
      </c>
      <c r="AW394" s="1">
        <v>3</v>
      </c>
      <c r="AX394" s="1">
        <v>2</v>
      </c>
      <c r="AY394" s="1">
        <v>2</v>
      </c>
      <c r="AZ394" s="1">
        <v>3</v>
      </c>
      <c r="BA394" s="1">
        <v>3</v>
      </c>
      <c r="BB394" s="1">
        <v>4</v>
      </c>
      <c r="BC394" s="1">
        <v>2</v>
      </c>
    </row>
    <row r="395" spans="1:55">
      <c r="A395" s="1" t="s">
        <v>657</v>
      </c>
      <c r="B395" s="1" t="s">
        <v>489</v>
      </c>
      <c r="C395" s="1" t="s">
        <v>658</v>
      </c>
      <c r="D395" s="1">
        <v>3</v>
      </c>
      <c r="E395" s="1">
        <v>4</v>
      </c>
      <c r="F395" s="1">
        <v>2</v>
      </c>
      <c r="G395" s="1">
        <v>2</v>
      </c>
      <c r="H395" s="1">
        <v>4</v>
      </c>
      <c r="I395" s="1">
        <v>4</v>
      </c>
      <c r="J395" s="1">
        <v>3</v>
      </c>
      <c r="K395" s="1">
        <v>3</v>
      </c>
      <c r="L395" s="1">
        <v>3</v>
      </c>
      <c r="M395" s="1">
        <v>3</v>
      </c>
      <c r="N395" s="1">
        <v>3</v>
      </c>
      <c r="O395" s="1">
        <v>2</v>
      </c>
      <c r="P395" s="1">
        <v>3</v>
      </c>
      <c r="Q395" s="1">
        <v>3</v>
      </c>
      <c r="R395" s="1">
        <v>4</v>
      </c>
      <c r="S395" s="1">
        <v>3</v>
      </c>
      <c r="T395" s="1">
        <v>3</v>
      </c>
      <c r="U395" s="1">
        <v>3</v>
      </c>
      <c r="V395" s="1">
        <v>4</v>
      </c>
      <c r="W395" s="1">
        <v>4</v>
      </c>
      <c r="X395" s="1">
        <v>3</v>
      </c>
      <c r="Y395" s="1">
        <v>2</v>
      </c>
      <c r="Z395" s="1">
        <v>2</v>
      </c>
      <c r="AA395" s="1">
        <v>2</v>
      </c>
      <c r="AB395" s="1">
        <v>2</v>
      </c>
      <c r="AC395" s="1">
        <v>2</v>
      </c>
      <c r="AD395" s="1">
        <v>3</v>
      </c>
      <c r="AE395" s="1">
        <v>3</v>
      </c>
      <c r="AF395" s="1">
        <v>2</v>
      </c>
      <c r="AG395" s="1">
        <v>3</v>
      </c>
      <c r="AH395" s="1">
        <v>4</v>
      </c>
      <c r="AI395" s="1">
        <v>4</v>
      </c>
      <c r="AJ395" s="1">
        <v>4</v>
      </c>
      <c r="AK395" s="1">
        <v>3</v>
      </c>
      <c r="AL395" s="1">
        <v>3</v>
      </c>
      <c r="AM395" s="1">
        <v>4</v>
      </c>
      <c r="AN395" s="1">
        <v>4</v>
      </c>
      <c r="AO395" s="1">
        <v>3</v>
      </c>
      <c r="AP395" s="1">
        <v>3</v>
      </c>
      <c r="AQ395" s="1">
        <v>3</v>
      </c>
      <c r="AR395" s="1">
        <v>4</v>
      </c>
      <c r="AS395" s="1">
        <v>3</v>
      </c>
      <c r="AT395" s="1">
        <v>4</v>
      </c>
      <c r="AU395" s="1">
        <v>3</v>
      </c>
      <c r="AV395" s="1">
        <v>5</v>
      </c>
      <c r="AW395" s="1">
        <v>2</v>
      </c>
      <c r="AX395" s="1">
        <v>3</v>
      </c>
      <c r="AY395" s="1">
        <v>3</v>
      </c>
      <c r="AZ395" s="1">
        <v>2</v>
      </c>
      <c r="BA395" s="1">
        <v>3</v>
      </c>
      <c r="BB395" s="1">
        <v>3</v>
      </c>
      <c r="BC395" s="1">
        <v>2</v>
      </c>
    </row>
    <row r="396" spans="1:55">
      <c r="A396" s="1" t="s">
        <v>659</v>
      </c>
      <c r="B396" s="1" t="s">
        <v>489</v>
      </c>
      <c r="C396" s="1" t="s">
        <v>658</v>
      </c>
      <c r="D396" s="1">
        <v>2</v>
      </c>
      <c r="E396" s="1">
        <v>2</v>
      </c>
      <c r="F396" s="1">
        <v>5</v>
      </c>
      <c r="G396" s="1">
        <v>4</v>
      </c>
      <c r="H396" s="1">
        <v>1</v>
      </c>
      <c r="I396" s="1">
        <v>2</v>
      </c>
      <c r="J396" s="1">
        <v>3</v>
      </c>
      <c r="K396" s="1">
        <v>3</v>
      </c>
      <c r="L396" s="1">
        <v>3</v>
      </c>
      <c r="M396" s="1">
        <v>1</v>
      </c>
      <c r="N396" s="1">
        <v>3</v>
      </c>
      <c r="O396" s="1">
        <v>2</v>
      </c>
      <c r="P396" s="1">
        <v>4</v>
      </c>
      <c r="Q396" s="1">
        <v>3</v>
      </c>
      <c r="R396" s="1">
        <v>2</v>
      </c>
      <c r="S396" s="1">
        <v>2</v>
      </c>
      <c r="T396" s="1">
        <v>2</v>
      </c>
      <c r="U396" s="1">
        <v>1</v>
      </c>
      <c r="V396" s="1">
        <v>2</v>
      </c>
      <c r="W396" s="1">
        <v>2</v>
      </c>
      <c r="X396" s="1">
        <v>2</v>
      </c>
      <c r="Y396" s="1">
        <v>2</v>
      </c>
      <c r="Z396" s="1">
        <v>3</v>
      </c>
      <c r="AA396" s="1">
        <v>2</v>
      </c>
      <c r="AB396" s="1">
        <v>3</v>
      </c>
      <c r="AC396" s="1">
        <v>4</v>
      </c>
      <c r="AD396" s="1">
        <v>2</v>
      </c>
      <c r="AE396" s="1">
        <v>2</v>
      </c>
      <c r="AF396" s="1">
        <v>5</v>
      </c>
      <c r="AG396" s="1">
        <v>4</v>
      </c>
      <c r="AH396" s="1">
        <v>2</v>
      </c>
      <c r="AI396" s="1">
        <v>2</v>
      </c>
      <c r="AJ396" s="1">
        <v>3</v>
      </c>
      <c r="AK396" s="1">
        <v>2</v>
      </c>
      <c r="AL396" s="1">
        <v>3</v>
      </c>
      <c r="AM396" s="1">
        <v>3</v>
      </c>
      <c r="AN396" s="1">
        <v>2</v>
      </c>
      <c r="AO396" s="1">
        <v>3</v>
      </c>
      <c r="AP396" s="1">
        <v>3</v>
      </c>
      <c r="AQ396" s="1">
        <v>4</v>
      </c>
      <c r="AR396" s="1">
        <v>2</v>
      </c>
      <c r="AS396" s="1">
        <v>2</v>
      </c>
      <c r="AT396" s="1">
        <v>2</v>
      </c>
      <c r="AU396" s="1">
        <v>1</v>
      </c>
      <c r="AV396" s="1">
        <v>3</v>
      </c>
      <c r="AW396" s="1">
        <v>3</v>
      </c>
      <c r="AX396" s="1">
        <v>3</v>
      </c>
      <c r="AY396" s="1">
        <v>2</v>
      </c>
      <c r="AZ396" s="1">
        <v>4</v>
      </c>
      <c r="BA396" s="1">
        <v>3</v>
      </c>
      <c r="BB396" s="1">
        <v>4</v>
      </c>
      <c r="BC396" s="1">
        <v>4</v>
      </c>
    </row>
    <row r="397" spans="1:55">
      <c r="A397" s="1" t="s">
        <v>660</v>
      </c>
      <c r="B397" s="1" t="s">
        <v>489</v>
      </c>
      <c r="C397" s="1" t="s">
        <v>661</v>
      </c>
      <c r="D397" s="1">
        <v>3</v>
      </c>
      <c r="E397" s="1">
        <v>3</v>
      </c>
      <c r="F397" s="1">
        <v>3</v>
      </c>
      <c r="G397" s="1">
        <v>3</v>
      </c>
      <c r="H397" s="1">
        <v>4</v>
      </c>
      <c r="I397" s="1">
        <v>4</v>
      </c>
      <c r="J397" s="1">
        <v>3</v>
      </c>
      <c r="K397" s="1">
        <v>3</v>
      </c>
      <c r="L397" s="1">
        <v>2</v>
      </c>
      <c r="M397" s="1">
        <v>3</v>
      </c>
      <c r="N397" s="1">
        <v>3</v>
      </c>
      <c r="O397" s="1">
        <v>2</v>
      </c>
      <c r="P397" s="1">
        <v>2</v>
      </c>
      <c r="Q397" s="1">
        <v>2</v>
      </c>
      <c r="R397" s="1">
        <v>3</v>
      </c>
      <c r="S397" s="1">
        <v>2</v>
      </c>
      <c r="T397" s="1">
        <v>3</v>
      </c>
      <c r="U397" s="1">
        <v>4</v>
      </c>
      <c r="V397" s="1">
        <v>3</v>
      </c>
      <c r="W397" s="1">
        <v>4</v>
      </c>
      <c r="X397" s="1">
        <v>4</v>
      </c>
      <c r="Y397" s="1">
        <v>3</v>
      </c>
      <c r="Z397" s="1">
        <v>2</v>
      </c>
      <c r="AA397" s="1">
        <v>2</v>
      </c>
      <c r="AB397" s="1">
        <v>2</v>
      </c>
      <c r="AC397" s="1">
        <v>3</v>
      </c>
      <c r="AD397" s="1">
        <v>3</v>
      </c>
      <c r="AE397" s="1">
        <v>3</v>
      </c>
      <c r="AF397" s="1">
        <v>4</v>
      </c>
      <c r="AG397" s="1">
        <v>4</v>
      </c>
      <c r="AH397" s="1">
        <v>3</v>
      </c>
      <c r="AI397" s="1">
        <v>4</v>
      </c>
      <c r="AJ397" s="1">
        <v>3</v>
      </c>
      <c r="AK397" s="1">
        <v>2</v>
      </c>
      <c r="AL397" s="1">
        <v>2</v>
      </c>
      <c r="AM397" s="1">
        <v>3</v>
      </c>
      <c r="AN397" s="1">
        <v>4</v>
      </c>
      <c r="AO397" s="1">
        <v>2</v>
      </c>
      <c r="AP397" s="1">
        <v>3</v>
      </c>
      <c r="AQ397" s="1">
        <v>2</v>
      </c>
      <c r="AR397" s="1">
        <v>4</v>
      </c>
      <c r="AS397" s="1">
        <v>4</v>
      </c>
      <c r="AT397" s="1">
        <v>3</v>
      </c>
      <c r="AU397" s="1">
        <v>2</v>
      </c>
      <c r="AV397" s="1">
        <v>3</v>
      </c>
      <c r="AW397" s="1">
        <v>3</v>
      </c>
      <c r="AX397" s="1">
        <v>4</v>
      </c>
      <c r="AY397" s="1">
        <v>4</v>
      </c>
      <c r="AZ397" s="1">
        <v>2</v>
      </c>
      <c r="BA397" s="1">
        <v>2</v>
      </c>
      <c r="BB397" s="1">
        <v>3</v>
      </c>
      <c r="BC397" s="1">
        <v>3</v>
      </c>
    </row>
    <row r="398" spans="1:55">
      <c r="A398" s="1" t="s">
        <v>662</v>
      </c>
      <c r="B398" s="1" t="s">
        <v>489</v>
      </c>
      <c r="C398" s="1" t="s">
        <v>661</v>
      </c>
      <c r="D398" s="1">
        <v>2</v>
      </c>
      <c r="E398" s="1">
        <v>3</v>
      </c>
      <c r="F398" s="1">
        <v>3</v>
      </c>
      <c r="G398" s="1">
        <v>3</v>
      </c>
      <c r="H398" s="1">
        <v>2</v>
      </c>
      <c r="I398" s="1">
        <v>2</v>
      </c>
      <c r="J398" s="1">
        <v>2</v>
      </c>
      <c r="K398" s="1">
        <v>3</v>
      </c>
      <c r="L398" s="1">
        <v>2</v>
      </c>
      <c r="M398" s="1">
        <v>3</v>
      </c>
      <c r="N398" s="1">
        <v>3</v>
      </c>
      <c r="O398" s="1">
        <v>2</v>
      </c>
      <c r="P398" s="1">
        <v>3</v>
      </c>
      <c r="Q398" s="1">
        <v>3</v>
      </c>
      <c r="R398" s="1">
        <v>4</v>
      </c>
      <c r="S398" s="1">
        <v>3</v>
      </c>
      <c r="T398" s="1">
        <v>2</v>
      </c>
      <c r="U398" s="1">
        <v>3</v>
      </c>
      <c r="V398" s="1">
        <v>2</v>
      </c>
      <c r="W398" s="1">
        <v>2</v>
      </c>
      <c r="X398" s="1">
        <v>2</v>
      </c>
      <c r="Y398" s="1">
        <v>3</v>
      </c>
      <c r="Z398" s="1">
        <v>3</v>
      </c>
      <c r="AA398" s="1">
        <v>3</v>
      </c>
      <c r="AB398" s="1">
        <v>3</v>
      </c>
      <c r="AC398" s="1">
        <v>4</v>
      </c>
      <c r="AD398" s="1">
        <v>2</v>
      </c>
      <c r="AE398" s="1">
        <v>5</v>
      </c>
      <c r="AF398" s="1">
        <v>3</v>
      </c>
      <c r="AG398" s="1">
        <v>2</v>
      </c>
      <c r="AH398" s="1">
        <v>3</v>
      </c>
      <c r="AI398" s="1">
        <v>2</v>
      </c>
      <c r="AJ398" s="1">
        <v>2</v>
      </c>
      <c r="AK398" s="1">
        <v>3</v>
      </c>
      <c r="AL398" s="1">
        <v>3</v>
      </c>
      <c r="AM398" s="1">
        <v>3</v>
      </c>
      <c r="AN398" s="1">
        <v>2</v>
      </c>
      <c r="AO398" s="1">
        <v>4</v>
      </c>
      <c r="AP398" s="1">
        <v>3</v>
      </c>
      <c r="AQ398" s="1">
        <v>3</v>
      </c>
      <c r="AR398" s="1">
        <v>4</v>
      </c>
      <c r="AS398" s="1">
        <v>4</v>
      </c>
      <c r="AT398" s="1">
        <v>3</v>
      </c>
      <c r="AU398" s="1">
        <v>4</v>
      </c>
      <c r="AV398" s="1">
        <v>2</v>
      </c>
      <c r="AW398" s="1">
        <v>3</v>
      </c>
      <c r="AX398" s="1">
        <v>2</v>
      </c>
      <c r="AY398" s="1">
        <v>2</v>
      </c>
      <c r="AZ398" s="1">
        <v>2</v>
      </c>
      <c r="BA398" s="1">
        <v>3</v>
      </c>
      <c r="BB398" s="1">
        <v>2</v>
      </c>
      <c r="BC398" s="1">
        <v>4</v>
      </c>
    </row>
    <row r="399" spans="1:55">
      <c r="A399" s="1" t="s">
        <v>663</v>
      </c>
      <c r="B399" s="1" t="s">
        <v>489</v>
      </c>
      <c r="C399" s="1" t="s">
        <v>664</v>
      </c>
      <c r="D399" s="1">
        <v>2</v>
      </c>
      <c r="E399" s="1">
        <v>3</v>
      </c>
      <c r="F399" s="1">
        <v>3</v>
      </c>
      <c r="G399" s="1">
        <v>2</v>
      </c>
      <c r="H399" s="1">
        <v>3</v>
      </c>
      <c r="I399" s="1">
        <v>4</v>
      </c>
      <c r="J399" s="1">
        <v>4</v>
      </c>
      <c r="K399" s="1">
        <v>3</v>
      </c>
      <c r="L399" s="1">
        <v>2</v>
      </c>
      <c r="M399" s="1">
        <v>2</v>
      </c>
      <c r="N399" s="1">
        <v>3</v>
      </c>
      <c r="O399" s="1">
        <v>2</v>
      </c>
      <c r="P399" s="1">
        <v>2</v>
      </c>
      <c r="Q399" s="1">
        <v>3</v>
      </c>
      <c r="R399" s="1">
        <v>4</v>
      </c>
      <c r="S399" s="1">
        <v>2</v>
      </c>
      <c r="T399" s="1">
        <v>3</v>
      </c>
      <c r="U399" s="1">
        <v>3</v>
      </c>
      <c r="V399" s="1">
        <v>4</v>
      </c>
      <c r="W399" s="1">
        <v>4</v>
      </c>
      <c r="X399" s="1">
        <v>2</v>
      </c>
      <c r="Y399" s="1">
        <v>3</v>
      </c>
      <c r="Z399" s="1">
        <v>3</v>
      </c>
      <c r="AA399" s="1">
        <v>2</v>
      </c>
      <c r="AB399" s="1">
        <v>2</v>
      </c>
      <c r="AC399" s="1">
        <v>3</v>
      </c>
      <c r="AD399" s="1">
        <v>3</v>
      </c>
      <c r="AE399" s="1">
        <v>4</v>
      </c>
      <c r="AF399" s="1">
        <v>2</v>
      </c>
      <c r="AG399" s="1">
        <v>2</v>
      </c>
      <c r="AH399" s="1">
        <v>4</v>
      </c>
      <c r="AI399" s="1">
        <v>4</v>
      </c>
      <c r="AJ399" s="1">
        <v>4</v>
      </c>
      <c r="AK399" s="1">
        <v>2</v>
      </c>
      <c r="AL399" s="1">
        <v>2</v>
      </c>
      <c r="AM399" s="1">
        <v>4</v>
      </c>
      <c r="AN399" s="1">
        <v>4</v>
      </c>
      <c r="AO399" s="1">
        <v>2</v>
      </c>
      <c r="AP399" s="1">
        <v>4</v>
      </c>
      <c r="AQ399" s="1">
        <v>3</v>
      </c>
      <c r="AR399" s="1">
        <v>4</v>
      </c>
      <c r="AS399" s="1">
        <v>4</v>
      </c>
      <c r="AT399" s="1">
        <v>4</v>
      </c>
      <c r="AU399" s="1">
        <v>4</v>
      </c>
      <c r="AV399" s="1">
        <v>4</v>
      </c>
      <c r="AW399" s="1">
        <v>3</v>
      </c>
      <c r="AX399" s="1">
        <v>3</v>
      </c>
      <c r="AY399" s="1">
        <v>3</v>
      </c>
      <c r="AZ399" s="1">
        <v>2</v>
      </c>
      <c r="BA399" s="1">
        <v>3</v>
      </c>
      <c r="BB399" s="1">
        <v>3</v>
      </c>
      <c r="BC399" s="1">
        <v>3</v>
      </c>
    </row>
    <row r="400" spans="1:55">
      <c r="A400" s="1" t="s">
        <v>665</v>
      </c>
      <c r="B400" s="1" t="s">
        <v>489</v>
      </c>
      <c r="C400" s="1" t="s">
        <v>664</v>
      </c>
      <c r="D400" s="1">
        <v>2</v>
      </c>
      <c r="E400" s="1">
        <v>3</v>
      </c>
      <c r="F400" s="1">
        <v>3</v>
      </c>
      <c r="G400" s="1">
        <v>4</v>
      </c>
      <c r="H400" s="1">
        <v>3</v>
      </c>
      <c r="I400" s="1">
        <v>3</v>
      </c>
      <c r="J400" s="1">
        <v>2</v>
      </c>
      <c r="K400" s="1">
        <v>2</v>
      </c>
      <c r="L400" s="1">
        <v>3</v>
      </c>
      <c r="M400" s="1">
        <v>2</v>
      </c>
      <c r="N400" s="1">
        <v>3</v>
      </c>
      <c r="O400" s="1">
        <v>3</v>
      </c>
      <c r="P400" s="1">
        <v>4</v>
      </c>
      <c r="Q400" s="1">
        <v>3</v>
      </c>
      <c r="R400" s="1">
        <v>3</v>
      </c>
      <c r="S400" s="1">
        <v>3</v>
      </c>
      <c r="T400" s="1">
        <v>2</v>
      </c>
      <c r="U400" s="1">
        <v>3</v>
      </c>
      <c r="V400" s="1">
        <v>3</v>
      </c>
      <c r="W400" s="1">
        <v>3</v>
      </c>
      <c r="X400" s="1">
        <v>2</v>
      </c>
      <c r="Y400" s="1">
        <v>2</v>
      </c>
      <c r="Z400" s="1">
        <v>3</v>
      </c>
      <c r="AA400" s="1">
        <v>3</v>
      </c>
      <c r="AB400" s="1">
        <v>3</v>
      </c>
      <c r="AC400" s="1">
        <v>2</v>
      </c>
      <c r="AD400" s="1">
        <v>2</v>
      </c>
      <c r="AE400" s="1">
        <v>2</v>
      </c>
      <c r="AF400" s="1">
        <v>3</v>
      </c>
      <c r="AG400" s="1">
        <v>3</v>
      </c>
      <c r="AH400" s="1">
        <v>4</v>
      </c>
      <c r="AI400" s="1">
        <v>3</v>
      </c>
      <c r="AJ400" s="1">
        <v>4</v>
      </c>
      <c r="AK400" s="1">
        <v>2</v>
      </c>
      <c r="AL400" s="1">
        <v>4</v>
      </c>
      <c r="AM400" s="1">
        <v>3</v>
      </c>
      <c r="AN400" s="1">
        <v>4</v>
      </c>
      <c r="AO400" s="1">
        <v>2</v>
      </c>
      <c r="AP400" s="1">
        <v>3</v>
      </c>
      <c r="AQ400" s="1">
        <v>3</v>
      </c>
      <c r="AR400" s="1">
        <v>3</v>
      </c>
      <c r="AS400" s="1">
        <v>3</v>
      </c>
      <c r="AT400" s="1">
        <v>3</v>
      </c>
      <c r="AU400" s="1">
        <v>4</v>
      </c>
      <c r="AV400" s="1">
        <v>3</v>
      </c>
      <c r="AW400" s="1">
        <v>2</v>
      </c>
      <c r="AX400" s="1">
        <v>3</v>
      </c>
      <c r="AY400" s="1">
        <v>2</v>
      </c>
      <c r="AZ400" s="1">
        <v>2</v>
      </c>
      <c r="BA400" s="1">
        <v>3</v>
      </c>
      <c r="BB400" s="1">
        <v>3</v>
      </c>
      <c r="BC400" s="1">
        <v>3</v>
      </c>
    </row>
    <row r="401" spans="1:55">
      <c r="A401" s="1" t="s">
        <v>666</v>
      </c>
      <c r="B401" s="1" t="s">
        <v>489</v>
      </c>
      <c r="C401" s="1" t="s">
        <v>667</v>
      </c>
      <c r="D401" s="1">
        <v>3</v>
      </c>
      <c r="E401" s="1">
        <v>4</v>
      </c>
      <c r="F401" s="1">
        <v>2</v>
      </c>
      <c r="G401" s="1">
        <v>1</v>
      </c>
      <c r="H401" s="1">
        <v>3</v>
      </c>
      <c r="I401" s="1">
        <v>4</v>
      </c>
      <c r="J401" s="1">
        <v>3</v>
      </c>
      <c r="K401" s="1">
        <v>2</v>
      </c>
      <c r="L401" s="1">
        <v>2</v>
      </c>
      <c r="M401" s="1">
        <v>5</v>
      </c>
      <c r="N401" s="1">
        <v>3</v>
      </c>
      <c r="O401" s="1">
        <v>3</v>
      </c>
      <c r="P401" s="1">
        <v>2</v>
      </c>
      <c r="Q401" s="1">
        <v>2</v>
      </c>
      <c r="R401" s="1">
        <v>4</v>
      </c>
      <c r="S401" s="1">
        <v>2</v>
      </c>
      <c r="T401" s="1">
        <v>4</v>
      </c>
      <c r="U401" s="1">
        <v>4</v>
      </c>
      <c r="V401" s="1">
        <v>3</v>
      </c>
      <c r="W401" s="1">
        <v>3</v>
      </c>
      <c r="X401" s="1">
        <v>3</v>
      </c>
      <c r="Y401" s="1">
        <v>2</v>
      </c>
      <c r="Z401" s="1">
        <v>3</v>
      </c>
      <c r="AA401" s="1">
        <v>2</v>
      </c>
      <c r="AB401" s="1">
        <v>3</v>
      </c>
      <c r="AC401" s="1">
        <v>3</v>
      </c>
      <c r="AD401" s="1">
        <v>3</v>
      </c>
      <c r="AE401" s="1">
        <v>3</v>
      </c>
      <c r="AF401" s="1">
        <v>4</v>
      </c>
      <c r="AG401" s="1">
        <v>2</v>
      </c>
      <c r="AH401" s="1">
        <v>3</v>
      </c>
      <c r="AI401" s="1">
        <v>3</v>
      </c>
      <c r="AJ401" s="1">
        <v>4</v>
      </c>
      <c r="AK401" s="1">
        <v>2</v>
      </c>
      <c r="AL401" s="1">
        <v>2</v>
      </c>
      <c r="AM401" s="1">
        <v>3</v>
      </c>
      <c r="AN401" s="1">
        <v>4</v>
      </c>
      <c r="AO401" s="1">
        <v>2</v>
      </c>
      <c r="AP401" s="1">
        <v>2</v>
      </c>
      <c r="AQ401" s="1">
        <v>2</v>
      </c>
      <c r="AR401" s="1">
        <v>3</v>
      </c>
      <c r="AS401" s="1">
        <v>3</v>
      </c>
      <c r="AT401" s="1">
        <v>4</v>
      </c>
      <c r="AU401" s="1">
        <v>3</v>
      </c>
      <c r="AV401" s="1">
        <v>4</v>
      </c>
      <c r="AW401" s="1">
        <v>2</v>
      </c>
      <c r="AX401" s="1">
        <v>2</v>
      </c>
      <c r="AY401" s="1">
        <v>2</v>
      </c>
      <c r="AZ401" s="1">
        <v>2</v>
      </c>
      <c r="BA401" s="1">
        <v>2</v>
      </c>
      <c r="BB401" s="1">
        <v>3</v>
      </c>
      <c r="BC401" s="1">
        <v>3</v>
      </c>
    </row>
    <row r="402" spans="1:55">
      <c r="A402" s="1" t="s">
        <v>668</v>
      </c>
      <c r="B402" s="1" t="s">
        <v>489</v>
      </c>
      <c r="C402" s="1" t="s">
        <v>667</v>
      </c>
      <c r="D402" s="1">
        <v>2</v>
      </c>
      <c r="E402" s="1">
        <v>4</v>
      </c>
      <c r="F402" s="1">
        <v>1</v>
      </c>
      <c r="G402" s="1">
        <v>1</v>
      </c>
      <c r="H402" s="1">
        <v>2</v>
      </c>
      <c r="I402" s="1">
        <v>3</v>
      </c>
      <c r="J402" s="1">
        <v>2</v>
      </c>
      <c r="K402" s="1">
        <v>3</v>
      </c>
      <c r="L402" s="1">
        <v>3</v>
      </c>
      <c r="M402" s="1">
        <v>4</v>
      </c>
      <c r="N402" s="1">
        <v>2</v>
      </c>
      <c r="O402" s="1">
        <v>3</v>
      </c>
      <c r="P402" s="1">
        <v>3</v>
      </c>
      <c r="Q402" s="1">
        <v>3</v>
      </c>
      <c r="R402" s="1">
        <v>4</v>
      </c>
      <c r="S402" s="1">
        <v>3</v>
      </c>
      <c r="T402" s="1">
        <v>4</v>
      </c>
      <c r="U402" s="1">
        <v>4</v>
      </c>
      <c r="V402" s="1">
        <v>2</v>
      </c>
      <c r="W402" s="1">
        <v>2</v>
      </c>
      <c r="X402" s="1">
        <v>3</v>
      </c>
      <c r="Y402" s="1">
        <v>3</v>
      </c>
      <c r="Z402" s="1">
        <v>4</v>
      </c>
      <c r="AA402" s="1">
        <v>2</v>
      </c>
      <c r="AB402" s="1">
        <v>3</v>
      </c>
      <c r="AC402" s="1">
        <v>4</v>
      </c>
      <c r="AD402" s="1">
        <v>4</v>
      </c>
      <c r="AE402" s="1">
        <v>4</v>
      </c>
      <c r="AF402" s="1">
        <v>1</v>
      </c>
      <c r="AG402" s="1">
        <v>1</v>
      </c>
      <c r="AH402" s="1">
        <v>3</v>
      </c>
      <c r="AI402" s="1">
        <v>3</v>
      </c>
      <c r="AJ402" s="1">
        <v>3</v>
      </c>
      <c r="AK402" s="1">
        <v>3</v>
      </c>
      <c r="AL402" s="1">
        <v>2</v>
      </c>
      <c r="AM402" s="1">
        <v>4</v>
      </c>
      <c r="AN402" s="1">
        <v>3</v>
      </c>
      <c r="AO402" s="1">
        <v>2</v>
      </c>
      <c r="AP402" s="1">
        <v>3</v>
      </c>
      <c r="AQ402" s="1">
        <v>4</v>
      </c>
      <c r="AR402" s="1">
        <v>4</v>
      </c>
      <c r="AS402" s="1">
        <v>4</v>
      </c>
      <c r="AT402" s="1">
        <v>5</v>
      </c>
      <c r="AU402" s="1">
        <v>5</v>
      </c>
      <c r="AV402" s="1">
        <v>3</v>
      </c>
      <c r="AW402" s="1">
        <v>3</v>
      </c>
      <c r="AX402" s="1">
        <v>2</v>
      </c>
      <c r="AY402" s="1">
        <v>3</v>
      </c>
      <c r="AZ402" s="1">
        <v>3</v>
      </c>
      <c r="BA402" s="1">
        <v>2</v>
      </c>
      <c r="BB402" s="1">
        <v>3</v>
      </c>
      <c r="BC402" s="1">
        <v>4</v>
      </c>
    </row>
    <row r="403" spans="1:55">
      <c r="A403" s="1" t="s">
        <v>669</v>
      </c>
      <c r="B403" s="1" t="s">
        <v>489</v>
      </c>
      <c r="C403" s="1" t="s">
        <v>670</v>
      </c>
      <c r="D403" s="1">
        <v>2</v>
      </c>
      <c r="E403" s="1">
        <v>4</v>
      </c>
      <c r="F403" s="1">
        <v>2</v>
      </c>
      <c r="G403" s="1">
        <v>2</v>
      </c>
      <c r="H403" s="1">
        <v>3</v>
      </c>
      <c r="I403" s="1">
        <v>2</v>
      </c>
      <c r="J403" s="1">
        <v>3</v>
      </c>
      <c r="K403" s="1">
        <v>2</v>
      </c>
      <c r="L403" s="1">
        <v>2</v>
      </c>
      <c r="M403" s="1">
        <v>4</v>
      </c>
      <c r="N403" s="1">
        <v>2</v>
      </c>
      <c r="O403" s="1">
        <v>2</v>
      </c>
      <c r="P403" s="1">
        <v>2</v>
      </c>
      <c r="Q403" s="1">
        <v>2</v>
      </c>
      <c r="R403" s="1">
        <v>3</v>
      </c>
      <c r="S403" s="1">
        <v>4</v>
      </c>
      <c r="T403" s="1">
        <v>5</v>
      </c>
      <c r="U403" s="1">
        <v>4</v>
      </c>
      <c r="V403" s="1">
        <v>2</v>
      </c>
      <c r="W403" s="1">
        <v>4</v>
      </c>
      <c r="X403" s="1">
        <v>3</v>
      </c>
      <c r="Y403" s="1">
        <v>2</v>
      </c>
      <c r="Z403" s="1">
        <v>3</v>
      </c>
      <c r="AA403" s="1">
        <v>2</v>
      </c>
      <c r="AB403" s="1">
        <v>2</v>
      </c>
      <c r="AC403" s="1">
        <v>3</v>
      </c>
      <c r="AD403" s="1">
        <v>2</v>
      </c>
      <c r="AE403" s="1">
        <v>4</v>
      </c>
      <c r="AF403" s="1">
        <v>2</v>
      </c>
      <c r="AG403" s="1">
        <v>2</v>
      </c>
      <c r="AH403" s="1">
        <v>2</v>
      </c>
      <c r="AI403" s="1">
        <v>2</v>
      </c>
      <c r="AJ403" s="1">
        <v>2</v>
      </c>
      <c r="AK403" s="1">
        <v>3</v>
      </c>
      <c r="AL403" s="1">
        <v>2</v>
      </c>
      <c r="AM403" s="1">
        <v>4</v>
      </c>
      <c r="AN403" s="1">
        <v>2</v>
      </c>
      <c r="AO403" s="1">
        <v>3</v>
      </c>
      <c r="AP403" s="1">
        <v>2</v>
      </c>
      <c r="AQ403" s="1">
        <v>3</v>
      </c>
      <c r="AR403" s="1">
        <v>4</v>
      </c>
      <c r="AS403" s="1">
        <v>4</v>
      </c>
      <c r="AT403" s="1">
        <v>4</v>
      </c>
      <c r="AU403" s="1">
        <v>3</v>
      </c>
      <c r="AV403" s="1">
        <v>1</v>
      </c>
      <c r="AW403" s="1">
        <v>3</v>
      </c>
      <c r="AX403" s="1">
        <v>4</v>
      </c>
      <c r="AY403" s="1">
        <v>4</v>
      </c>
      <c r="AZ403" s="1">
        <v>1</v>
      </c>
      <c r="BA403" s="1">
        <v>2</v>
      </c>
      <c r="BB403" s="1">
        <v>2</v>
      </c>
      <c r="BC403" s="1">
        <v>4</v>
      </c>
    </row>
    <row r="404" spans="1:55">
      <c r="A404" s="1" t="s">
        <v>671</v>
      </c>
      <c r="B404" s="1" t="s">
        <v>489</v>
      </c>
      <c r="C404" s="1" t="s">
        <v>670</v>
      </c>
      <c r="D404" s="1">
        <v>3</v>
      </c>
      <c r="E404" s="1">
        <v>4</v>
      </c>
      <c r="F404" s="1">
        <v>3</v>
      </c>
      <c r="G404" s="1">
        <v>3</v>
      </c>
      <c r="H404" s="1">
        <v>2</v>
      </c>
      <c r="I404" s="1">
        <v>3</v>
      </c>
      <c r="J404" s="1">
        <v>2</v>
      </c>
      <c r="K404" s="1">
        <v>4</v>
      </c>
      <c r="L404" s="1">
        <v>2</v>
      </c>
      <c r="M404" s="1">
        <v>4</v>
      </c>
      <c r="N404" s="1">
        <v>3</v>
      </c>
      <c r="O404" s="1">
        <v>4</v>
      </c>
      <c r="P404" s="1">
        <v>3</v>
      </c>
      <c r="Q404" s="1">
        <v>2</v>
      </c>
      <c r="R404" s="1">
        <v>3</v>
      </c>
      <c r="S404" s="1">
        <v>3</v>
      </c>
      <c r="T404" s="1">
        <v>3</v>
      </c>
      <c r="U404" s="1">
        <v>3</v>
      </c>
      <c r="V404" s="1">
        <v>2</v>
      </c>
      <c r="W404" s="1">
        <v>4</v>
      </c>
      <c r="X404" s="1">
        <v>2</v>
      </c>
      <c r="Y404" s="1">
        <v>3</v>
      </c>
      <c r="Z404" s="1">
        <v>2</v>
      </c>
      <c r="AA404" s="1">
        <v>2</v>
      </c>
      <c r="AB404" s="1">
        <v>3</v>
      </c>
      <c r="AC404" s="1">
        <v>3</v>
      </c>
      <c r="AD404" s="1">
        <v>4</v>
      </c>
      <c r="AE404" s="1">
        <v>4</v>
      </c>
      <c r="AF404" s="1">
        <v>2</v>
      </c>
      <c r="AG404" s="1">
        <v>2</v>
      </c>
      <c r="AH404" s="1">
        <v>3</v>
      </c>
      <c r="AI404" s="1">
        <v>2</v>
      </c>
      <c r="AJ404" s="1">
        <v>3</v>
      </c>
      <c r="AK404" s="1">
        <v>3</v>
      </c>
      <c r="AL404" s="1">
        <v>3</v>
      </c>
      <c r="AM404" s="1">
        <v>4</v>
      </c>
      <c r="AN404" s="1">
        <v>3</v>
      </c>
      <c r="AO404" s="1">
        <v>3</v>
      </c>
      <c r="AP404" s="1">
        <v>3</v>
      </c>
      <c r="AQ404" s="1">
        <v>4</v>
      </c>
      <c r="AR404" s="1">
        <v>4</v>
      </c>
      <c r="AS404" s="1">
        <v>4</v>
      </c>
      <c r="AT404" s="1">
        <v>4</v>
      </c>
      <c r="AU404" s="1">
        <v>3</v>
      </c>
      <c r="AV404" s="1">
        <v>2</v>
      </c>
      <c r="AW404" s="1">
        <v>4</v>
      </c>
      <c r="AX404" s="1">
        <v>3</v>
      </c>
      <c r="AY404" s="1">
        <v>4</v>
      </c>
      <c r="AZ404" s="1">
        <v>2</v>
      </c>
      <c r="BA404" s="1">
        <v>1</v>
      </c>
      <c r="BB404" s="1">
        <v>3</v>
      </c>
      <c r="BC404" s="1">
        <v>3</v>
      </c>
    </row>
    <row r="405" spans="1:55">
      <c r="A405" s="1" t="s">
        <v>672</v>
      </c>
      <c r="B405" s="1" t="s">
        <v>489</v>
      </c>
      <c r="C405" s="1" t="s">
        <v>673</v>
      </c>
      <c r="D405" s="1">
        <v>3</v>
      </c>
      <c r="E405" s="1">
        <v>4</v>
      </c>
      <c r="F405" s="1">
        <v>2</v>
      </c>
      <c r="G405" s="1">
        <v>1</v>
      </c>
      <c r="H405" s="1">
        <v>2</v>
      </c>
      <c r="I405" s="1">
        <v>3</v>
      </c>
      <c r="J405" s="1">
        <v>2</v>
      </c>
      <c r="K405" s="1">
        <v>2</v>
      </c>
      <c r="L405" s="1">
        <v>2</v>
      </c>
      <c r="M405" s="1">
        <v>4</v>
      </c>
      <c r="N405" s="1">
        <v>3</v>
      </c>
      <c r="O405" s="1">
        <v>2</v>
      </c>
      <c r="P405" s="1">
        <v>2</v>
      </c>
      <c r="Q405" s="1">
        <v>2</v>
      </c>
      <c r="R405" s="1">
        <v>4</v>
      </c>
      <c r="S405" s="1">
        <v>3</v>
      </c>
      <c r="T405" s="1">
        <v>3</v>
      </c>
      <c r="U405" s="1">
        <v>4</v>
      </c>
      <c r="V405" s="1">
        <v>2</v>
      </c>
      <c r="W405" s="1">
        <v>3</v>
      </c>
      <c r="X405" s="1">
        <v>4</v>
      </c>
      <c r="Y405" s="1">
        <v>3</v>
      </c>
      <c r="Z405" s="1">
        <v>2</v>
      </c>
      <c r="AA405" s="1">
        <v>3</v>
      </c>
      <c r="AB405" s="1">
        <v>3</v>
      </c>
      <c r="AC405" s="1">
        <v>4</v>
      </c>
      <c r="AD405" s="1">
        <v>3</v>
      </c>
      <c r="AE405" s="1">
        <v>4</v>
      </c>
      <c r="AF405" s="1">
        <v>2</v>
      </c>
      <c r="AG405" s="1">
        <v>2</v>
      </c>
      <c r="AH405" s="1">
        <v>2</v>
      </c>
      <c r="AI405" s="1">
        <v>3</v>
      </c>
      <c r="AJ405" s="1">
        <v>2</v>
      </c>
      <c r="AK405" s="1">
        <v>3</v>
      </c>
      <c r="AL405" s="1">
        <v>2</v>
      </c>
      <c r="AM405" s="1">
        <v>3</v>
      </c>
      <c r="AN405" s="1">
        <v>3</v>
      </c>
      <c r="AO405" s="1">
        <v>3</v>
      </c>
      <c r="AP405" s="1">
        <v>2</v>
      </c>
      <c r="AQ405" s="1">
        <v>2</v>
      </c>
      <c r="AR405" s="1">
        <v>4</v>
      </c>
      <c r="AS405" s="1">
        <v>4</v>
      </c>
      <c r="AT405" s="1">
        <v>5</v>
      </c>
      <c r="AU405" s="1">
        <v>3</v>
      </c>
      <c r="AV405" s="1">
        <v>2</v>
      </c>
      <c r="AW405" s="1">
        <v>4</v>
      </c>
      <c r="AX405" s="1">
        <v>4</v>
      </c>
      <c r="AY405" s="1">
        <v>4</v>
      </c>
      <c r="AZ405" s="1">
        <v>3</v>
      </c>
      <c r="BA405" s="1">
        <v>2</v>
      </c>
      <c r="BB405" s="1">
        <v>3</v>
      </c>
      <c r="BC405" s="1">
        <v>3</v>
      </c>
    </row>
    <row r="406" spans="1:55">
      <c r="A406" s="1" t="s">
        <v>674</v>
      </c>
      <c r="B406" s="1" t="s">
        <v>489</v>
      </c>
      <c r="C406" s="1" t="s">
        <v>673</v>
      </c>
      <c r="D406" s="1">
        <v>3</v>
      </c>
      <c r="E406" s="1">
        <v>3</v>
      </c>
      <c r="F406" s="1">
        <v>3</v>
      </c>
      <c r="G406" s="1">
        <v>3</v>
      </c>
      <c r="H406" s="1">
        <v>3</v>
      </c>
      <c r="I406" s="1">
        <v>3</v>
      </c>
      <c r="J406" s="1">
        <v>3</v>
      </c>
      <c r="K406" s="1">
        <v>4</v>
      </c>
      <c r="L406" s="1">
        <v>3</v>
      </c>
      <c r="M406" s="1">
        <v>3</v>
      </c>
      <c r="N406" s="1">
        <v>4</v>
      </c>
      <c r="O406" s="1">
        <v>3</v>
      </c>
      <c r="P406" s="1">
        <v>3</v>
      </c>
      <c r="Q406" s="1">
        <v>4</v>
      </c>
      <c r="R406" s="1">
        <v>4</v>
      </c>
      <c r="S406" s="1">
        <v>3</v>
      </c>
      <c r="T406" s="1">
        <v>4</v>
      </c>
      <c r="U406" s="1">
        <v>4</v>
      </c>
      <c r="V406" s="1">
        <v>4</v>
      </c>
      <c r="W406" s="1">
        <v>2</v>
      </c>
      <c r="X406" s="1">
        <v>2</v>
      </c>
      <c r="Y406" s="1">
        <v>3</v>
      </c>
      <c r="Z406" s="1">
        <v>3</v>
      </c>
      <c r="AA406" s="1">
        <v>2</v>
      </c>
      <c r="AB406" s="1">
        <v>4</v>
      </c>
      <c r="AC406" s="1">
        <v>2</v>
      </c>
      <c r="AD406" s="1">
        <v>3</v>
      </c>
      <c r="AE406" s="1">
        <v>3</v>
      </c>
      <c r="AF406" s="1">
        <v>2</v>
      </c>
      <c r="AG406" s="1">
        <v>2</v>
      </c>
      <c r="AH406" s="1">
        <v>4</v>
      </c>
      <c r="AI406" s="1">
        <v>3</v>
      </c>
      <c r="AJ406" s="1">
        <v>3</v>
      </c>
      <c r="AK406" s="1">
        <v>3</v>
      </c>
      <c r="AL406" s="1">
        <v>3</v>
      </c>
      <c r="AM406" s="1">
        <v>4</v>
      </c>
      <c r="AN406" s="1">
        <v>4</v>
      </c>
      <c r="AO406" s="1">
        <v>3</v>
      </c>
      <c r="AP406" s="1">
        <v>2</v>
      </c>
      <c r="AQ406" s="1">
        <v>3</v>
      </c>
      <c r="AR406" s="1">
        <v>5</v>
      </c>
      <c r="AS406" s="1">
        <v>4</v>
      </c>
      <c r="AT406" s="1">
        <v>3</v>
      </c>
      <c r="AU406" s="1">
        <v>4</v>
      </c>
      <c r="AV406" s="1">
        <v>3</v>
      </c>
      <c r="AW406" s="1">
        <v>3</v>
      </c>
      <c r="AX406" s="1">
        <v>1</v>
      </c>
      <c r="AY406" s="1">
        <v>2</v>
      </c>
      <c r="AZ406" s="1">
        <v>3</v>
      </c>
      <c r="BA406" s="1">
        <v>3</v>
      </c>
      <c r="BB406" s="1">
        <v>2</v>
      </c>
      <c r="BC406" s="1">
        <v>3</v>
      </c>
    </row>
    <row r="407" spans="1:55">
      <c r="A407" s="1" t="s">
        <v>675</v>
      </c>
      <c r="B407" s="1" t="s">
        <v>489</v>
      </c>
      <c r="C407" s="1" t="s">
        <v>676</v>
      </c>
      <c r="D407" s="1">
        <v>3</v>
      </c>
      <c r="E407" s="1">
        <v>3</v>
      </c>
      <c r="F407" s="1">
        <v>3</v>
      </c>
      <c r="G407" s="1">
        <v>3</v>
      </c>
      <c r="H407" s="1">
        <v>3</v>
      </c>
      <c r="I407" s="1">
        <v>3</v>
      </c>
      <c r="J407" s="1">
        <v>4</v>
      </c>
      <c r="K407" s="1">
        <v>4</v>
      </c>
      <c r="L407" s="1">
        <v>4</v>
      </c>
      <c r="M407" s="1">
        <v>4</v>
      </c>
      <c r="N407" s="1">
        <v>3</v>
      </c>
      <c r="O407" s="1">
        <v>4</v>
      </c>
      <c r="P407" s="1">
        <v>4</v>
      </c>
      <c r="Q407" s="1">
        <v>3</v>
      </c>
      <c r="R407" s="1">
        <v>3</v>
      </c>
      <c r="S407" s="1">
        <v>4</v>
      </c>
      <c r="T407" s="1">
        <v>4</v>
      </c>
      <c r="U407" s="1">
        <v>4</v>
      </c>
      <c r="V407" s="1">
        <v>3</v>
      </c>
      <c r="W407" s="1">
        <v>2</v>
      </c>
      <c r="X407" s="1">
        <v>3</v>
      </c>
      <c r="Y407" s="1">
        <v>2</v>
      </c>
      <c r="Z407" s="1">
        <v>3</v>
      </c>
      <c r="AA407" s="1">
        <v>2</v>
      </c>
      <c r="AB407" s="1">
        <v>3</v>
      </c>
      <c r="AC407" s="1">
        <v>3</v>
      </c>
      <c r="AD407" s="1">
        <v>3</v>
      </c>
      <c r="AE407" s="1">
        <v>5</v>
      </c>
      <c r="AF407" s="1">
        <v>1</v>
      </c>
      <c r="AG407" s="1">
        <v>3</v>
      </c>
      <c r="AH407" s="1">
        <v>3</v>
      </c>
      <c r="AI407" s="1">
        <v>3</v>
      </c>
      <c r="AJ407" s="1">
        <v>4</v>
      </c>
      <c r="AK407" s="1">
        <v>4</v>
      </c>
      <c r="AL407" s="1">
        <v>4</v>
      </c>
      <c r="AM407" s="1">
        <v>3</v>
      </c>
      <c r="AN407" s="1">
        <v>4</v>
      </c>
      <c r="AO407" s="1">
        <v>3</v>
      </c>
      <c r="AP407" s="1">
        <v>3</v>
      </c>
      <c r="AQ407" s="1">
        <v>3</v>
      </c>
      <c r="AR407" s="1">
        <v>4</v>
      </c>
      <c r="AS407" s="1">
        <v>4</v>
      </c>
      <c r="AT407" s="1">
        <v>4</v>
      </c>
      <c r="AU407" s="1">
        <v>3</v>
      </c>
      <c r="AV407" s="1">
        <v>4</v>
      </c>
      <c r="AW407" s="1">
        <v>3</v>
      </c>
      <c r="AX407" s="1">
        <v>3</v>
      </c>
      <c r="AY407" s="1">
        <v>3</v>
      </c>
      <c r="AZ407" s="1">
        <v>3</v>
      </c>
      <c r="BA407" s="1">
        <v>3</v>
      </c>
      <c r="BB407" s="1">
        <v>3</v>
      </c>
      <c r="BC407" s="1">
        <v>3</v>
      </c>
    </row>
    <row r="408" spans="1:55">
      <c r="A408" s="1" t="s">
        <v>677</v>
      </c>
      <c r="B408" s="1" t="s">
        <v>489</v>
      </c>
      <c r="C408" s="1" t="s">
        <v>676</v>
      </c>
      <c r="D408" s="1">
        <v>4</v>
      </c>
      <c r="E408" s="1">
        <v>3</v>
      </c>
      <c r="F408" s="1">
        <v>3</v>
      </c>
      <c r="G408" s="1">
        <v>3</v>
      </c>
      <c r="H408" s="1">
        <v>4</v>
      </c>
      <c r="I408" s="1">
        <v>4</v>
      </c>
      <c r="J408" s="1">
        <v>3</v>
      </c>
      <c r="K408" s="1">
        <v>4</v>
      </c>
      <c r="L408" s="1">
        <v>4</v>
      </c>
      <c r="M408" s="1">
        <v>4</v>
      </c>
      <c r="N408" s="1">
        <v>3</v>
      </c>
      <c r="O408" s="1">
        <v>4</v>
      </c>
      <c r="P408" s="1">
        <v>3</v>
      </c>
      <c r="Q408" s="1">
        <v>3</v>
      </c>
      <c r="R408" s="1">
        <v>3</v>
      </c>
      <c r="S408" s="1">
        <v>3</v>
      </c>
      <c r="T408" s="1">
        <v>3</v>
      </c>
      <c r="U408" s="1">
        <v>3</v>
      </c>
      <c r="V408" s="1">
        <v>4</v>
      </c>
      <c r="W408" s="1">
        <v>3</v>
      </c>
      <c r="X408" s="1">
        <v>3</v>
      </c>
      <c r="Y408" s="1">
        <v>2</v>
      </c>
      <c r="Z408" s="1">
        <v>4</v>
      </c>
      <c r="AA408" s="1">
        <v>2</v>
      </c>
      <c r="AB408" s="1">
        <v>2</v>
      </c>
      <c r="AC408" s="1">
        <v>1</v>
      </c>
      <c r="AD408" s="1">
        <v>3</v>
      </c>
      <c r="AE408" s="1">
        <v>3</v>
      </c>
      <c r="AF408" s="1">
        <v>2</v>
      </c>
      <c r="AG408" s="1">
        <v>2</v>
      </c>
      <c r="AH408" s="1">
        <v>4</v>
      </c>
      <c r="AI408" s="1">
        <v>4</v>
      </c>
      <c r="AJ408" s="1">
        <v>4</v>
      </c>
      <c r="AK408" s="1">
        <v>4</v>
      </c>
      <c r="AL408" s="1">
        <v>4</v>
      </c>
      <c r="AM408" s="1">
        <v>4</v>
      </c>
      <c r="AN408" s="1">
        <v>4</v>
      </c>
      <c r="AO408" s="1">
        <v>4</v>
      </c>
      <c r="AP408" s="1">
        <v>3</v>
      </c>
      <c r="AQ408" s="1">
        <v>3</v>
      </c>
      <c r="AR408" s="1">
        <v>4</v>
      </c>
      <c r="AS408" s="1">
        <v>4</v>
      </c>
      <c r="AT408" s="1">
        <v>3</v>
      </c>
      <c r="AU408" s="1">
        <v>4</v>
      </c>
      <c r="AV408" s="1">
        <v>3</v>
      </c>
      <c r="AW408" s="1">
        <v>3</v>
      </c>
      <c r="AX408" s="1">
        <v>3</v>
      </c>
      <c r="AY408" s="1">
        <v>3</v>
      </c>
      <c r="AZ408" s="1">
        <v>3</v>
      </c>
      <c r="BA408" s="1">
        <v>3</v>
      </c>
      <c r="BB408" s="1">
        <v>3</v>
      </c>
      <c r="BC408" s="1">
        <v>2</v>
      </c>
    </row>
    <row r="409" spans="1:55">
      <c r="A409" s="1" t="s">
        <v>678</v>
      </c>
      <c r="B409" s="1" t="s">
        <v>489</v>
      </c>
      <c r="C409" s="1" t="s">
        <v>679</v>
      </c>
      <c r="D409" s="1">
        <v>4</v>
      </c>
      <c r="E409" s="1">
        <v>4</v>
      </c>
      <c r="F409" s="1">
        <v>2</v>
      </c>
      <c r="G409" s="1">
        <v>2</v>
      </c>
      <c r="H409" s="1">
        <v>3</v>
      </c>
      <c r="I409" s="1">
        <v>3</v>
      </c>
      <c r="J409" s="1">
        <v>4</v>
      </c>
      <c r="K409" s="1">
        <v>4</v>
      </c>
      <c r="L409" s="1">
        <v>4</v>
      </c>
      <c r="M409" s="1">
        <v>4</v>
      </c>
      <c r="N409" s="1">
        <v>3</v>
      </c>
      <c r="O409" s="1">
        <v>3</v>
      </c>
      <c r="P409" s="1">
        <v>3</v>
      </c>
      <c r="Q409" s="1">
        <v>4</v>
      </c>
      <c r="R409" s="1">
        <v>5</v>
      </c>
      <c r="S409" s="1">
        <v>4</v>
      </c>
      <c r="T409" s="1">
        <v>4</v>
      </c>
      <c r="U409" s="1">
        <v>4</v>
      </c>
      <c r="V409" s="1">
        <v>3</v>
      </c>
      <c r="W409" s="1">
        <v>4</v>
      </c>
      <c r="X409" s="1">
        <v>2</v>
      </c>
      <c r="Y409" s="1">
        <v>2</v>
      </c>
      <c r="Z409" s="1">
        <v>3</v>
      </c>
      <c r="AA409" s="1">
        <v>4</v>
      </c>
      <c r="AB409" s="1">
        <v>3</v>
      </c>
      <c r="AC409" s="1">
        <v>4</v>
      </c>
      <c r="AD409" s="1">
        <v>3</v>
      </c>
      <c r="AE409" s="1">
        <v>4</v>
      </c>
      <c r="AF409" s="1">
        <v>3</v>
      </c>
      <c r="AG409" s="1">
        <v>2</v>
      </c>
      <c r="AH409" s="1">
        <v>2</v>
      </c>
      <c r="AI409" s="1">
        <v>3</v>
      </c>
      <c r="AJ409" s="1">
        <v>3</v>
      </c>
      <c r="AK409" s="1">
        <v>3</v>
      </c>
      <c r="AL409" s="1">
        <v>3</v>
      </c>
      <c r="AM409" s="1">
        <v>3</v>
      </c>
      <c r="AN409" s="1">
        <v>4</v>
      </c>
      <c r="AO409" s="1">
        <v>4</v>
      </c>
      <c r="AP409" s="1">
        <v>3</v>
      </c>
      <c r="AQ409" s="1">
        <v>3</v>
      </c>
      <c r="AR409" s="1">
        <v>3</v>
      </c>
      <c r="AS409" s="1">
        <v>4</v>
      </c>
      <c r="AT409" s="1">
        <v>3</v>
      </c>
      <c r="AU409" s="1">
        <v>4</v>
      </c>
      <c r="AV409" s="1">
        <v>3</v>
      </c>
      <c r="AW409" s="1">
        <v>3</v>
      </c>
      <c r="AX409" s="1">
        <v>2</v>
      </c>
      <c r="AY409" s="1">
        <v>3</v>
      </c>
      <c r="AZ409" s="1">
        <v>3</v>
      </c>
      <c r="BA409" s="1">
        <v>2</v>
      </c>
      <c r="BB409" s="1">
        <v>1</v>
      </c>
      <c r="BC409" s="1">
        <v>4</v>
      </c>
    </row>
    <row r="410" spans="1:55">
      <c r="A410" s="1" t="s">
        <v>680</v>
      </c>
      <c r="B410" s="1" t="s">
        <v>489</v>
      </c>
      <c r="C410" s="1" t="s">
        <v>679</v>
      </c>
      <c r="D410" s="1">
        <v>3</v>
      </c>
      <c r="E410" s="1">
        <v>4</v>
      </c>
      <c r="F410" s="1">
        <v>2</v>
      </c>
      <c r="G410" s="1">
        <v>2</v>
      </c>
      <c r="H410" s="1">
        <v>3</v>
      </c>
      <c r="I410" s="1">
        <v>4</v>
      </c>
      <c r="J410" s="1">
        <v>4</v>
      </c>
      <c r="K410" s="1">
        <v>3</v>
      </c>
      <c r="L410" s="1">
        <v>3</v>
      </c>
      <c r="M410" s="1">
        <v>4</v>
      </c>
      <c r="N410" s="1">
        <v>3</v>
      </c>
      <c r="O410" s="1">
        <v>4</v>
      </c>
      <c r="P410" s="1">
        <v>4</v>
      </c>
      <c r="Q410" s="1">
        <v>4</v>
      </c>
      <c r="R410" s="1">
        <v>5</v>
      </c>
      <c r="S410" s="1">
        <v>4</v>
      </c>
      <c r="T410" s="1">
        <v>4</v>
      </c>
      <c r="U410" s="1">
        <v>4</v>
      </c>
      <c r="V410" s="1">
        <v>4</v>
      </c>
      <c r="W410" s="1">
        <v>2</v>
      </c>
      <c r="X410" s="1">
        <v>3</v>
      </c>
      <c r="Y410" s="1">
        <v>3</v>
      </c>
      <c r="Z410" s="1">
        <v>4</v>
      </c>
      <c r="AA410" s="1">
        <v>3</v>
      </c>
      <c r="AB410" s="1">
        <v>4</v>
      </c>
      <c r="AC410" s="1">
        <v>2</v>
      </c>
      <c r="AD410" s="1">
        <v>4</v>
      </c>
      <c r="AE410" s="1">
        <v>5</v>
      </c>
      <c r="AF410" s="1">
        <v>1</v>
      </c>
      <c r="AG410" s="1">
        <v>2</v>
      </c>
      <c r="AH410" s="1">
        <v>3</v>
      </c>
      <c r="AI410" s="1">
        <v>4</v>
      </c>
      <c r="AJ410" s="1">
        <v>4</v>
      </c>
      <c r="AK410" s="1">
        <v>3</v>
      </c>
      <c r="AL410" s="1">
        <v>3</v>
      </c>
      <c r="AM410" s="1">
        <v>4</v>
      </c>
      <c r="AN410" s="1">
        <v>4</v>
      </c>
      <c r="AO410" s="1">
        <v>4</v>
      </c>
      <c r="AP410" s="1">
        <v>4</v>
      </c>
      <c r="AQ410" s="1">
        <v>4</v>
      </c>
      <c r="AR410" s="1">
        <v>4</v>
      </c>
      <c r="AS410" s="1">
        <v>4</v>
      </c>
      <c r="AT410" s="1">
        <v>4</v>
      </c>
      <c r="AU410" s="1">
        <v>4</v>
      </c>
      <c r="AV410" s="1">
        <v>3</v>
      </c>
      <c r="AW410" s="1">
        <v>3</v>
      </c>
      <c r="AX410" s="1">
        <v>2</v>
      </c>
      <c r="AY410" s="1">
        <v>4</v>
      </c>
      <c r="AZ410" s="1">
        <v>3</v>
      </c>
      <c r="BA410" s="1">
        <v>3</v>
      </c>
      <c r="BB410" s="1">
        <v>5</v>
      </c>
      <c r="BC410" s="1">
        <v>2</v>
      </c>
    </row>
    <row r="411" spans="1:55">
      <c r="A411" s="1" t="s">
        <v>681</v>
      </c>
      <c r="B411" s="1" t="s">
        <v>489</v>
      </c>
      <c r="C411" s="1" t="s">
        <v>682</v>
      </c>
      <c r="D411" s="1">
        <v>3</v>
      </c>
      <c r="E411" s="1">
        <v>5</v>
      </c>
      <c r="F411" s="1">
        <v>2</v>
      </c>
      <c r="G411" s="1">
        <v>1</v>
      </c>
      <c r="H411" s="1">
        <v>2</v>
      </c>
      <c r="I411" s="1">
        <v>1</v>
      </c>
      <c r="J411" s="1">
        <v>1</v>
      </c>
      <c r="K411" s="1">
        <v>3</v>
      </c>
      <c r="L411" s="1">
        <v>4</v>
      </c>
      <c r="M411" s="1">
        <v>4</v>
      </c>
      <c r="N411" s="1">
        <v>1</v>
      </c>
      <c r="O411" s="1">
        <v>3</v>
      </c>
      <c r="P411" s="1">
        <v>3</v>
      </c>
      <c r="Q411" s="1">
        <v>3</v>
      </c>
      <c r="R411" s="1">
        <v>4</v>
      </c>
      <c r="S411" s="1">
        <v>4</v>
      </c>
      <c r="T411" s="1">
        <v>3</v>
      </c>
      <c r="U411" s="1">
        <v>3</v>
      </c>
      <c r="V411" s="1">
        <v>2</v>
      </c>
      <c r="W411" s="1">
        <v>2</v>
      </c>
      <c r="X411" s="1">
        <v>2</v>
      </c>
      <c r="Y411" s="1">
        <v>2</v>
      </c>
      <c r="Z411" s="1">
        <v>3</v>
      </c>
      <c r="AA411" s="1">
        <v>3</v>
      </c>
      <c r="AB411" s="1">
        <v>3</v>
      </c>
      <c r="AC411" s="1">
        <v>5</v>
      </c>
      <c r="AD411" s="1">
        <v>4</v>
      </c>
      <c r="AE411" s="1">
        <v>4</v>
      </c>
      <c r="AF411" s="1">
        <v>2</v>
      </c>
      <c r="AG411" s="1">
        <v>3</v>
      </c>
      <c r="AH411" s="1">
        <v>2</v>
      </c>
      <c r="AI411" s="1">
        <v>2</v>
      </c>
      <c r="AJ411" s="1">
        <v>2</v>
      </c>
      <c r="AK411" s="1">
        <v>2</v>
      </c>
      <c r="AL411" s="1">
        <v>4</v>
      </c>
      <c r="AM411" s="1">
        <v>3</v>
      </c>
      <c r="AN411" s="1">
        <v>2</v>
      </c>
      <c r="AO411" s="1">
        <v>3</v>
      </c>
      <c r="AP411" s="1">
        <v>4</v>
      </c>
      <c r="AQ411" s="1">
        <v>3</v>
      </c>
      <c r="AR411" s="1">
        <v>3</v>
      </c>
      <c r="AS411" s="1">
        <v>3</v>
      </c>
      <c r="AT411" s="1">
        <v>4</v>
      </c>
      <c r="AU411" s="1">
        <v>3</v>
      </c>
      <c r="AV411" s="1">
        <v>2</v>
      </c>
      <c r="AW411" s="1">
        <v>1</v>
      </c>
      <c r="AX411" s="1">
        <v>2</v>
      </c>
      <c r="AY411" s="1">
        <v>2</v>
      </c>
      <c r="AZ411" s="1">
        <v>4</v>
      </c>
      <c r="BA411" s="1">
        <v>4</v>
      </c>
      <c r="BB411" s="1">
        <v>3</v>
      </c>
      <c r="BC411" s="1">
        <v>5</v>
      </c>
    </row>
    <row r="412" spans="1:55">
      <c r="A412" s="1" t="s">
        <v>683</v>
      </c>
      <c r="B412" s="1" t="s">
        <v>489</v>
      </c>
      <c r="C412" s="1" t="s">
        <v>682</v>
      </c>
      <c r="D412" s="1">
        <v>3</v>
      </c>
      <c r="E412" s="1">
        <v>3</v>
      </c>
      <c r="F412" s="1">
        <v>3</v>
      </c>
      <c r="G412" s="1">
        <v>3</v>
      </c>
      <c r="H412" s="1">
        <v>2</v>
      </c>
      <c r="I412" s="1">
        <v>3</v>
      </c>
      <c r="J412" s="1">
        <v>2</v>
      </c>
      <c r="K412" s="1">
        <v>4</v>
      </c>
      <c r="L412" s="1">
        <v>4</v>
      </c>
      <c r="M412" s="1">
        <v>3</v>
      </c>
      <c r="N412" s="1">
        <v>2</v>
      </c>
      <c r="O412" s="1">
        <v>4</v>
      </c>
      <c r="P412" s="1">
        <v>4</v>
      </c>
      <c r="Q412" s="1">
        <v>4</v>
      </c>
      <c r="R412" s="1">
        <v>3</v>
      </c>
      <c r="S412" s="1">
        <v>3</v>
      </c>
      <c r="T412" s="1">
        <v>4</v>
      </c>
      <c r="U412" s="1">
        <v>4</v>
      </c>
      <c r="V412" s="1">
        <v>1</v>
      </c>
      <c r="W412" s="1">
        <v>3</v>
      </c>
      <c r="X412" s="1">
        <v>3</v>
      </c>
      <c r="Y412" s="1">
        <v>3</v>
      </c>
      <c r="Z412" s="1">
        <v>4</v>
      </c>
      <c r="AA412" s="1">
        <v>3</v>
      </c>
      <c r="AB412" s="1">
        <v>5</v>
      </c>
      <c r="AC412" s="1">
        <v>4</v>
      </c>
      <c r="AD412" s="1">
        <v>3</v>
      </c>
      <c r="AE412" s="1">
        <v>3</v>
      </c>
      <c r="AF412" s="1">
        <v>4</v>
      </c>
      <c r="AG412" s="1">
        <v>3</v>
      </c>
      <c r="AH412" s="1">
        <v>3</v>
      </c>
      <c r="AI412" s="1">
        <v>3</v>
      </c>
      <c r="AJ412" s="1">
        <v>3</v>
      </c>
      <c r="AK412" s="1">
        <v>3</v>
      </c>
      <c r="AL412" s="1">
        <v>4</v>
      </c>
      <c r="AM412" s="1">
        <v>3</v>
      </c>
      <c r="AN412" s="1">
        <v>3</v>
      </c>
      <c r="AO412" s="1">
        <v>4</v>
      </c>
      <c r="AP412" s="1">
        <v>3</v>
      </c>
      <c r="AQ412" s="1">
        <v>4</v>
      </c>
      <c r="AR412" s="1">
        <v>4</v>
      </c>
      <c r="AS412" s="1">
        <v>3</v>
      </c>
      <c r="AT412" s="1">
        <v>2</v>
      </c>
      <c r="AU412" s="1">
        <v>3</v>
      </c>
      <c r="AV412" s="1">
        <v>3</v>
      </c>
      <c r="AW412" s="1">
        <v>3</v>
      </c>
      <c r="AX412" s="1">
        <v>2</v>
      </c>
      <c r="AY412" s="1">
        <v>3</v>
      </c>
      <c r="AZ412" s="1">
        <v>4</v>
      </c>
      <c r="BA412" s="1">
        <v>4</v>
      </c>
      <c r="BB412" s="1">
        <v>3</v>
      </c>
      <c r="BC412" s="1">
        <v>4</v>
      </c>
    </row>
    <row r="413" spans="1:55">
      <c r="A413" s="1" t="s">
        <v>684</v>
      </c>
      <c r="B413" s="1" t="s">
        <v>489</v>
      </c>
      <c r="C413" s="1" t="s">
        <v>685</v>
      </c>
      <c r="D413" s="1">
        <v>2</v>
      </c>
      <c r="E413" s="1">
        <v>2</v>
      </c>
      <c r="F413" s="1">
        <v>3</v>
      </c>
      <c r="G413" s="1">
        <v>3</v>
      </c>
      <c r="H413" s="1">
        <v>3</v>
      </c>
      <c r="I413" s="1">
        <v>3</v>
      </c>
      <c r="J413" s="1">
        <v>3</v>
      </c>
      <c r="K413" s="1">
        <v>3</v>
      </c>
      <c r="L413" s="1">
        <v>3</v>
      </c>
      <c r="M413" s="1">
        <v>2</v>
      </c>
      <c r="N413" s="1">
        <v>3</v>
      </c>
      <c r="O413" s="1">
        <v>4</v>
      </c>
      <c r="P413" s="1">
        <v>4</v>
      </c>
      <c r="Q413" s="1">
        <v>3</v>
      </c>
      <c r="R413" s="1">
        <v>3</v>
      </c>
      <c r="S413" s="1">
        <v>3</v>
      </c>
      <c r="T413" s="1">
        <v>3</v>
      </c>
      <c r="U413" s="1">
        <v>2</v>
      </c>
      <c r="V413" s="1">
        <v>4</v>
      </c>
      <c r="W413" s="1">
        <v>3</v>
      </c>
      <c r="X413" s="1">
        <v>4</v>
      </c>
      <c r="Y413" s="1">
        <v>2</v>
      </c>
      <c r="Z413" s="1">
        <v>3</v>
      </c>
      <c r="AA413" s="1">
        <v>4</v>
      </c>
      <c r="AB413" s="1">
        <v>4</v>
      </c>
      <c r="AC413" s="1">
        <v>3</v>
      </c>
      <c r="AD413" s="1">
        <v>3</v>
      </c>
      <c r="AE413" s="1">
        <v>4</v>
      </c>
      <c r="AF413" s="1">
        <v>3</v>
      </c>
      <c r="AG413" s="1">
        <v>4</v>
      </c>
      <c r="AH413" s="1">
        <v>3</v>
      </c>
      <c r="AI413" s="1">
        <v>3</v>
      </c>
      <c r="AJ413" s="1">
        <v>3</v>
      </c>
      <c r="AK413" s="1">
        <v>3</v>
      </c>
      <c r="AL413" s="1">
        <v>4</v>
      </c>
      <c r="AM413" s="1">
        <v>3</v>
      </c>
      <c r="AN413" s="1">
        <v>3</v>
      </c>
      <c r="AO413" s="1">
        <v>4</v>
      </c>
      <c r="AP413" s="1">
        <v>4</v>
      </c>
      <c r="AQ413" s="1">
        <v>3</v>
      </c>
      <c r="AR413" s="1">
        <v>3</v>
      </c>
      <c r="AS413" s="1">
        <v>2</v>
      </c>
      <c r="AT413" s="1">
        <v>3</v>
      </c>
      <c r="AU413" s="1">
        <v>3</v>
      </c>
      <c r="AV413" s="1">
        <v>3</v>
      </c>
      <c r="AW413" s="1">
        <v>2</v>
      </c>
      <c r="AX413" s="1">
        <v>2</v>
      </c>
      <c r="AY413" s="1">
        <v>2</v>
      </c>
      <c r="AZ413" s="1">
        <v>4</v>
      </c>
      <c r="BA413" s="1">
        <v>3</v>
      </c>
      <c r="BB413" s="1">
        <v>3</v>
      </c>
      <c r="BC413" s="1">
        <v>3</v>
      </c>
    </row>
    <row r="414" spans="1:55">
      <c r="A414" s="1" t="s">
        <v>686</v>
      </c>
      <c r="B414" s="1" t="s">
        <v>489</v>
      </c>
      <c r="C414" s="1" t="s">
        <v>685</v>
      </c>
      <c r="D414" s="1">
        <v>4</v>
      </c>
      <c r="E414" s="1">
        <v>3</v>
      </c>
      <c r="F414" s="1">
        <v>3</v>
      </c>
      <c r="G414" s="1">
        <v>4</v>
      </c>
      <c r="H414" s="1">
        <v>2</v>
      </c>
      <c r="I414" s="1">
        <v>3</v>
      </c>
      <c r="J414" s="1">
        <v>4</v>
      </c>
      <c r="K414" s="1">
        <v>3</v>
      </c>
      <c r="L414" s="1">
        <v>3</v>
      </c>
      <c r="M414" s="1">
        <v>3</v>
      </c>
      <c r="N414" s="1">
        <v>4</v>
      </c>
      <c r="O414" s="1">
        <v>3</v>
      </c>
      <c r="P414" s="1">
        <v>3</v>
      </c>
      <c r="Q414" s="1">
        <v>2</v>
      </c>
      <c r="R414" s="1">
        <v>3</v>
      </c>
      <c r="S414" s="1">
        <v>4</v>
      </c>
      <c r="T414" s="1">
        <v>4</v>
      </c>
      <c r="U414" s="1">
        <v>3</v>
      </c>
      <c r="V414" s="1">
        <v>3</v>
      </c>
      <c r="W414" s="1">
        <v>2</v>
      </c>
      <c r="X414" s="1">
        <v>2</v>
      </c>
      <c r="Y414" s="1">
        <v>3</v>
      </c>
      <c r="Z414" s="1">
        <v>3</v>
      </c>
      <c r="AA414" s="1">
        <v>3</v>
      </c>
      <c r="AB414" s="1">
        <v>3</v>
      </c>
      <c r="AC414" s="1">
        <v>3</v>
      </c>
      <c r="AD414" s="1">
        <v>3</v>
      </c>
      <c r="AE414" s="1">
        <v>3</v>
      </c>
      <c r="AF414" s="1">
        <v>3</v>
      </c>
      <c r="AG414" s="1">
        <v>3</v>
      </c>
      <c r="AH414" s="1">
        <v>2</v>
      </c>
      <c r="AI414" s="1">
        <v>2</v>
      </c>
      <c r="AJ414" s="1">
        <v>3</v>
      </c>
      <c r="AK414" s="1">
        <v>3</v>
      </c>
      <c r="AL414" s="1">
        <v>3</v>
      </c>
      <c r="AM414" s="1">
        <v>3</v>
      </c>
      <c r="AN414" s="1">
        <v>2</v>
      </c>
      <c r="AO414" s="1">
        <v>2</v>
      </c>
      <c r="AP414" s="1">
        <v>3</v>
      </c>
      <c r="AQ414" s="1">
        <v>3</v>
      </c>
      <c r="AR414" s="1">
        <v>4</v>
      </c>
      <c r="AS414" s="1">
        <v>3</v>
      </c>
      <c r="AT414" s="1">
        <v>3</v>
      </c>
      <c r="AU414" s="1">
        <v>3</v>
      </c>
      <c r="AV414" s="1">
        <v>4</v>
      </c>
      <c r="AW414" s="1">
        <v>2</v>
      </c>
      <c r="AX414" s="1">
        <v>2</v>
      </c>
      <c r="AY414" s="1">
        <v>3</v>
      </c>
      <c r="AZ414" s="1">
        <v>3</v>
      </c>
      <c r="BA414" s="1">
        <v>3</v>
      </c>
      <c r="BB414" s="1">
        <v>3</v>
      </c>
      <c r="BC414" s="1">
        <v>3</v>
      </c>
    </row>
    <row r="415" spans="1:55">
      <c r="A415" s="1" t="s">
        <v>687</v>
      </c>
      <c r="B415" s="1" t="s">
        <v>489</v>
      </c>
      <c r="C415" s="1" t="s">
        <v>688</v>
      </c>
      <c r="D415" s="1">
        <v>3</v>
      </c>
      <c r="E415" s="1">
        <v>3</v>
      </c>
      <c r="F415" s="1">
        <v>3</v>
      </c>
      <c r="G415" s="1">
        <v>2</v>
      </c>
      <c r="H415" s="1">
        <v>3</v>
      </c>
      <c r="I415" s="1">
        <v>3</v>
      </c>
      <c r="J415" s="1">
        <v>3</v>
      </c>
      <c r="K415" s="1">
        <v>4</v>
      </c>
      <c r="L415" s="1">
        <v>2</v>
      </c>
      <c r="M415" s="1">
        <v>4</v>
      </c>
      <c r="N415" s="1">
        <v>3</v>
      </c>
      <c r="O415" s="1">
        <v>3</v>
      </c>
      <c r="P415" s="1">
        <v>3</v>
      </c>
      <c r="Q415" s="1">
        <v>3</v>
      </c>
      <c r="R415" s="1">
        <v>3</v>
      </c>
      <c r="S415" s="1">
        <v>3</v>
      </c>
      <c r="T415" s="1">
        <v>4</v>
      </c>
      <c r="U415" s="1">
        <v>5</v>
      </c>
      <c r="V415" s="1">
        <v>3</v>
      </c>
      <c r="W415" s="1">
        <v>3</v>
      </c>
      <c r="X415" s="1">
        <v>2</v>
      </c>
      <c r="Y415" s="1">
        <v>4</v>
      </c>
      <c r="Z415" s="1">
        <v>3</v>
      </c>
      <c r="AA415" s="1">
        <v>3</v>
      </c>
      <c r="AB415" s="1">
        <v>4</v>
      </c>
      <c r="AC415" s="1">
        <v>2</v>
      </c>
      <c r="AD415" s="1">
        <v>3</v>
      </c>
      <c r="AE415" s="1">
        <v>4</v>
      </c>
      <c r="AF415" s="1">
        <v>2</v>
      </c>
      <c r="AG415" s="1">
        <v>1</v>
      </c>
      <c r="AH415" s="1">
        <v>4</v>
      </c>
      <c r="AI415" s="1">
        <v>4</v>
      </c>
      <c r="AJ415" s="1">
        <v>4</v>
      </c>
      <c r="AK415" s="1">
        <v>2</v>
      </c>
      <c r="AL415" s="1">
        <v>3</v>
      </c>
      <c r="AM415" s="1">
        <v>5</v>
      </c>
      <c r="AN415" s="1">
        <v>4</v>
      </c>
      <c r="AO415" s="1">
        <v>3</v>
      </c>
      <c r="AP415" s="1">
        <v>4</v>
      </c>
      <c r="AQ415" s="1">
        <v>4</v>
      </c>
      <c r="AR415" s="1">
        <v>4</v>
      </c>
      <c r="AS415" s="1">
        <v>4</v>
      </c>
      <c r="AT415" s="1">
        <v>4</v>
      </c>
      <c r="AU415" s="1">
        <v>4</v>
      </c>
      <c r="AV415" s="1">
        <v>4</v>
      </c>
      <c r="AW415" s="1">
        <v>3</v>
      </c>
      <c r="AX415" s="1">
        <v>4</v>
      </c>
      <c r="AY415" s="1">
        <v>3</v>
      </c>
      <c r="AZ415" s="1">
        <v>2</v>
      </c>
      <c r="BA415" s="1">
        <v>2</v>
      </c>
      <c r="BB415" s="1">
        <v>4</v>
      </c>
      <c r="BC415" s="1">
        <v>2</v>
      </c>
    </row>
    <row r="416" spans="1:55">
      <c r="A416" s="1" t="s">
        <v>689</v>
      </c>
      <c r="B416" s="1" t="s">
        <v>489</v>
      </c>
      <c r="C416" s="1" t="s">
        <v>688</v>
      </c>
      <c r="D416" s="1">
        <v>3</v>
      </c>
      <c r="E416" s="1">
        <v>3</v>
      </c>
      <c r="F416" s="1">
        <v>3</v>
      </c>
      <c r="G416" s="1">
        <v>3</v>
      </c>
      <c r="H416" s="1">
        <v>3</v>
      </c>
      <c r="I416" s="1">
        <v>3</v>
      </c>
      <c r="J416" s="1">
        <v>3</v>
      </c>
      <c r="K416" s="1">
        <v>3</v>
      </c>
      <c r="L416" s="1">
        <v>4</v>
      </c>
      <c r="M416" s="1">
        <v>3</v>
      </c>
      <c r="N416" s="1">
        <v>3</v>
      </c>
      <c r="O416" s="1">
        <v>4</v>
      </c>
      <c r="P416" s="1">
        <v>3</v>
      </c>
      <c r="Q416" s="1">
        <v>4</v>
      </c>
      <c r="R416" s="1">
        <v>3</v>
      </c>
      <c r="S416" s="1">
        <v>4</v>
      </c>
      <c r="T416" s="1">
        <v>3</v>
      </c>
      <c r="U416" s="1">
        <v>2</v>
      </c>
      <c r="V416" s="1">
        <v>2</v>
      </c>
      <c r="W416" s="1">
        <v>3</v>
      </c>
      <c r="X416" s="1">
        <v>3</v>
      </c>
      <c r="Y416" s="1">
        <v>3</v>
      </c>
      <c r="Z416" s="1">
        <v>4</v>
      </c>
      <c r="AA416" s="1">
        <v>3</v>
      </c>
      <c r="AB416" s="1">
        <v>2</v>
      </c>
      <c r="AC416" s="1">
        <v>4</v>
      </c>
      <c r="AD416" s="1">
        <v>3</v>
      </c>
      <c r="AE416" s="1">
        <v>4</v>
      </c>
      <c r="AF416" s="1">
        <v>3</v>
      </c>
      <c r="AG416" s="1">
        <v>4</v>
      </c>
      <c r="AH416" s="1">
        <v>4</v>
      </c>
      <c r="AI416" s="1">
        <v>3</v>
      </c>
      <c r="AJ416" s="1">
        <v>4</v>
      </c>
      <c r="AK416" s="1">
        <v>2</v>
      </c>
      <c r="AL416" s="1">
        <v>4</v>
      </c>
      <c r="AM416" s="1">
        <v>3</v>
      </c>
      <c r="AN416" s="1">
        <v>2</v>
      </c>
      <c r="AO416" s="1">
        <v>4</v>
      </c>
      <c r="AP416" s="1">
        <v>4</v>
      </c>
      <c r="AQ416" s="1">
        <v>4</v>
      </c>
      <c r="AR416" s="1">
        <v>4</v>
      </c>
      <c r="AS416" s="1">
        <v>2</v>
      </c>
      <c r="AT416" s="1">
        <v>3</v>
      </c>
      <c r="AU416" s="1">
        <v>3</v>
      </c>
      <c r="AV416" s="1">
        <v>3</v>
      </c>
      <c r="AW416" s="1">
        <v>3</v>
      </c>
      <c r="AX416" s="1">
        <v>4</v>
      </c>
      <c r="AY416" s="1">
        <v>3</v>
      </c>
      <c r="AZ416" s="1">
        <v>3</v>
      </c>
      <c r="BA416" s="1">
        <v>3</v>
      </c>
      <c r="BB416" s="1">
        <v>4</v>
      </c>
      <c r="BC416" s="1">
        <v>3</v>
      </c>
    </row>
    <row r="417" spans="1:55">
      <c r="A417" s="1" t="s">
        <v>690</v>
      </c>
      <c r="B417" s="1" t="s">
        <v>489</v>
      </c>
      <c r="C417" s="1" t="s">
        <v>691</v>
      </c>
      <c r="D417" s="1">
        <v>4</v>
      </c>
      <c r="E417" s="1">
        <v>4</v>
      </c>
      <c r="F417" s="1">
        <v>2</v>
      </c>
      <c r="G417" s="1">
        <v>2</v>
      </c>
      <c r="H417" s="1">
        <v>3</v>
      </c>
      <c r="I417" s="1">
        <v>3</v>
      </c>
      <c r="J417" s="1">
        <v>2</v>
      </c>
      <c r="K417" s="1">
        <v>4</v>
      </c>
      <c r="L417" s="1">
        <v>4</v>
      </c>
      <c r="M417" s="1">
        <v>4</v>
      </c>
      <c r="N417" s="1">
        <v>3</v>
      </c>
      <c r="O417" s="1">
        <v>4</v>
      </c>
      <c r="P417" s="1">
        <v>4</v>
      </c>
      <c r="Q417" s="1">
        <v>3</v>
      </c>
      <c r="R417" s="1">
        <v>5</v>
      </c>
      <c r="S417" s="1">
        <v>5</v>
      </c>
      <c r="T417" s="1">
        <v>4</v>
      </c>
      <c r="U417" s="1">
        <v>4</v>
      </c>
      <c r="V417" s="1">
        <v>3</v>
      </c>
      <c r="W417" s="1">
        <v>3</v>
      </c>
      <c r="X417" s="1">
        <v>3</v>
      </c>
      <c r="Y417" s="1">
        <v>2</v>
      </c>
      <c r="Z417" s="1">
        <v>3</v>
      </c>
      <c r="AA417" s="1">
        <v>3</v>
      </c>
      <c r="AB417" s="1">
        <v>3</v>
      </c>
      <c r="AC417" s="1">
        <v>2</v>
      </c>
      <c r="AD417" s="1">
        <v>4</v>
      </c>
      <c r="AE417" s="1">
        <v>5</v>
      </c>
      <c r="AF417" s="1">
        <v>1</v>
      </c>
      <c r="AG417" s="1">
        <v>2</v>
      </c>
      <c r="AH417" s="1">
        <v>3</v>
      </c>
      <c r="AI417" s="1">
        <v>3</v>
      </c>
      <c r="AJ417" s="1">
        <v>3</v>
      </c>
      <c r="AK417" s="1">
        <v>4</v>
      </c>
      <c r="AL417" s="1">
        <v>4</v>
      </c>
      <c r="AM417" s="1">
        <v>5</v>
      </c>
      <c r="AN417" s="1">
        <v>3</v>
      </c>
      <c r="AO417" s="1">
        <v>5</v>
      </c>
      <c r="AP417" s="1">
        <v>4</v>
      </c>
      <c r="AQ417" s="1">
        <v>3</v>
      </c>
      <c r="AR417" s="1">
        <v>5</v>
      </c>
      <c r="AS417" s="1">
        <v>4</v>
      </c>
      <c r="AT417" s="1">
        <v>5</v>
      </c>
      <c r="AU417" s="1">
        <v>4</v>
      </c>
      <c r="AV417" s="1">
        <v>3</v>
      </c>
      <c r="AW417" s="1">
        <v>4</v>
      </c>
      <c r="AX417" s="1">
        <v>4</v>
      </c>
      <c r="AY417" s="1">
        <v>3</v>
      </c>
      <c r="AZ417" s="1">
        <v>3</v>
      </c>
      <c r="BA417" s="1">
        <v>3</v>
      </c>
      <c r="BB417" s="1">
        <v>4</v>
      </c>
      <c r="BC417" s="1">
        <v>3</v>
      </c>
    </row>
    <row r="418" spans="1:55">
      <c r="A418" s="1" t="s">
        <v>692</v>
      </c>
      <c r="B418" s="1" t="s">
        <v>489</v>
      </c>
      <c r="C418" s="1" t="s">
        <v>691</v>
      </c>
      <c r="D418" s="1">
        <v>3</v>
      </c>
      <c r="E418" s="1">
        <v>3</v>
      </c>
      <c r="F418" s="1">
        <v>4</v>
      </c>
      <c r="G418" s="1">
        <v>3</v>
      </c>
      <c r="H418" s="1">
        <v>2</v>
      </c>
      <c r="I418" s="1">
        <v>2</v>
      </c>
      <c r="J418" s="1">
        <v>1</v>
      </c>
      <c r="K418" s="1">
        <v>3</v>
      </c>
      <c r="L418" s="1">
        <v>4</v>
      </c>
      <c r="M418" s="1">
        <v>3</v>
      </c>
      <c r="N418" s="1">
        <v>2</v>
      </c>
      <c r="O418" s="1">
        <v>4</v>
      </c>
      <c r="P418" s="1">
        <v>3</v>
      </c>
      <c r="Q418" s="1">
        <v>4</v>
      </c>
      <c r="R418" s="1">
        <v>2</v>
      </c>
      <c r="S418" s="1">
        <v>3</v>
      </c>
      <c r="T418" s="1">
        <v>3</v>
      </c>
      <c r="U418" s="1">
        <v>3</v>
      </c>
      <c r="V418" s="1">
        <v>2</v>
      </c>
      <c r="W418" s="1">
        <v>4</v>
      </c>
      <c r="X418" s="1">
        <v>3</v>
      </c>
      <c r="Y418" s="1">
        <v>3</v>
      </c>
      <c r="Z418" s="1">
        <v>3</v>
      </c>
      <c r="AA418" s="1">
        <v>4</v>
      </c>
      <c r="AB418" s="1">
        <v>2</v>
      </c>
      <c r="AC418" s="1">
        <v>4</v>
      </c>
      <c r="AD418" s="1">
        <v>3</v>
      </c>
      <c r="AE418" s="1">
        <v>2</v>
      </c>
      <c r="AF418" s="1">
        <v>3</v>
      </c>
      <c r="AG418" s="1">
        <v>3</v>
      </c>
      <c r="AH418" s="1">
        <v>2</v>
      </c>
      <c r="AI418" s="1">
        <v>1</v>
      </c>
      <c r="AJ418" s="1">
        <v>2</v>
      </c>
      <c r="AK418" s="1">
        <v>2</v>
      </c>
      <c r="AL418" s="1">
        <v>3</v>
      </c>
      <c r="AM418" s="1">
        <v>3</v>
      </c>
      <c r="AN418" s="1">
        <v>2</v>
      </c>
      <c r="AO418" s="1">
        <v>3</v>
      </c>
      <c r="AP418" s="1">
        <v>4</v>
      </c>
      <c r="AQ418" s="1">
        <v>3</v>
      </c>
      <c r="AR418" s="1">
        <v>3</v>
      </c>
      <c r="AS418" s="1">
        <v>3</v>
      </c>
      <c r="AT418" s="1">
        <v>2</v>
      </c>
      <c r="AU418" s="1">
        <v>2</v>
      </c>
      <c r="AV418" s="1">
        <v>1</v>
      </c>
      <c r="AW418" s="1">
        <v>3</v>
      </c>
      <c r="AX418" s="1">
        <v>4</v>
      </c>
      <c r="AY418" s="1">
        <v>4</v>
      </c>
      <c r="AZ418" s="1">
        <v>3</v>
      </c>
      <c r="BA418" s="1">
        <v>3</v>
      </c>
      <c r="BB418" s="1">
        <v>3</v>
      </c>
      <c r="BC418" s="1">
        <v>5</v>
      </c>
    </row>
    <row r="419" spans="1:55">
      <c r="A419" s="1" t="s">
        <v>693</v>
      </c>
      <c r="B419" s="1" t="s">
        <v>489</v>
      </c>
      <c r="C419" s="1" t="s">
        <v>694</v>
      </c>
      <c r="D419" s="1">
        <v>3</v>
      </c>
      <c r="E419" s="1">
        <v>2</v>
      </c>
      <c r="F419" s="1">
        <v>3</v>
      </c>
      <c r="G419" s="1">
        <v>3</v>
      </c>
      <c r="H419" s="1">
        <v>3</v>
      </c>
      <c r="I419" s="1">
        <v>3</v>
      </c>
      <c r="J419" s="1">
        <v>2</v>
      </c>
      <c r="K419" s="1">
        <v>4</v>
      </c>
      <c r="L419" s="1">
        <v>3</v>
      </c>
      <c r="M419" s="1">
        <v>4</v>
      </c>
      <c r="N419" s="1">
        <v>3</v>
      </c>
      <c r="O419" s="1">
        <v>3</v>
      </c>
      <c r="P419" s="1">
        <v>4</v>
      </c>
      <c r="Q419" s="1">
        <v>3</v>
      </c>
      <c r="R419" s="1">
        <v>2</v>
      </c>
      <c r="S419" s="1">
        <v>2</v>
      </c>
      <c r="T419" s="1">
        <v>4</v>
      </c>
      <c r="U419" s="1">
        <v>4</v>
      </c>
      <c r="V419" s="1">
        <v>2</v>
      </c>
      <c r="W419" s="1">
        <v>3</v>
      </c>
      <c r="X419" s="1">
        <v>3</v>
      </c>
      <c r="Y419" s="1">
        <v>5</v>
      </c>
      <c r="Z419" s="1">
        <v>4</v>
      </c>
      <c r="AA419" s="1">
        <v>3</v>
      </c>
      <c r="AB419" s="1">
        <v>3</v>
      </c>
      <c r="AC419" s="1">
        <v>4</v>
      </c>
      <c r="AD419" s="1">
        <v>2</v>
      </c>
      <c r="AE419" s="1">
        <v>2</v>
      </c>
      <c r="AF419" s="1">
        <v>4</v>
      </c>
      <c r="AG419" s="1">
        <v>2</v>
      </c>
      <c r="AH419" s="1">
        <v>3</v>
      </c>
      <c r="AI419" s="1">
        <v>3</v>
      </c>
      <c r="AJ419" s="1">
        <v>3</v>
      </c>
      <c r="AK419" s="1">
        <v>4</v>
      </c>
      <c r="AL419" s="1">
        <v>4</v>
      </c>
      <c r="AM419" s="1">
        <v>3</v>
      </c>
      <c r="AN419" s="1">
        <v>2</v>
      </c>
      <c r="AO419" s="1">
        <v>4</v>
      </c>
      <c r="AP419" s="1">
        <v>4</v>
      </c>
      <c r="AQ419" s="1">
        <v>3</v>
      </c>
      <c r="AR419" s="1">
        <v>4</v>
      </c>
      <c r="AS419" s="1">
        <v>4</v>
      </c>
      <c r="AT419" s="1">
        <v>3</v>
      </c>
      <c r="AU419" s="1">
        <v>3</v>
      </c>
      <c r="AV419" s="1">
        <v>3</v>
      </c>
      <c r="AW419" s="1">
        <v>3</v>
      </c>
      <c r="AX419" s="1">
        <v>3</v>
      </c>
      <c r="AY419" s="1">
        <v>3</v>
      </c>
      <c r="AZ419" s="1">
        <v>4</v>
      </c>
      <c r="BA419" s="1">
        <v>3</v>
      </c>
      <c r="BB419" s="1">
        <v>4</v>
      </c>
      <c r="BC419" s="1">
        <v>2</v>
      </c>
    </row>
    <row r="420" spans="1:55">
      <c r="A420" s="1" t="s">
        <v>695</v>
      </c>
      <c r="B420" s="1" t="s">
        <v>489</v>
      </c>
      <c r="C420" s="1" t="s">
        <v>694</v>
      </c>
      <c r="D420" s="1">
        <v>3</v>
      </c>
      <c r="E420" s="1">
        <v>3</v>
      </c>
      <c r="F420" s="1">
        <v>2</v>
      </c>
      <c r="G420" s="1">
        <v>2</v>
      </c>
      <c r="H420" s="1">
        <v>5</v>
      </c>
      <c r="I420" s="1">
        <v>3</v>
      </c>
      <c r="J420" s="1">
        <v>4</v>
      </c>
      <c r="K420" s="1">
        <v>2</v>
      </c>
      <c r="L420" s="1">
        <v>3</v>
      </c>
      <c r="M420" s="1">
        <v>2</v>
      </c>
      <c r="N420" s="1">
        <v>3</v>
      </c>
      <c r="O420" s="1">
        <v>2</v>
      </c>
      <c r="P420" s="1">
        <v>3</v>
      </c>
      <c r="Q420" s="1">
        <v>2</v>
      </c>
      <c r="R420" s="1">
        <v>3</v>
      </c>
      <c r="S420" s="1">
        <v>4</v>
      </c>
      <c r="T420" s="1">
        <v>2</v>
      </c>
      <c r="U420" s="1">
        <v>3</v>
      </c>
      <c r="V420" s="1">
        <v>4</v>
      </c>
      <c r="W420" s="1">
        <v>2</v>
      </c>
      <c r="X420" s="1">
        <v>2</v>
      </c>
      <c r="Y420" s="1">
        <v>2</v>
      </c>
      <c r="Z420" s="1">
        <v>3</v>
      </c>
      <c r="AA420" s="1">
        <v>2</v>
      </c>
      <c r="AB420" s="1">
        <v>2</v>
      </c>
      <c r="AC420" s="1">
        <v>2</v>
      </c>
      <c r="AD420" s="1">
        <v>3</v>
      </c>
      <c r="AE420" s="1">
        <v>4</v>
      </c>
      <c r="AF420" s="1">
        <v>3</v>
      </c>
      <c r="AG420" s="1">
        <v>3</v>
      </c>
      <c r="AH420" s="1">
        <v>3</v>
      </c>
      <c r="AI420" s="1">
        <v>3</v>
      </c>
      <c r="AJ420" s="1">
        <v>4</v>
      </c>
      <c r="AK420" s="1">
        <v>2</v>
      </c>
      <c r="AL420" s="1">
        <v>3</v>
      </c>
      <c r="AM420" s="1">
        <v>4</v>
      </c>
      <c r="AN420" s="1">
        <v>3</v>
      </c>
      <c r="AO420" s="1">
        <v>2</v>
      </c>
      <c r="AP420" s="1">
        <v>2</v>
      </c>
      <c r="AQ420" s="1">
        <v>2</v>
      </c>
      <c r="AR420" s="1">
        <v>4</v>
      </c>
      <c r="AS420" s="1">
        <v>3</v>
      </c>
      <c r="AT420" s="1">
        <v>4</v>
      </c>
      <c r="AU420" s="1">
        <v>4</v>
      </c>
      <c r="AV420" s="1">
        <v>4</v>
      </c>
      <c r="AW420" s="1">
        <v>2</v>
      </c>
      <c r="AX420" s="1">
        <v>2</v>
      </c>
      <c r="AY420" s="1">
        <v>2</v>
      </c>
      <c r="AZ420" s="1">
        <v>2</v>
      </c>
      <c r="BA420" s="1">
        <v>2</v>
      </c>
      <c r="BB420" s="1">
        <v>4</v>
      </c>
      <c r="BC420" s="1">
        <v>3</v>
      </c>
    </row>
    <row r="421" spans="1:55">
      <c r="A421" s="1" t="s">
        <v>696</v>
      </c>
      <c r="B421" s="1" t="s">
        <v>489</v>
      </c>
      <c r="C421" s="1" t="s">
        <v>697</v>
      </c>
      <c r="D421" s="1">
        <v>4</v>
      </c>
      <c r="E421" s="1">
        <v>4</v>
      </c>
      <c r="F421" s="1">
        <v>3</v>
      </c>
      <c r="G421" s="1">
        <v>2</v>
      </c>
      <c r="H421" s="1">
        <v>3</v>
      </c>
      <c r="I421" s="1">
        <v>2</v>
      </c>
      <c r="J421" s="1">
        <v>3</v>
      </c>
      <c r="K421" s="1">
        <v>3</v>
      </c>
      <c r="L421" s="1">
        <v>3</v>
      </c>
      <c r="M421" s="1">
        <v>4</v>
      </c>
      <c r="N421" s="1">
        <v>3</v>
      </c>
      <c r="O421" s="1">
        <v>2</v>
      </c>
      <c r="P421" s="1">
        <v>2</v>
      </c>
      <c r="Q421" s="1">
        <v>2</v>
      </c>
      <c r="R421" s="1">
        <v>4</v>
      </c>
      <c r="S421" s="1">
        <v>4</v>
      </c>
      <c r="T421" s="1">
        <v>3</v>
      </c>
      <c r="U421" s="1">
        <v>4</v>
      </c>
      <c r="V421" s="1">
        <v>2</v>
      </c>
      <c r="W421" s="1">
        <v>3</v>
      </c>
      <c r="X421" s="1">
        <v>3</v>
      </c>
      <c r="Y421" s="1">
        <v>3</v>
      </c>
      <c r="Z421" s="1">
        <v>3</v>
      </c>
      <c r="AA421" s="1">
        <v>2</v>
      </c>
      <c r="AB421" s="1">
        <v>3</v>
      </c>
      <c r="AC421" s="1">
        <v>2</v>
      </c>
      <c r="AD421" s="1">
        <v>4</v>
      </c>
      <c r="AE421" s="1">
        <v>4</v>
      </c>
      <c r="AF421" s="1">
        <v>2</v>
      </c>
      <c r="AG421" s="1">
        <v>2</v>
      </c>
      <c r="AH421" s="1">
        <v>3</v>
      </c>
      <c r="AI421" s="1">
        <v>3</v>
      </c>
      <c r="AJ421" s="1">
        <v>3</v>
      </c>
      <c r="AK421" s="1">
        <v>3</v>
      </c>
      <c r="AL421" s="1">
        <v>2</v>
      </c>
      <c r="AM421" s="1">
        <v>3</v>
      </c>
      <c r="AN421" s="1">
        <v>3</v>
      </c>
      <c r="AO421" s="1">
        <v>2</v>
      </c>
      <c r="AP421" s="1">
        <v>3</v>
      </c>
      <c r="AQ421" s="1">
        <v>3</v>
      </c>
      <c r="AR421" s="1">
        <v>3</v>
      </c>
      <c r="AS421" s="1">
        <v>3</v>
      </c>
      <c r="AT421" s="1">
        <v>3</v>
      </c>
      <c r="AU421" s="1">
        <v>3</v>
      </c>
      <c r="AV421" s="1">
        <v>2</v>
      </c>
      <c r="AW421" s="1">
        <v>3</v>
      </c>
      <c r="AX421" s="1">
        <v>3</v>
      </c>
      <c r="AY421" s="1">
        <v>4</v>
      </c>
      <c r="AZ421" s="1">
        <v>3</v>
      </c>
      <c r="BA421" s="1">
        <v>4</v>
      </c>
      <c r="BB421" s="1">
        <v>2</v>
      </c>
      <c r="BC421" s="1">
        <v>2</v>
      </c>
    </row>
    <row r="422" spans="1:55">
      <c r="A422" s="1" t="s">
        <v>698</v>
      </c>
      <c r="B422" s="1" t="s">
        <v>489</v>
      </c>
      <c r="C422" s="1" t="s">
        <v>697</v>
      </c>
      <c r="D422" s="1">
        <v>3</v>
      </c>
      <c r="E422" s="1">
        <v>3</v>
      </c>
      <c r="F422" s="1">
        <v>3</v>
      </c>
      <c r="G422" s="1">
        <v>4</v>
      </c>
      <c r="H422" s="1">
        <v>2</v>
      </c>
      <c r="I422" s="1">
        <v>2</v>
      </c>
      <c r="J422" s="1">
        <v>2</v>
      </c>
      <c r="K422" s="1">
        <v>2</v>
      </c>
      <c r="L422" s="1">
        <v>3</v>
      </c>
      <c r="M422" s="1">
        <v>4</v>
      </c>
      <c r="N422" s="1">
        <v>1</v>
      </c>
      <c r="O422" s="1">
        <v>3</v>
      </c>
      <c r="P422" s="1">
        <v>3</v>
      </c>
      <c r="Q422" s="1">
        <v>4</v>
      </c>
      <c r="R422" s="1">
        <v>3</v>
      </c>
      <c r="S422" s="1">
        <v>3</v>
      </c>
      <c r="T422" s="1">
        <v>3</v>
      </c>
      <c r="U422" s="1">
        <v>3</v>
      </c>
      <c r="V422" s="1">
        <v>2</v>
      </c>
      <c r="W422" s="1">
        <v>4</v>
      </c>
      <c r="X422" s="1">
        <v>3</v>
      </c>
      <c r="Y422" s="1">
        <v>3</v>
      </c>
      <c r="Z422" s="1">
        <v>3</v>
      </c>
      <c r="AA422" s="1">
        <v>3</v>
      </c>
      <c r="AB422" s="1">
        <v>3</v>
      </c>
      <c r="AC422" s="1">
        <v>5</v>
      </c>
      <c r="AD422" s="1">
        <v>2</v>
      </c>
      <c r="AE422" s="1">
        <v>3</v>
      </c>
      <c r="AF422" s="1">
        <v>3</v>
      </c>
      <c r="AG422" s="1">
        <v>3</v>
      </c>
      <c r="AH422" s="1">
        <v>2</v>
      </c>
      <c r="AI422" s="1">
        <v>1</v>
      </c>
      <c r="AJ422" s="1">
        <v>3</v>
      </c>
      <c r="AK422" s="1">
        <v>3</v>
      </c>
      <c r="AL422" s="1">
        <v>3</v>
      </c>
      <c r="AM422" s="1">
        <v>3</v>
      </c>
      <c r="AN422" s="1">
        <v>2</v>
      </c>
      <c r="AO422" s="1">
        <v>3</v>
      </c>
      <c r="AP422" s="1">
        <v>3</v>
      </c>
      <c r="AQ422" s="1">
        <v>4</v>
      </c>
      <c r="AR422" s="1">
        <v>3</v>
      </c>
      <c r="AS422" s="1">
        <v>3</v>
      </c>
      <c r="AT422" s="1">
        <v>3</v>
      </c>
      <c r="AU422" s="1">
        <v>3</v>
      </c>
      <c r="AV422" s="1">
        <v>2</v>
      </c>
      <c r="AW422" s="1">
        <v>3</v>
      </c>
      <c r="AX422" s="1">
        <v>3</v>
      </c>
      <c r="AY422" s="1">
        <v>3</v>
      </c>
      <c r="AZ422" s="1">
        <v>3</v>
      </c>
      <c r="BA422" s="1">
        <v>3</v>
      </c>
      <c r="BB422" s="1">
        <v>2</v>
      </c>
      <c r="BC422" s="1">
        <v>4</v>
      </c>
    </row>
    <row r="423" spans="1:55">
      <c r="A423" s="1" t="s">
        <v>699</v>
      </c>
      <c r="B423" s="1" t="s">
        <v>489</v>
      </c>
      <c r="C423" s="1" t="s">
        <v>700</v>
      </c>
      <c r="D423" s="1">
        <v>3</v>
      </c>
      <c r="E423" s="1">
        <v>3</v>
      </c>
      <c r="F423" s="1">
        <v>2</v>
      </c>
      <c r="G423" s="1">
        <v>3</v>
      </c>
      <c r="H423" s="1">
        <v>4</v>
      </c>
      <c r="I423" s="1">
        <v>4</v>
      </c>
      <c r="J423" s="1">
        <v>5</v>
      </c>
      <c r="K423" s="1">
        <v>3</v>
      </c>
      <c r="L423" s="1">
        <v>4</v>
      </c>
      <c r="M423" s="1">
        <v>3</v>
      </c>
      <c r="N423" s="1">
        <v>4</v>
      </c>
      <c r="O423" s="1">
        <v>3</v>
      </c>
      <c r="P423" s="1">
        <v>2</v>
      </c>
      <c r="Q423" s="1">
        <v>3</v>
      </c>
      <c r="R423" s="1">
        <v>3</v>
      </c>
      <c r="S423" s="1">
        <v>3</v>
      </c>
      <c r="T423" s="1">
        <v>3</v>
      </c>
      <c r="U423" s="1">
        <v>4</v>
      </c>
      <c r="V423" s="1">
        <v>3</v>
      </c>
      <c r="W423" s="1">
        <v>3</v>
      </c>
      <c r="X423" s="1">
        <v>3</v>
      </c>
      <c r="Y423" s="1">
        <v>3</v>
      </c>
      <c r="Z423" s="1">
        <v>2</v>
      </c>
      <c r="AA423" s="1">
        <v>2</v>
      </c>
      <c r="AB423" s="1">
        <v>3</v>
      </c>
      <c r="AC423" s="1">
        <v>1</v>
      </c>
      <c r="AD423" s="1">
        <v>3</v>
      </c>
      <c r="AE423" s="1">
        <v>4</v>
      </c>
      <c r="AF423" s="1">
        <v>3</v>
      </c>
      <c r="AG423" s="1">
        <v>3</v>
      </c>
      <c r="AH423" s="1">
        <v>4</v>
      </c>
      <c r="AI423" s="1">
        <v>3</v>
      </c>
      <c r="AJ423" s="1">
        <v>4</v>
      </c>
      <c r="AK423" s="1">
        <v>3</v>
      </c>
      <c r="AL423" s="1">
        <v>3</v>
      </c>
      <c r="AM423" s="1">
        <v>3</v>
      </c>
      <c r="AN423" s="1">
        <v>4</v>
      </c>
      <c r="AO423" s="1">
        <v>3</v>
      </c>
      <c r="AP423" s="1">
        <v>2</v>
      </c>
      <c r="AQ423" s="1">
        <v>3</v>
      </c>
      <c r="AR423" s="1">
        <v>4</v>
      </c>
      <c r="AS423" s="1">
        <v>4</v>
      </c>
      <c r="AT423" s="1">
        <v>3</v>
      </c>
      <c r="AU423" s="1">
        <v>3</v>
      </c>
      <c r="AV423" s="1">
        <v>4</v>
      </c>
      <c r="AW423" s="1">
        <v>2</v>
      </c>
      <c r="AX423" s="1">
        <v>2</v>
      </c>
      <c r="AY423" s="1">
        <v>3</v>
      </c>
      <c r="AZ423" s="1">
        <v>4</v>
      </c>
      <c r="BA423" s="1">
        <v>3</v>
      </c>
      <c r="BB423" s="1">
        <v>4</v>
      </c>
      <c r="BC423" s="1">
        <v>2</v>
      </c>
    </row>
    <row r="424" spans="1:55">
      <c r="A424" s="1" t="s">
        <v>701</v>
      </c>
      <c r="B424" s="1" t="s">
        <v>489</v>
      </c>
      <c r="C424" s="1" t="s">
        <v>700</v>
      </c>
      <c r="D424" s="1">
        <v>3</v>
      </c>
      <c r="E424" s="1">
        <v>4</v>
      </c>
      <c r="F424" s="1">
        <v>2</v>
      </c>
      <c r="G424" s="1">
        <v>2</v>
      </c>
      <c r="H424" s="1">
        <v>4</v>
      </c>
      <c r="I424" s="1">
        <v>3</v>
      </c>
      <c r="J424" s="1">
        <v>4</v>
      </c>
      <c r="K424" s="1">
        <v>3</v>
      </c>
      <c r="L424" s="1">
        <v>3</v>
      </c>
      <c r="M424" s="1">
        <v>4</v>
      </c>
      <c r="N424" s="1">
        <v>4</v>
      </c>
      <c r="O424" s="1">
        <v>3</v>
      </c>
      <c r="P424" s="1">
        <v>3</v>
      </c>
      <c r="Q424" s="1">
        <v>2</v>
      </c>
      <c r="R424" s="1">
        <v>4</v>
      </c>
      <c r="S424" s="1">
        <v>4</v>
      </c>
      <c r="T424" s="1">
        <v>4</v>
      </c>
      <c r="U424" s="1">
        <v>4</v>
      </c>
      <c r="V424" s="1">
        <v>4</v>
      </c>
      <c r="W424" s="1">
        <v>2</v>
      </c>
      <c r="X424" s="1">
        <v>3</v>
      </c>
      <c r="Y424" s="1">
        <v>3</v>
      </c>
      <c r="Z424" s="1">
        <v>3</v>
      </c>
      <c r="AA424" s="1">
        <v>3</v>
      </c>
      <c r="AB424" s="1">
        <v>3</v>
      </c>
      <c r="AC424" s="1">
        <v>2</v>
      </c>
      <c r="AD424" s="1">
        <v>3</v>
      </c>
      <c r="AE424" s="1">
        <v>5</v>
      </c>
      <c r="AF424" s="1">
        <v>2</v>
      </c>
      <c r="AG424" s="1">
        <v>2</v>
      </c>
      <c r="AH424" s="1">
        <v>4</v>
      </c>
      <c r="AI424" s="1">
        <v>3</v>
      </c>
      <c r="AJ424" s="1">
        <v>5</v>
      </c>
      <c r="AK424" s="1">
        <v>3</v>
      </c>
      <c r="AL424" s="1">
        <v>3</v>
      </c>
      <c r="AM424" s="1">
        <v>5</v>
      </c>
      <c r="AN424" s="1">
        <v>4</v>
      </c>
      <c r="AO424" s="1">
        <v>3</v>
      </c>
      <c r="AP424" s="1">
        <v>2</v>
      </c>
      <c r="AQ424" s="1">
        <v>3</v>
      </c>
      <c r="AR424" s="1">
        <v>5</v>
      </c>
      <c r="AS424" s="1">
        <v>4</v>
      </c>
      <c r="AT424" s="1">
        <v>4</v>
      </c>
      <c r="AU424" s="1">
        <v>3</v>
      </c>
      <c r="AV424" s="1">
        <v>4</v>
      </c>
      <c r="AW424" s="1">
        <v>3</v>
      </c>
      <c r="AX424" s="1">
        <v>3</v>
      </c>
      <c r="AY424" s="1">
        <v>2</v>
      </c>
      <c r="AZ424" s="1">
        <v>3</v>
      </c>
      <c r="BA424" s="1">
        <v>2</v>
      </c>
      <c r="BB424" s="1">
        <v>2</v>
      </c>
      <c r="BC424" s="1">
        <v>3</v>
      </c>
    </row>
    <row r="425" spans="1:55">
      <c r="A425" s="1" t="s">
        <v>702</v>
      </c>
      <c r="B425" s="1" t="s">
        <v>489</v>
      </c>
      <c r="C425" s="1" t="s">
        <v>703</v>
      </c>
      <c r="D425" s="1">
        <v>3</v>
      </c>
      <c r="E425" s="1">
        <v>3</v>
      </c>
      <c r="F425" s="1">
        <v>4</v>
      </c>
      <c r="G425" s="1">
        <v>2</v>
      </c>
      <c r="H425" s="1">
        <v>3</v>
      </c>
      <c r="I425" s="1">
        <v>3</v>
      </c>
      <c r="J425" s="1">
        <v>4</v>
      </c>
      <c r="K425" s="1">
        <v>4</v>
      </c>
      <c r="L425" s="1">
        <v>3</v>
      </c>
      <c r="M425" s="1">
        <v>3</v>
      </c>
      <c r="N425" s="1">
        <v>3</v>
      </c>
      <c r="O425" s="1">
        <v>2</v>
      </c>
      <c r="P425" s="1">
        <v>3</v>
      </c>
      <c r="Q425" s="1">
        <v>3</v>
      </c>
      <c r="R425" s="1">
        <v>2</v>
      </c>
      <c r="S425" s="1">
        <v>2</v>
      </c>
      <c r="T425" s="1">
        <v>3</v>
      </c>
      <c r="U425" s="1">
        <v>3</v>
      </c>
      <c r="V425" s="1">
        <v>3</v>
      </c>
      <c r="W425" s="1">
        <v>3</v>
      </c>
      <c r="X425" s="1">
        <v>3</v>
      </c>
      <c r="Y425" s="1">
        <v>4</v>
      </c>
      <c r="Z425" s="1">
        <v>4</v>
      </c>
      <c r="AA425" s="1">
        <v>4</v>
      </c>
      <c r="AB425" s="1">
        <v>3</v>
      </c>
      <c r="AC425" s="1">
        <v>2</v>
      </c>
      <c r="AD425" s="1">
        <v>3</v>
      </c>
      <c r="AE425" s="1">
        <v>3</v>
      </c>
      <c r="AF425" s="1">
        <v>4</v>
      </c>
      <c r="AG425" s="1">
        <v>3</v>
      </c>
      <c r="AH425" s="1">
        <v>4</v>
      </c>
      <c r="AI425" s="1">
        <v>4</v>
      </c>
      <c r="AJ425" s="1">
        <v>4</v>
      </c>
      <c r="AK425" s="1">
        <v>3</v>
      </c>
      <c r="AL425" s="1">
        <v>3</v>
      </c>
      <c r="AM425" s="1">
        <v>3</v>
      </c>
      <c r="AN425" s="1">
        <v>4</v>
      </c>
      <c r="AO425" s="1">
        <v>3</v>
      </c>
      <c r="AP425" s="1">
        <v>4</v>
      </c>
      <c r="AQ425" s="1">
        <v>4</v>
      </c>
      <c r="AR425" s="1">
        <v>3</v>
      </c>
      <c r="AS425" s="1">
        <v>3</v>
      </c>
      <c r="AT425" s="1">
        <v>3</v>
      </c>
      <c r="AU425" s="1">
        <v>3</v>
      </c>
      <c r="AV425" s="1">
        <v>3</v>
      </c>
      <c r="AW425" s="1">
        <v>2</v>
      </c>
      <c r="AX425" s="1">
        <v>2</v>
      </c>
      <c r="AY425" s="1">
        <v>2</v>
      </c>
      <c r="AZ425" s="1">
        <v>3</v>
      </c>
      <c r="BA425" s="1">
        <v>3</v>
      </c>
      <c r="BB425" s="1">
        <v>3</v>
      </c>
      <c r="BC425" s="1">
        <v>3</v>
      </c>
    </row>
    <row r="426" spans="1:55">
      <c r="A426" s="1" t="s">
        <v>704</v>
      </c>
      <c r="B426" s="1" t="s">
        <v>489</v>
      </c>
      <c r="C426" s="1" t="s">
        <v>703</v>
      </c>
      <c r="D426" s="1">
        <v>3</v>
      </c>
      <c r="E426" s="1">
        <v>4</v>
      </c>
      <c r="F426" s="1">
        <v>3</v>
      </c>
      <c r="G426" s="1">
        <v>2</v>
      </c>
      <c r="H426" s="1">
        <v>2</v>
      </c>
      <c r="I426" s="1">
        <v>2</v>
      </c>
      <c r="J426" s="1">
        <v>2</v>
      </c>
      <c r="K426" s="1">
        <v>3</v>
      </c>
      <c r="L426" s="1">
        <v>3</v>
      </c>
      <c r="M426" s="1">
        <v>3</v>
      </c>
      <c r="N426" s="1">
        <v>2</v>
      </c>
      <c r="O426" s="1">
        <v>3</v>
      </c>
      <c r="P426" s="1">
        <v>3</v>
      </c>
      <c r="Q426" s="1">
        <v>2</v>
      </c>
      <c r="R426" s="1">
        <v>4</v>
      </c>
      <c r="S426" s="1">
        <v>5</v>
      </c>
      <c r="T426" s="1">
        <v>4</v>
      </c>
      <c r="U426" s="1">
        <v>3</v>
      </c>
      <c r="V426" s="1">
        <v>2</v>
      </c>
      <c r="W426" s="1">
        <v>2</v>
      </c>
      <c r="X426" s="1">
        <v>2</v>
      </c>
      <c r="Y426" s="1">
        <v>2</v>
      </c>
      <c r="Z426" s="1">
        <v>4</v>
      </c>
      <c r="AA426" s="1">
        <v>2</v>
      </c>
      <c r="AB426" s="1">
        <v>3</v>
      </c>
      <c r="AC426" s="1">
        <v>4</v>
      </c>
      <c r="AD426" s="1">
        <v>2</v>
      </c>
      <c r="AE426" s="1">
        <v>3</v>
      </c>
      <c r="AF426" s="1">
        <v>2</v>
      </c>
      <c r="AG426" s="1">
        <v>3</v>
      </c>
      <c r="AH426" s="1">
        <v>2</v>
      </c>
      <c r="AI426" s="1">
        <v>2</v>
      </c>
      <c r="AJ426" s="1">
        <v>1</v>
      </c>
      <c r="AK426" s="1">
        <v>3</v>
      </c>
      <c r="AL426" s="1">
        <v>2</v>
      </c>
      <c r="AM426" s="1">
        <v>4</v>
      </c>
      <c r="AN426" s="1">
        <v>2</v>
      </c>
      <c r="AO426" s="1">
        <v>2</v>
      </c>
      <c r="AP426" s="1">
        <v>3</v>
      </c>
      <c r="AQ426" s="1">
        <v>3</v>
      </c>
      <c r="AR426" s="1">
        <v>4</v>
      </c>
      <c r="AS426" s="1">
        <v>3</v>
      </c>
      <c r="AT426" s="1">
        <v>4</v>
      </c>
      <c r="AU426" s="1">
        <v>4</v>
      </c>
      <c r="AV426" s="1">
        <v>2</v>
      </c>
      <c r="AW426" s="1">
        <v>3</v>
      </c>
      <c r="AX426" s="1">
        <v>2</v>
      </c>
      <c r="AY426" s="1">
        <v>2</v>
      </c>
      <c r="AZ426" s="1">
        <v>3</v>
      </c>
      <c r="BA426" s="1">
        <v>3</v>
      </c>
      <c r="BB426" s="1">
        <v>3</v>
      </c>
      <c r="BC426" s="1">
        <v>4</v>
      </c>
    </row>
    <row r="427" spans="1:55">
      <c r="A427" s="1" t="s">
        <v>705</v>
      </c>
      <c r="B427" s="1" t="s">
        <v>489</v>
      </c>
      <c r="C427" s="1" t="s">
        <v>706</v>
      </c>
      <c r="D427" s="1">
        <v>4</v>
      </c>
      <c r="E427" s="1">
        <v>3</v>
      </c>
      <c r="F427" s="1">
        <v>3</v>
      </c>
      <c r="G427" s="1">
        <v>3</v>
      </c>
      <c r="H427" s="1">
        <v>2</v>
      </c>
      <c r="I427" s="1">
        <v>2</v>
      </c>
      <c r="J427" s="1">
        <v>2</v>
      </c>
      <c r="K427" s="1">
        <v>2</v>
      </c>
      <c r="L427" s="1">
        <v>3</v>
      </c>
      <c r="M427" s="1">
        <v>3</v>
      </c>
      <c r="N427" s="1">
        <v>2</v>
      </c>
      <c r="O427" s="1">
        <v>3</v>
      </c>
      <c r="P427" s="1">
        <v>3</v>
      </c>
      <c r="Q427" s="1">
        <v>3</v>
      </c>
      <c r="R427" s="1">
        <v>4</v>
      </c>
      <c r="S427" s="1">
        <v>3</v>
      </c>
      <c r="T427" s="1">
        <v>2</v>
      </c>
      <c r="U427" s="1">
        <v>4</v>
      </c>
      <c r="V427" s="1">
        <v>3</v>
      </c>
      <c r="W427" s="1">
        <v>3</v>
      </c>
      <c r="X427" s="1">
        <v>4</v>
      </c>
      <c r="Y427" s="1">
        <v>4</v>
      </c>
      <c r="Z427" s="1">
        <v>2</v>
      </c>
      <c r="AA427" s="1">
        <v>3</v>
      </c>
      <c r="AB427" s="1">
        <v>2</v>
      </c>
      <c r="AC427" s="1">
        <v>4</v>
      </c>
      <c r="AD427" s="1">
        <v>3</v>
      </c>
      <c r="AE427" s="1">
        <v>3</v>
      </c>
      <c r="AF427" s="1">
        <v>3</v>
      </c>
      <c r="AG427" s="1">
        <v>3</v>
      </c>
      <c r="AH427" s="1">
        <v>2</v>
      </c>
      <c r="AI427" s="1">
        <v>2</v>
      </c>
      <c r="AJ427" s="1">
        <v>2</v>
      </c>
      <c r="AK427" s="1">
        <v>4</v>
      </c>
      <c r="AL427" s="1">
        <v>3</v>
      </c>
      <c r="AM427" s="1">
        <v>2</v>
      </c>
      <c r="AN427" s="1">
        <v>3</v>
      </c>
      <c r="AO427" s="1">
        <v>3</v>
      </c>
      <c r="AP427" s="1">
        <v>4</v>
      </c>
      <c r="AQ427" s="1">
        <v>3</v>
      </c>
      <c r="AR427" s="1">
        <v>4</v>
      </c>
      <c r="AS427" s="1">
        <v>3</v>
      </c>
      <c r="AT427" s="1">
        <v>4</v>
      </c>
      <c r="AU427" s="1">
        <v>4</v>
      </c>
      <c r="AV427" s="1">
        <v>4</v>
      </c>
      <c r="AW427" s="1">
        <v>3</v>
      </c>
      <c r="AX427" s="1">
        <v>3</v>
      </c>
      <c r="AY427" s="1">
        <v>4</v>
      </c>
      <c r="AZ427" s="1">
        <v>3</v>
      </c>
      <c r="BA427" s="1">
        <v>3</v>
      </c>
      <c r="BB427" s="1">
        <v>3</v>
      </c>
      <c r="BC427" s="1">
        <v>4</v>
      </c>
    </row>
    <row r="428" spans="1:55">
      <c r="A428" s="1" t="s">
        <v>707</v>
      </c>
      <c r="B428" s="1" t="s">
        <v>489</v>
      </c>
      <c r="C428" s="1" t="s">
        <v>706</v>
      </c>
      <c r="D428" s="1">
        <v>3</v>
      </c>
      <c r="E428" s="1">
        <v>3</v>
      </c>
      <c r="F428" s="1">
        <v>4</v>
      </c>
      <c r="G428" s="1">
        <v>3</v>
      </c>
      <c r="H428" s="1">
        <v>3</v>
      </c>
      <c r="I428" s="1">
        <v>3</v>
      </c>
      <c r="J428" s="1">
        <v>4</v>
      </c>
      <c r="K428" s="1">
        <v>3</v>
      </c>
      <c r="L428" s="1">
        <v>3</v>
      </c>
      <c r="M428" s="1">
        <v>3</v>
      </c>
      <c r="N428" s="1">
        <v>3</v>
      </c>
      <c r="O428" s="1">
        <v>2</v>
      </c>
      <c r="P428" s="1">
        <v>2</v>
      </c>
      <c r="Q428" s="1">
        <v>2</v>
      </c>
      <c r="R428" s="1">
        <v>3</v>
      </c>
      <c r="S428" s="1">
        <v>2</v>
      </c>
      <c r="T428" s="1">
        <v>3</v>
      </c>
      <c r="U428" s="1">
        <v>3</v>
      </c>
      <c r="V428" s="1">
        <v>3</v>
      </c>
      <c r="W428" s="1">
        <v>3</v>
      </c>
      <c r="X428" s="1">
        <v>2</v>
      </c>
      <c r="Y428" s="1">
        <v>3</v>
      </c>
      <c r="Z428" s="1">
        <v>2</v>
      </c>
      <c r="AA428" s="1">
        <v>2</v>
      </c>
      <c r="AB428" s="1">
        <v>3</v>
      </c>
      <c r="AC428" s="1">
        <v>3</v>
      </c>
      <c r="AD428" s="1">
        <v>3</v>
      </c>
      <c r="AE428" s="1">
        <v>2</v>
      </c>
      <c r="AF428" s="1">
        <v>4</v>
      </c>
      <c r="AG428" s="1">
        <v>4</v>
      </c>
      <c r="AH428" s="1">
        <v>3</v>
      </c>
      <c r="AI428" s="1">
        <v>3</v>
      </c>
      <c r="AJ428" s="1">
        <v>4</v>
      </c>
      <c r="AK428" s="1">
        <v>3</v>
      </c>
      <c r="AL428" s="1">
        <v>3</v>
      </c>
      <c r="AM428" s="1">
        <v>3</v>
      </c>
      <c r="AN428" s="1">
        <v>4</v>
      </c>
      <c r="AO428" s="1">
        <v>3</v>
      </c>
      <c r="AP428" s="1">
        <v>3</v>
      </c>
      <c r="AQ428" s="1">
        <v>3</v>
      </c>
      <c r="AR428" s="1">
        <v>3</v>
      </c>
      <c r="AS428" s="1">
        <v>3</v>
      </c>
      <c r="AT428" s="1">
        <v>2</v>
      </c>
      <c r="AU428" s="1">
        <v>2</v>
      </c>
      <c r="AV428" s="1">
        <v>3</v>
      </c>
      <c r="AW428" s="1">
        <v>3</v>
      </c>
      <c r="AX428" s="1">
        <v>3</v>
      </c>
      <c r="AY428" s="1">
        <v>2</v>
      </c>
      <c r="AZ428" s="1">
        <v>4</v>
      </c>
      <c r="BA428" s="1">
        <v>4</v>
      </c>
      <c r="BB428" s="1">
        <v>4</v>
      </c>
      <c r="BC428" s="1">
        <v>4</v>
      </c>
    </row>
    <row r="429" spans="1:55">
      <c r="A429" s="1" t="s">
        <v>708</v>
      </c>
      <c r="B429" s="1" t="s">
        <v>489</v>
      </c>
      <c r="C429" s="1" t="s">
        <v>709</v>
      </c>
      <c r="D429" s="1">
        <v>3</v>
      </c>
      <c r="E429" s="1">
        <v>3</v>
      </c>
      <c r="F429" s="1">
        <v>3</v>
      </c>
      <c r="G429" s="1">
        <v>3</v>
      </c>
      <c r="H429" s="1">
        <v>3</v>
      </c>
      <c r="I429" s="1">
        <v>3</v>
      </c>
      <c r="J429" s="1">
        <v>4</v>
      </c>
      <c r="K429" s="1">
        <v>3</v>
      </c>
      <c r="L429" s="1">
        <v>3</v>
      </c>
      <c r="M429" s="1">
        <v>2</v>
      </c>
      <c r="N429" s="1">
        <v>3</v>
      </c>
      <c r="O429" s="1">
        <v>3</v>
      </c>
      <c r="P429" s="1">
        <v>2</v>
      </c>
      <c r="Q429" s="1">
        <v>4</v>
      </c>
      <c r="R429" s="1">
        <v>3</v>
      </c>
      <c r="S429" s="1">
        <v>2</v>
      </c>
      <c r="T429" s="1">
        <v>3</v>
      </c>
      <c r="U429" s="1">
        <v>4</v>
      </c>
      <c r="V429" s="1">
        <v>3</v>
      </c>
      <c r="W429" s="1">
        <v>2</v>
      </c>
      <c r="X429" s="1">
        <v>3</v>
      </c>
      <c r="Y429" s="1">
        <v>4</v>
      </c>
      <c r="Z429" s="1">
        <v>4</v>
      </c>
      <c r="AA429" s="1">
        <v>3</v>
      </c>
      <c r="AB429" s="1">
        <v>3</v>
      </c>
      <c r="AC429" s="1">
        <v>3</v>
      </c>
      <c r="AD429" s="1">
        <v>4</v>
      </c>
      <c r="AE429" s="1">
        <v>3</v>
      </c>
      <c r="AF429" s="1">
        <v>3</v>
      </c>
      <c r="AG429" s="1">
        <v>3</v>
      </c>
      <c r="AH429" s="1">
        <v>3</v>
      </c>
      <c r="AI429" s="1">
        <v>3</v>
      </c>
      <c r="AJ429" s="1">
        <v>3</v>
      </c>
      <c r="AK429" s="1">
        <v>4</v>
      </c>
      <c r="AL429" s="1">
        <v>3</v>
      </c>
      <c r="AM429" s="1">
        <v>2</v>
      </c>
      <c r="AN429" s="1">
        <v>3</v>
      </c>
      <c r="AO429" s="1">
        <v>2</v>
      </c>
      <c r="AP429" s="1">
        <v>3</v>
      </c>
      <c r="AQ429" s="1">
        <v>3</v>
      </c>
      <c r="AR429" s="1">
        <v>3</v>
      </c>
      <c r="AS429" s="1">
        <v>2</v>
      </c>
      <c r="AT429" s="1">
        <v>3</v>
      </c>
      <c r="AU429" s="1">
        <v>3</v>
      </c>
      <c r="AV429" s="1">
        <v>3</v>
      </c>
      <c r="AW429" s="1">
        <v>4</v>
      </c>
      <c r="AX429" s="1">
        <v>3</v>
      </c>
      <c r="AY429" s="1">
        <v>4</v>
      </c>
      <c r="AZ429" s="1">
        <v>3</v>
      </c>
      <c r="BA429" s="1">
        <v>3</v>
      </c>
      <c r="BB429" s="1">
        <v>3</v>
      </c>
      <c r="BC429" s="1">
        <v>3</v>
      </c>
    </row>
    <row r="430" spans="1:55">
      <c r="A430" s="1" t="s">
        <v>710</v>
      </c>
      <c r="B430" s="1" t="s">
        <v>489</v>
      </c>
      <c r="C430" s="1" t="s">
        <v>709</v>
      </c>
      <c r="D430" s="1">
        <v>3</v>
      </c>
      <c r="E430" s="1">
        <v>3</v>
      </c>
      <c r="F430" s="1">
        <v>4</v>
      </c>
      <c r="G430" s="1">
        <v>4</v>
      </c>
      <c r="H430" s="1">
        <v>4</v>
      </c>
      <c r="I430" s="1">
        <v>4</v>
      </c>
      <c r="J430" s="1">
        <v>5</v>
      </c>
      <c r="K430" s="1">
        <v>4</v>
      </c>
      <c r="L430" s="1">
        <v>5</v>
      </c>
      <c r="M430" s="1">
        <v>2</v>
      </c>
      <c r="N430" s="1">
        <v>4</v>
      </c>
      <c r="O430" s="1">
        <v>5</v>
      </c>
      <c r="P430" s="1">
        <v>4</v>
      </c>
      <c r="Q430" s="1">
        <v>5</v>
      </c>
      <c r="R430" s="1">
        <v>2</v>
      </c>
      <c r="S430" s="1">
        <v>2</v>
      </c>
      <c r="T430" s="1">
        <v>3</v>
      </c>
      <c r="U430" s="1">
        <v>3</v>
      </c>
      <c r="V430" s="1">
        <v>4</v>
      </c>
      <c r="W430" s="1">
        <v>4</v>
      </c>
      <c r="X430" s="1">
        <v>4</v>
      </c>
      <c r="Y430" s="1">
        <v>3</v>
      </c>
      <c r="Z430" s="1">
        <v>3</v>
      </c>
      <c r="AA430" s="1">
        <v>4</v>
      </c>
      <c r="AB430" s="1">
        <v>4</v>
      </c>
      <c r="AC430" s="1">
        <v>2</v>
      </c>
      <c r="AD430" s="1">
        <v>4</v>
      </c>
      <c r="AE430" s="1">
        <v>2</v>
      </c>
      <c r="AF430" s="1">
        <v>3</v>
      </c>
      <c r="AG430" s="1">
        <v>3</v>
      </c>
      <c r="AH430" s="1">
        <v>4</v>
      </c>
      <c r="AI430" s="1">
        <v>4</v>
      </c>
      <c r="AJ430" s="1">
        <v>4</v>
      </c>
      <c r="AK430" s="1">
        <v>4</v>
      </c>
      <c r="AL430" s="1">
        <v>4</v>
      </c>
      <c r="AM430" s="1">
        <v>2</v>
      </c>
      <c r="AN430" s="1">
        <v>4</v>
      </c>
      <c r="AO430" s="1">
        <v>4</v>
      </c>
      <c r="AP430" s="1">
        <v>4</v>
      </c>
      <c r="AQ430" s="1">
        <v>4</v>
      </c>
      <c r="AR430" s="1">
        <v>4</v>
      </c>
      <c r="AS430" s="1">
        <v>3</v>
      </c>
      <c r="AT430" s="1">
        <v>4</v>
      </c>
      <c r="AU430" s="1">
        <v>3</v>
      </c>
      <c r="AV430" s="1">
        <v>4</v>
      </c>
      <c r="AW430" s="1">
        <v>4</v>
      </c>
      <c r="AX430" s="1">
        <v>3</v>
      </c>
      <c r="AY430" s="1">
        <v>3</v>
      </c>
      <c r="AZ430" s="1">
        <v>3</v>
      </c>
      <c r="BA430" s="1">
        <v>4</v>
      </c>
      <c r="BB430" s="1">
        <v>4</v>
      </c>
      <c r="BC430" s="1">
        <v>2</v>
      </c>
    </row>
    <row r="431" spans="1:55">
      <c r="A431" s="1" t="s">
        <v>711</v>
      </c>
      <c r="B431" s="1" t="s">
        <v>489</v>
      </c>
      <c r="C431" s="1" t="s">
        <v>712</v>
      </c>
      <c r="D431" s="1">
        <v>3</v>
      </c>
      <c r="E431" s="1">
        <v>3</v>
      </c>
      <c r="F431" s="1">
        <v>2</v>
      </c>
      <c r="G431" s="1">
        <v>3</v>
      </c>
      <c r="H431" s="1">
        <v>4</v>
      </c>
      <c r="I431" s="1">
        <v>5</v>
      </c>
      <c r="J431" s="1">
        <v>5</v>
      </c>
      <c r="K431" s="1">
        <v>3</v>
      </c>
      <c r="L431" s="1">
        <v>3</v>
      </c>
      <c r="M431" s="1">
        <v>4</v>
      </c>
      <c r="N431" s="1">
        <v>3</v>
      </c>
      <c r="O431" s="1">
        <v>3</v>
      </c>
      <c r="P431" s="1">
        <v>4</v>
      </c>
      <c r="Q431" s="1">
        <v>2</v>
      </c>
      <c r="R431" s="1">
        <v>4</v>
      </c>
      <c r="S431" s="1">
        <v>5</v>
      </c>
      <c r="T431" s="1">
        <v>3</v>
      </c>
      <c r="U431" s="1">
        <v>3</v>
      </c>
      <c r="V431" s="1">
        <v>4</v>
      </c>
      <c r="W431" s="1">
        <v>3</v>
      </c>
      <c r="X431" s="1">
        <v>2</v>
      </c>
      <c r="Y431" s="1">
        <v>3</v>
      </c>
      <c r="Z431" s="1">
        <v>3</v>
      </c>
      <c r="AA431" s="1">
        <v>3</v>
      </c>
      <c r="AB431" s="1">
        <v>4</v>
      </c>
      <c r="AC431" s="1">
        <v>2</v>
      </c>
      <c r="AD431" s="1">
        <v>3</v>
      </c>
      <c r="AE431" s="1">
        <v>3</v>
      </c>
      <c r="AF431" s="1">
        <v>3</v>
      </c>
      <c r="AG431" s="1">
        <v>2</v>
      </c>
      <c r="AH431" s="1">
        <v>5</v>
      </c>
      <c r="AI431" s="1">
        <v>4</v>
      </c>
      <c r="AJ431" s="1">
        <v>5</v>
      </c>
      <c r="AK431" s="1">
        <v>3</v>
      </c>
      <c r="AL431" s="1">
        <v>4</v>
      </c>
      <c r="AM431" s="1">
        <v>2</v>
      </c>
      <c r="AN431" s="1">
        <v>5</v>
      </c>
      <c r="AO431" s="1">
        <v>3</v>
      </c>
      <c r="AP431" s="1">
        <v>3</v>
      </c>
      <c r="AQ431" s="1">
        <v>3</v>
      </c>
      <c r="AR431" s="1">
        <v>3</v>
      </c>
      <c r="AS431" s="1">
        <v>3</v>
      </c>
      <c r="AT431" s="1">
        <v>3</v>
      </c>
      <c r="AU431" s="1">
        <v>3</v>
      </c>
      <c r="AV431" s="1">
        <v>5</v>
      </c>
      <c r="AW431" s="1">
        <v>2</v>
      </c>
      <c r="AX431" s="1">
        <v>2</v>
      </c>
      <c r="AY431" s="1">
        <v>2</v>
      </c>
      <c r="AZ431" s="1">
        <v>4</v>
      </c>
      <c r="BA431" s="1">
        <v>3</v>
      </c>
      <c r="BB431" s="1">
        <v>3</v>
      </c>
      <c r="BC431" s="1">
        <v>1</v>
      </c>
    </row>
    <row r="432" spans="1:55">
      <c r="A432" s="1" t="s">
        <v>713</v>
      </c>
      <c r="B432" s="1" t="s">
        <v>489</v>
      </c>
      <c r="C432" s="1" t="s">
        <v>712</v>
      </c>
      <c r="D432" s="1">
        <v>3</v>
      </c>
      <c r="E432" s="1">
        <v>5</v>
      </c>
      <c r="F432" s="1">
        <v>3</v>
      </c>
      <c r="G432" s="1">
        <v>3</v>
      </c>
      <c r="H432" s="1">
        <v>2</v>
      </c>
      <c r="I432" s="1">
        <v>2</v>
      </c>
      <c r="J432" s="1">
        <v>3</v>
      </c>
      <c r="K432" s="1">
        <v>3</v>
      </c>
      <c r="L432" s="1">
        <v>3</v>
      </c>
      <c r="M432" s="1">
        <v>4</v>
      </c>
      <c r="N432" s="1">
        <v>2</v>
      </c>
      <c r="O432" s="1">
        <v>2</v>
      </c>
      <c r="P432" s="1">
        <v>3</v>
      </c>
      <c r="Q432" s="1">
        <v>3</v>
      </c>
      <c r="R432" s="1">
        <v>4</v>
      </c>
      <c r="S432" s="1">
        <v>4</v>
      </c>
      <c r="T432" s="1">
        <v>4</v>
      </c>
      <c r="U432" s="1">
        <v>4</v>
      </c>
      <c r="V432" s="1">
        <v>3</v>
      </c>
      <c r="W432" s="1">
        <v>3</v>
      </c>
      <c r="X432" s="1">
        <v>4</v>
      </c>
      <c r="Y432" s="1">
        <v>4</v>
      </c>
      <c r="Z432" s="1">
        <v>4</v>
      </c>
      <c r="AA432" s="1">
        <v>3</v>
      </c>
      <c r="AB432" s="1">
        <v>2</v>
      </c>
      <c r="AC432" s="1">
        <v>3</v>
      </c>
      <c r="AD432" s="1">
        <v>3</v>
      </c>
      <c r="AE432" s="1">
        <v>3</v>
      </c>
      <c r="AF432" s="1">
        <v>3</v>
      </c>
      <c r="AG432" s="1">
        <v>3</v>
      </c>
      <c r="AH432" s="1">
        <v>3</v>
      </c>
      <c r="AI432" s="1">
        <v>3</v>
      </c>
      <c r="AJ432" s="1">
        <v>3</v>
      </c>
      <c r="AK432" s="1">
        <v>2</v>
      </c>
      <c r="AL432" s="1">
        <v>3</v>
      </c>
      <c r="AM432" s="1">
        <v>4</v>
      </c>
      <c r="AN432" s="1">
        <v>2</v>
      </c>
      <c r="AO432" s="1">
        <v>2</v>
      </c>
      <c r="AP432" s="1">
        <v>2</v>
      </c>
      <c r="AQ432" s="1">
        <v>2</v>
      </c>
      <c r="AR432" s="1">
        <v>3</v>
      </c>
      <c r="AS432" s="1">
        <v>3</v>
      </c>
      <c r="AT432" s="1">
        <v>4</v>
      </c>
      <c r="AU432" s="1">
        <v>3</v>
      </c>
      <c r="AV432" s="1">
        <v>1</v>
      </c>
      <c r="AW432" s="1">
        <v>4</v>
      </c>
      <c r="AX432" s="1">
        <v>3</v>
      </c>
      <c r="AY432" s="1">
        <v>4</v>
      </c>
      <c r="AZ432" s="1">
        <v>3</v>
      </c>
      <c r="BA432" s="1">
        <v>2</v>
      </c>
      <c r="BB432" s="1">
        <v>2</v>
      </c>
      <c r="BC432" s="1">
        <v>3</v>
      </c>
    </row>
    <row r="433" spans="1:55">
      <c r="A433" s="1" t="s">
        <v>714</v>
      </c>
      <c r="B433" s="1" t="s">
        <v>489</v>
      </c>
      <c r="C433" s="1" t="s">
        <v>715</v>
      </c>
      <c r="D433" s="1">
        <v>2</v>
      </c>
      <c r="E433" s="1">
        <v>3</v>
      </c>
      <c r="F433" s="1">
        <v>5</v>
      </c>
      <c r="G433" s="1">
        <v>4</v>
      </c>
      <c r="H433" s="1">
        <v>3</v>
      </c>
      <c r="I433" s="1">
        <v>3</v>
      </c>
      <c r="J433" s="1">
        <v>4</v>
      </c>
      <c r="K433" s="1">
        <v>3</v>
      </c>
      <c r="L433" s="1">
        <v>2</v>
      </c>
      <c r="M433" s="1">
        <v>2</v>
      </c>
      <c r="N433" s="1">
        <v>3</v>
      </c>
      <c r="O433" s="1">
        <v>3</v>
      </c>
      <c r="P433" s="1">
        <v>3</v>
      </c>
      <c r="Q433" s="1">
        <v>2</v>
      </c>
      <c r="R433" s="1">
        <v>2</v>
      </c>
      <c r="S433" s="1">
        <v>3</v>
      </c>
      <c r="T433" s="1">
        <v>2</v>
      </c>
      <c r="U433" s="1">
        <v>2</v>
      </c>
      <c r="V433" s="1">
        <v>4</v>
      </c>
      <c r="W433" s="1">
        <v>4</v>
      </c>
      <c r="X433" s="1">
        <v>3</v>
      </c>
      <c r="Y433" s="1">
        <v>4</v>
      </c>
      <c r="Z433" s="1">
        <v>3</v>
      </c>
      <c r="AA433" s="1">
        <v>4</v>
      </c>
      <c r="AB433" s="1">
        <v>3</v>
      </c>
      <c r="AC433" s="1">
        <v>3</v>
      </c>
      <c r="AD433" s="1">
        <v>3</v>
      </c>
      <c r="AE433" s="1">
        <v>2</v>
      </c>
      <c r="AF433" s="1">
        <v>4</v>
      </c>
      <c r="AG433" s="1">
        <v>5</v>
      </c>
      <c r="AH433" s="1">
        <v>4</v>
      </c>
      <c r="AI433" s="1">
        <v>3</v>
      </c>
      <c r="AJ433" s="1">
        <v>4</v>
      </c>
      <c r="AK433" s="1">
        <v>3</v>
      </c>
      <c r="AL433" s="1">
        <v>3</v>
      </c>
      <c r="AM433" s="1">
        <v>2</v>
      </c>
      <c r="AN433" s="1">
        <v>4</v>
      </c>
      <c r="AO433" s="1">
        <v>3</v>
      </c>
      <c r="AP433" s="1">
        <v>2</v>
      </c>
      <c r="AQ433" s="1">
        <v>3</v>
      </c>
      <c r="AR433" s="1">
        <v>2</v>
      </c>
      <c r="AS433" s="1">
        <v>3</v>
      </c>
      <c r="AT433" s="1">
        <v>1</v>
      </c>
      <c r="AU433" s="1">
        <v>3</v>
      </c>
      <c r="AV433" s="1">
        <v>3</v>
      </c>
      <c r="AW433" s="1">
        <v>4</v>
      </c>
      <c r="AX433" s="1">
        <v>4</v>
      </c>
      <c r="AY433" s="1">
        <v>4</v>
      </c>
      <c r="AZ433" s="1">
        <v>4</v>
      </c>
      <c r="BA433" s="1">
        <v>3</v>
      </c>
      <c r="BB433" s="1">
        <v>3</v>
      </c>
      <c r="BC433" s="1">
        <v>3</v>
      </c>
    </row>
    <row r="434" spans="1:55">
      <c r="A434" s="1" t="s">
        <v>716</v>
      </c>
      <c r="B434" s="1" t="s">
        <v>489</v>
      </c>
      <c r="C434" s="1" t="s">
        <v>715</v>
      </c>
      <c r="D434" s="1">
        <v>4</v>
      </c>
      <c r="E434" s="1">
        <v>3</v>
      </c>
      <c r="F434" s="1">
        <v>4</v>
      </c>
      <c r="G434" s="1">
        <v>4</v>
      </c>
      <c r="H434" s="1">
        <v>3</v>
      </c>
      <c r="I434" s="1">
        <v>4</v>
      </c>
      <c r="J434" s="1">
        <v>3</v>
      </c>
      <c r="K434" s="1">
        <v>2</v>
      </c>
      <c r="L434" s="1">
        <v>3</v>
      </c>
      <c r="M434" s="1">
        <v>2</v>
      </c>
      <c r="N434" s="1">
        <v>3</v>
      </c>
      <c r="O434" s="1">
        <v>3</v>
      </c>
      <c r="P434" s="1">
        <v>2</v>
      </c>
      <c r="Q434" s="1">
        <v>3</v>
      </c>
      <c r="R434" s="1">
        <v>2</v>
      </c>
      <c r="S434" s="1">
        <v>2</v>
      </c>
      <c r="T434" s="1">
        <v>2</v>
      </c>
      <c r="U434" s="1">
        <v>3</v>
      </c>
      <c r="V434" s="1">
        <v>3</v>
      </c>
      <c r="W434" s="1">
        <v>3</v>
      </c>
      <c r="X434" s="1">
        <v>3</v>
      </c>
      <c r="Y434" s="1">
        <v>3</v>
      </c>
      <c r="Z434" s="1">
        <v>3</v>
      </c>
      <c r="AA434" s="1">
        <v>2</v>
      </c>
      <c r="AB434" s="1">
        <v>2</v>
      </c>
      <c r="AC434" s="1">
        <v>3</v>
      </c>
      <c r="AD434" s="1">
        <v>4</v>
      </c>
      <c r="AE434" s="1">
        <v>2</v>
      </c>
      <c r="AF434" s="1">
        <v>3</v>
      </c>
      <c r="AG434" s="1">
        <v>3</v>
      </c>
      <c r="AH434" s="1">
        <v>4</v>
      </c>
      <c r="AI434" s="1">
        <v>3</v>
      </c>
      <c r="AJ434" s="1">
        <v>3</v>
      </c>
      <c r="AK434" s="1">
        <v>3</v>
      </c>
      <c r="AL434" s="1">
        <v>3</v>
      </c>
      <c r="AM434" s="1">
        <v>3</v>
      </c>
      <c r="AN434" s="1">
        <v>3</v>
      </c>
      <c r="AO434" s="1">
        <v>2</v>
      </c>
      <c r="AP434" s="1">
        <v>3</v>
      </c>
      <c r="AQ434" s="1">
        <v>2</v>
      </c>
      <c r="AR434" s="1">
        <v>2</v>
      </c>
      <c r="AS434" s="1">
        <v>2</v>
      </c>
      <c r="AT434" s="1">
        <v>1</v>
      </c>
      <c r="AU434" s="1">
        <v>3</v>
      </c>
      <c r="AV434" s="1">
        <v>3</v>
      </c>
      <c r="AW434" s="1">
        <v>3</v>
      </c>
      <c r="AX434" s="1">
        <v>3</v>
      </c>
      <c r="AY434" s="1">
        <v>4</v>
      </c>
      <c r="AZ434" s="1">
        <v>2</v>
      </c>
      <c r="BA434" s="1">
        <v>3</v>
      </c>
      <c r="BB434" s="1">
        <v>2</v>
      </c>
      <c r="BC434" s="1">
        <v>4</v>
      </c>
    </row>
    <row r="435" spans="1:55">
      <c r="A435" s="1" t="s">
        <v>717</v>
      </c>
      <c r="B435" s="1" t="s">
        <v>489</v>
      </c>
      <c r="C435" s="1" t="s">
        <v>718</v>
      </c>
      <c r="D435" s="1">
        <v>2</v>
      </c>
      <c r="E435" s="1">
        <v>3</v>
      </c>
      <c r="F435" s="1">
        <v>3</v>
      </c>
      <c r="G435" s="1">
        <v>3</v>
      </c>
      <c r="H435" s="1">
        <v>2</v>
      </c>
      <c r="I435" s="1">
        <v>3</v>
      </c>
      <c r="J435" s="1">
        <v>3</v>
      </c>
      <c r="K435" s="1">
        <v>4</v>
      </c>
      <c r="L435" s="1">
        <v>2</v>
      </c>
      <c r="M435" s="1">
        <v>3</v>
      </c>
      <c r="N435" s="1">
        <v>3</v>
      </c>
      <c r="O435" s="1">
        <v>4</v>
      </c>
      <c r="P435" s="1">
        <v>3</v>
      </c>
      <c r="Q435" s="1">
        <v>3</v>
      </c>
      <c r="R435" s="1">
        <v>3</v>
      </c>
      <c r="S435" s="1">
        <v>3</v>
      </c>
      <c r="T435" s="1">
        <v>3</v>
      </c>
      <c r="U435" s="1">
        <v>3</v>
      </c>
      <c r="V435" s="1">
        <v>3</v>
      </c>
      <c r="W435" s="1">
        <v>3</v>
      </c>
      <c r="X435" s="1">
        <v>3</v>
      </c>
      <c r="Y435" s="1">
        <v>3</v>
      </c>
      <c r="Z435" s="1">
        <v>4</v>
      </c>
      <c r="AA435" s="1">
        <v>3</v>
      </c>
      <c r="AB435" s="1">
        <v>3</v>
      </c>
      <c r="AC435" s="1">
        <v>2</v>
      </c>
      <c r="AD435" s="1">
        <v>3</v>
      </c>
      <c r="AE435" s="1">
        <v>4</v>
      </c>
      <c r="AF435" s="1">
        <v>3</v>
      </c>
      <c r="AG435" s="1">
        <v>3</v>
      </c>
      <c r="AH435" s="1">
        <v>3</v>
      </c>
      <c r="AI435" s="1">
        <v>2</v>
      </c>
      <c r="AJ435" s="1">
        <v>2</v>
      </c>
      <c r="AK435" s="1">
        <v>3</v>
      </c>
      <c r="AL435" s="1">
        <v>3</v>
      </c>
      <c r="AM435" s="1">
        <v>2</v>
      </c>
      <c r="AN435" s="1">
        <v>3</v>
      </c>
      <c r="AO435" s="1">
        <v>2</v>
      </c>
      <c r="AP435" s="1">
        <v>3</v>
      </c>
      <c r="AQ435" s="1">
        <v>3</v>
      </c>
      <c r="AR435" s="1">
        <v>3</v>
      </c>
      <c r="AS435" s="1">
        <v>2</v>
      </c>
      <c r="AT435" s="1">
        <v>3</v>
      </c>
      <c r="AU435" s="1">
        <v>4</v>
      </c>
      <c r="AV435" s="1">
        <v>2</v>
      </c>
      <c r="AW435" s="1">
        <v>2</v>
      </c>
      <c r="AX435" s="1">
        <v>2</v>
      </c>
      <c r="AY435" s="1">
        <v>3</v>
      </c>
      <c r="AZ435" s="1">
        <v>3</v>
      </c>
      <c r="BA435" s="1">
        <v>3</v>
      </c>
      <c r="BB435" s="1">
        <v>3</v>
      </c>
      <c r="BC435" s="1">
        <v>3</v>
      </c>
    </row>
    <row r="436" spans="1:55">
      <c r="A436" s="1" t="s">
        <v>719</v>
      </c>
      <c r="B436" s="1" t="s">
        <v>489</v>
      </c>
      <c r="C436" s="1" t="s">
        <v>718</v>
      </c>
      <c r="D436" s="1">
        <v>3</v>
      </c>
      <c r="E436" s="1">
        <v>3</v>
      </c>
      <c r="F436" s="1">
        <v>3</v>
      </c>
      <c r="G436" s="1">
        <v>3</v>
      </c>
      <c r="H436" s="1">
        <v>2</v>
      </c>
      <c r="I436" s="1">
        <v>4</v>
      </c>
      <c r="J436" s="1">
        <v>4</v>
      </c>
      <c r="K436" s="1">
        <v>2</v>
      </c>
      <c r="L436" s="1">
        <v>3</v>
      </c>
      <c r="M436" s="1">
        <v>4</v>
      </c>
      <c r="N436" s="1">
        <v>4</v>
      </c>
      <c r="O436" s="1">
        <v>3</v>
      </c>
      <c r="P436" s="1">
        <v>3</v>
      </c>
      <c r="Q436" s="1">
        <v>2</v>
      </c>
      <c r="R436" s="1">
        <v>4</v>
      </c>
      <c r="S436" s="1">
        <v>4</v>
      </c>
      <c r="T436" s="1">
        <v>4</v>
      </c>
      <c r="U436" s="1">
        <v>3</v>
      </c>
      <c r="V436" s="1">
        <v>4</v>
      </c>
      <c r="W436" s="1">
        <v>3</v>
      </c>
      <c r="X436" s="1">
        <v>3</v>
      </c>
      <c r="Y436" s="1">
        <v>3</v>
      </c>
      <c r="Z436" s="1">
        <v>3</v>
      </c>
      <c r="AA436" s="1">
        <v>2</v>
      </c>
      <c r="AB436" s="1">
        <v>2</v>
      </c>
      <c r="AC436" s="1">
        <v>2</v>
      </c>
      <c r="AD436" s="1">
        <v>3</v>
      </c>
      <c r="AE436" s="1">
        <v>3</v>
      </c>
      <c r="AF436" s="1">
        <v>3</v>
      </c>
      <c r="AG436" s="1">
        <v>2</v>
      </c>
      <c r="AH436" s="1">
        <v>4</v>
      </c>
      <c r="AI436" s="1">
        <v>3</v>
      </c>
      <c r="AJ436" s="1">
        <v>4</v>
      </c>
      <c r="AK436" s="1">
        <v>3</v>
      </c>
      <c r="AL436" s="1">
        <v>2</v>
      </c>
      <c r="AM436" s="1">
        <v>3</v>
      </c>
      <c r="AN436" s="1">
        <v>3</v>
      </c>
      <c r="AO436" s="1">
        <v>3</v>
      </c>
      <c r="AP436" s="1">
        <v>3</v>
      </c>
      <c r="AQ436" s="1">
        <v>2</v>
      </c>
      <c r="AR436" s="1">
        <v>3</v>
      </c>
      <c r="AS436" s="1">
        <v>4</v>
      </c>
      <c r="AT436" s="1">
        <v>3</v>
      </c>
      <c r="AU436" s="1">
        <v>4</v>
      </c>
      <c r="AV436" s="1">
        <v>3</v>
      </c>
      <c r="AW436" s="1">
        <v>2</v>
      </c>
      <c r="AX436" s="1">
        <v>3</v>
      </c>
      <c r="AY436" s="1">
        <v>4</v>
      </c>
      <c r="AZ436" s="1">
        <v>4</v>
      </c>
      <c r="BA436" s="1">
        <v>3</v>
      </c>
      <c r="BB436" s="1">
        <v>3</v>
      </c>
      <c r="BC436" s="1">
        <v>3</v>
      </c>
    </row>
    <row r="437" spans="1:55">
      <c r="A437" s="1" t="s">
        <v>720</v>
      </c>
      <c r="B437" s="1" t="s">
        <v>489</v>
      </c>
      <c r="C437" s="1" t="s">
        <v>721</v>
      </c>
      <c r="D437" s="1">
        <v>4</v>
      </c>
      <c r="E437" s="1">
        <v>4</v>
      </c>
      <c r="F437" s="1">
        <v>2</v>
      </c>
      <c r="G437" s="1">
        <v>1</v>
      </c>
      <c r="H437" s="1">
        <v>3</v>
      </c>
      <c r="I437" s="1">
        <v>2</v>
      </c>
      <c r="J437" s="1">
        <v>2</v>
      </c>
      <c r="K437" s="1">
        <v>3</v>
      </c>
      <c r="L437" s="1">
        <v>4</v>
      </c>
      <c r="M437" s="1">
        <v>4</v>
      </c>
      <c r="N437" s="1">
        <v>3</v>
      </c>
      <c r="O437" s="1">
        <v>3</v>
      </c>
      <c r="P437" s="1">
        <v>3</v>
      </c>
      <c r="Q437" s="1">
        <v>3</v>
      </c>
      <c r="R437" s="1">
        <v>4</v>
      </c>
      <c r="S437" s="1">
        <v>4</v>
      </c>
      <c r="T437" s="1">
        <v>4</v>
      </c>
      <c r="U437" s="1">
        <v>4</v>
      </c>
      <c r="V437" s="1">
        <v>3</v>
      </c>
      <c r="W437" s="1">
        <v>3</v>
      </c>
      <c r="X437" s="1">
        <v>4</v>
      </c>
      <c r="Y437" s="1">
        <v>3</v>
      </c>
      <c r="Z437" s="1">
        <v>3</v>
      </c>
      <c r="AA437" s="1">
        <v>3</v>
      </c>
      <c r="AB437" s="1">
        <v>2</v>
      </c>
      <c r="AC437" s="1">
        <v>3</v>
      </c>
      <c r="AD437" s="1">
        <v>3</v>
      </c>
      <c r="AE437" s="1">
        <v>4</v>
      </c>
      <c r="AF437" s="1">
        <v>2</v>
      </c>
      <c r="AG437" s="1">
        <v>2</v>
      </c>
      <c r="AH437" s="1">
        <v>2</v>
      </c>
      <c r="AI437" s="1">
        <v>2</v>
      </c>
      <c r="AJ437" s="1">
        <v>2</v>
      </c>
      <c r="AK437" s="1">
        <v>3</v>
      </c>
      <c r="AL437" s="1">
        <v>3</v>
      </c>
      <c r="AM437" s="1">
        <v>5</v>
      </c>
      <c r="AN437" s="1">
        <v>2</v>
      </c>
      <c r="AO437" s="1">
        <v>3</v>
      </c>
      <c r="AP437" s="1">
        <v>2</v>
      </c>
      <c r="AQ437" s="1">
        <v>3</v>
      </c>
      <c r="AR437" s="1">
        <v>5</v>
      </c>
      <c r="AS437" s="1">
        <v>4</v>
      </c>
      <c r="AT437" s="1">
        <v>4</v>
      </c>
      <c r="AU437" s="1">
        <v>4</v>
      </c>
      <c r="AV437" s="1">
        <v>3</v>
      </c>
      <c r="AW437" s="1">
        <v>3</v>
      </c>
      <c r="AX437" s="1">
        <v>4</v>
      </c>
      <c r="AY437" s="1">
        <v>3</v>
      </c>
      <c r="AZ437" s="1">
        <v>3</v>
      </c>
      <c r="BA437" s="1">
        <v>4</v>
      </c>
      <c r="BB437" s="1">
        <v>3</v>
      </c>
      <c r="BC437" s="1">
        <v>4</v>
      </c>
    </row>
    <row r="438" spans="1:55">
      <c r="A438" s="1" t="s">
        <v>722</v>
      </c>
      <c r="B438" s="1" t="s">
        <v>489</v>
      </c>
      <c r="C438" s="1" t="s">
        <v>721</v>
      </c>
      <c r="D438" s="1">
        <v>4</v>
      </c>
      <c r="E438" s="1">
        <v>3</v>
      </c>
      <c r="F438" s="1">
        <v>3</v>
      </c>
      <c r="G438" s="1">
        <v>3</v>
      </c>
      <c r="H438" s="1">
        <v>4</v>
      </c>
      <c r="I438" s="1">
        <v>3</v>
      </c>
      <c r="J438" s="1">
        <v>4</v>
      </c>
      <c r="K438" s="1">
        <v>4</v>
      </c>
      <c r="L438" s="1">
        <v>3</v>
      </c>
      <c r="M438" s="1">
        <v>2</v>
      </c>
      <c r="N438" s="1">
        <v>4</v>
      </c>
      <c r="O438" s="1">
        <v>2</v>
      </c>
      <c r="P438" s="1">
        <v>3</v>
      </c>
      <c r="Q438" s="1">
        <v>3</v>
      </c>
      <c r="R438" s="1">
        <v>3</v>
      </c>
      <c r="S438" s="1">
        <v>4</v>
      </c>
      <c r="T438" s="1">
        <v>4</v>
      </c>
      <c r="U438" s="1">
        <v>5</v>
      </c>
      <c r="V438" s="1">
        <v>4</v>
      </c>
      <c r="W438" s="1">
        <v>3</v>
      </c>
      <c r="X438" s="1">
        <v>4</v>
      </c>
      <c r="Y438" s="1">
        <v>2</v>
      </c>
      <c r="Z438" s="1">
        <v>3</v>
      </c>
      <c r="AA438" s="1">
        <v>2</v>
      </c>
      <c r="AB438" s="1">
        <v>3</v>
      </c>
      <c r="AC438" s="1">
        <v>2</v>
      </c>
      <c r="AD438" s="1">
        <v>4</v>
      </c>
      <c r="AE438" s="1">
        <v>3</v>
      </c>
      <c r="AF438" s="1">
        <v>3</v>
      </c>
      <c r="AG438" s="1">
        <v>3</v>
      </c>
      <c r="AH438" s="1">
        <v>4</v>
      </c>
      <c r="AI438" s="1">
        <v>3</v>
      </c>
      <c r="AJ438" s="1">
        <v>3</v>
      </c>
      <c r="AK438" s="1">
        <v>3</v>
      </c>
      <c r="AL438" s="1">
        <v>4</v>
      </c>
      <c r="AM438" s="1">
        <v>3</v>
      </c>
      <c r="AN438" s="1">
        <v>4</v>
      </c>
      <c r="AO438" s="1">
        <v>3</v>
      </c>
      <c r="AP438" s="1">
        <v>2</v>
      </c>
      <c r="AQ438" s="1">
        <v>4</v>
      </c>
      <c r="AR438" s="1">
        <v>3</v>
      </c>
      <c r="AS438" s="1">
        <v>3</v>
      </c>
      <c r="AT438" s="1">
        <v>4</v>
      </c>
      <c r="AU438" s="1">
        <v>3</v>
      </c>
      <c r="AV438" s="1">
        <v>4</v>
      </c>
      <c r="AW438" s="1">
        <v>4</v>
      </c>
      <c r="AX438" s="1">
        <v>3</v>
      </c>
      <c r="AY438" s="1">
        <v>4</v>
      </c>
      <c r="AZ438" s="1">
        <v>3</v>
      </c>
      <c r="BA438" s="1">
        <v>3</v>
      </c>
      <c r="BB438" s="1">
        <v>4</v>
      </c>
      <c r="BC438" s="1">
        <v>3</v>
      </c>
    </row>
    <row r="439" spans="1:55">
      <c r="A439" s="1" t="s">
        <v>723</v>
      </c>
      <c r="B439" s="1" t="s">
        <v>489</v>
      </c>
      <c r="C439" s="1" t="s">
        <v>724</v>
      </c>
      <c r="D439" s="1">
        <v>2</v>
      </c>
      <c r="E439" s="1">
        <v>3</v>
      </c>
      <c r="F439" s="1">
        <v>3</v>
      </c>
      <c r="G439" s="1">
        <v>3</v>
      </c>
      <c r="H439" s="1">
        <v>2</v>
      </c>
      <c r="I439" s="1">
        <v>3</v>
      </c>
      <c r="J439" s="1">
        <v>3</v>
      </c>
      <c r="K439" s="1">
        <v>3</v>
      </c>
      <c r="L439" s="1">
        <v>3</v>
      </c>
      <c r="M439" s="1">
        <v>3</v>
      </c>
      <c r="N439" s="1">
        <v>3</v>
      </c>
      <c r="O439" s="1">
        <v>4</v>
      </c>
      <c r="P439" s="1">
        <v>3</v>
      </c>
      <c r="Q439" s="1">
        <v>3</v>
      </c>
      <c r="R439" s="1">
        <v>3</v>
      </c>
      <c r="S439" s="1">
        <v>3</v>
      </c>
      <c r="T439" s="1">
        <v>4</v>
      </c>
      <c r="U439" s="1">
        <v>3</v>
      </c>
      <c r="V439" s="1">
        <v>2</v>
      </c>
      <c r="W439" s="1">
        <v>2</v>
      </c>
      <c r="X439" s="1">
        <v>3</v>
      </c>
      <c r="Y439" s="1">
        <v>2</v>
      </c>
      <c r="Z439" s="1">
        <v>3</v>
      </c>
      <c r="AA439" s="1">
        <v>3</v>
      </c>
      <c r="AB439" s="1">
        <v>4</v>
      </c>
      <c r="AC439" s="1">
        <v>3</v>
      </c>
      <c r="AD439" s="1">
        <v>3</v>
      </c>
      <c r="AE439" s="1">
        <v>3</v>
      </c>
      <c r="AF439" s="1">
        <v>3</v>
      </c>
      <c r="AG439" s="1">
        <v>2</v>
      </c>
      <c r="AH439" s="1">
        <v>3</v>
      </c>
      <c r="AI439" s="1">
        <v>3</v>
      </c>
      <c r="AJ439" s="1">
        <v>2</v>
      </c>
      <c r="AK439" s="1">
        <v>3</v>
      </c>
      <c r="AL439" s="1">
        <v>3</v>
      </c>
      <c r="AM439" s="1">
        <v>4</v>
      </c>
      <c r="AN439" s="1">
        <v>3</v>
      </c>
      <c r="AO439" s="1">
        <v>3</v>
      </c>
      <c r="AP439" s="1">
        <v>3</v>
      </c>
      <c r="AQ439" s="1">
        <v>4</v>
      </c>
      <c r="AR439" s="1">
        <v>3</v>
      </c>
      <c r="AS439" s="1">
        <v>3</v>
      </c>
      <c r="AT439" s="1">
        <v>3</v>
      </c>
      <c r="AU439" s="1">
        <v>4</v>
      </c>
      <c r="AV439" s="1">
        <v>3</v>
      </c>
      <c r="AW439" s="1">
        <v>2</v>
      </c>
      <c r="AX439" s="1">
        <v>1</v>
      </c>
      <c r="AY439" s="1">
        <v>3</v>
      </c>
      <c r="AZ439" s="1">
        <v>3</v>
      </c>
      <c r="BA439" s="1">
        <v>3</v>
      </c>
      <c r="BB439" s="1">
        <v>4</v>
      </c>
      <c r="BC439" s="1">
        <v>3</v>
      </c>
    </row>
    <row r="440" spans="1:55">
      <c r="A440" s="1" t="s">
        <v>725</v>
      </c>
      <c r="B440" s="1" t="s">
        <v>489</v>
      </c>
      <c r="C440" s="1" t="s">
        <v>724</v>
      </c>
      <c r="D440" s="1">
        <v>3</v>
      </c>
      <c r="E440" s="1">
        <v>3</v>
      </c>
      <c r="F440" s="1">
        <v>2</v>
      </c>
      <c r="G440" s="1">
        <v>3</v>
      </c>
      <c r="H440" s="1">
        <v>3</v>
      </c>
      <c r="I440" s="1">
        <v>3</v>
      </c>
      <c r="J440" s="1">
        <v>2</v>
      </c>
      <c r="K440" s="1">
        <v>4</v>
      </c>
      <c r="L440" s="1">
        <v>4</v>
      </c>
      <c r="M440" s="1">
        <v>3</v>
      </c>
      <c r="N440" s="1">
        <v>3</v>
      </c>
      <c r="O440" s="1">
        <v>3</v>
      </c>
      <c r="P440" s="1">
        <v>3</v>
      </c>
      <c r="Q440" s="1">
        <v>3</v>
      </c>
      <c r="R440" s="1">
        <v>3</v>
      </c>
      <c r="S440" s="1">
        <v>4</v>
      </c>
      <c r="T440" s="1">
        <v>3</v>
      </c>
      <c r="U440" s="1">
        <v>3</v>
      </c>
      <c r="V440" s="1">
        <v>4</v>
      </c>
      <c r="W440" s="1">
        <v>3</v>
      </c>
      <c r="X440" s="1">
        <v>4</v>
      </c>
      <c r="Y440" s="1">
        <v>3</v>
      </c>
      <c r="Z440" s="1">
        <v>3</v>
      </c>
      <c r="AA440" s="1">
        <v>3</v>
      </c>
      <c r="AB440" s="1">
        <v>2</v>
      </c>
      <c r="AC440" s="1">
        <v>2</v>
      </c>
      <c r="AD440" s="1">
        <v>3</v>
      </c>
      <c r="AE440" s="1">
        <v>3</v>
      </c>
      <c r="AF440" s="1">
        <v>3</v>
      </c>
      <c r="AG440" s="1">
        <v>3</v>
      </c>
      <c r="AH440" s="1">
        <v>3</v>
      </c>
      <c r="AI440" s="1">
        <v>4</v>
      </c>
      <c r="AJ440" s="1">
        <v>3</v>
      </c>
      <c r="AK440" s="1">
        <v>3</v>
      </c>
      <c r="AL440" s="1">
        <v>4</v>
      </c>
      <c r="AM440" s="1">
        <v>4</v>
      </c>
      <c r="AN440" s="1">
        <v>3</v>
      </c>
      <c r="AO440" s="1">
        <v>4</v>
      </c>
      <c r="AP440" s="1">
        <v>3</v>
      </c>
      <c r="AQ440" s="1">
        <v>3</v>
      </c>
      <c r="AR440" s="1">
        <v>3</v>
      </c>
      <c r="AS440" s="1">
        <v>4</v>
      </c>
      <c r="AT440" s="1">
        <v>4</v>
      </c>
      <c r="AU440" s="1">
        <v>3</v>
      </c>
      <c r="AV440" s="1">
        <v>2</v>
      </c>
      <c r="AW440" s="1">
        <v>4</v>
      </c>
      <c r="AX440" s="1">
        <v>3</v>
      </c>
      <c r="AY440" s="1">
        <v>3</v>
      </c>
      <c r="AZ440" s="1">
        <v>2</v>
      </c>
      <c r="BA440" s="1">
        <v>3</v>
      </c>
      <c r="BB440" s="1">
        <v>4</v>
      </c>
      <c r="BC440" s="1">
        <v>3</v>
      </c>
    </row>
    <row r="441" spans="1:55">
      <c r="A441" s="1" t="s">
        <v>726</v>
      </c>
      <c r="B441" s="1" t="s">
        <v>489</v>
      </c>
      <c r="C441" s="1" t="s">
        <v>727</v>
      </c>
      <c r="D441" s="1">
        <v>3</v>
      </c>
      <c r="E441" s="1">
        <v>3</v>
      </c>
      <c r="F441" s="1">
        <v>2</v>
      </c>
      <c r="G441" s="1">
        <v>3</v>
      </c>
      <c r="H441" s="1">
        <v>2</v>
      </c>
      <c r="I441" s="1">
        <v>3</v>
      </c>
      <c r="J441" s="1">
        <v>3</v>
      </c>
      <c r="K441" s="1">
        <v>3</v>
      </c>
      <c r="L441" s="1">
        <v>2</v>
      </c>
      <c r="M441" s="1">
        <v>4</v>
      </c>
      <c r="N441" s="1">
        <v>2</v>
      </c>
      <c r="O441" s="1">
        <v>3</v>
      </c>
      <c r="P441" s="1">
        <v>2</v>
      </c>
      <c r="Q441" s="1">
        <v>2</v>
      </c>
      <c r="R441" s="1">
        <v>4</v>
      </c>
      <c r="S441" s="1">
        <v>4</v>
      </c>
      <c r="T441" s="1">
        <v>4</v>
      </c>
      <c r="U441" s="1">
        <v>3</v>
      </c>
      <c r="V441" s="1">
        <v>3</v>
      </c>
      <c r="W441" s="1">
        <v>2</v>
      </c>
      <c r="X441" s="1">
        <v>3</v>
      </c>
      <c r="Y441" s="1">
        <v>2</v>
      </c>
      <c r="Z441" s="1">
        <v>3</v>
      </c>
      <c r="AA441" s="1">
        <v>3</v>
      </c>
      <c r="AB441" s="1">
        <v>2</v>
      </c>
      <c r="AC441" s="1">
        <v>3</v>
      </c>
      <c r="AD441" s="1">
        <v>3</v>
      </c>
      <c r="AE441" s="1">
        <v>4</v>
      </c>
      <c r="AF441" s="1">
        <v>2</v>
      </c>
      <c r="AG441" s="1">
        <v>3</v>
      </c>
      <c r="AH441" s="1">
        <v>3</v>
      </c>
      <c r="AI441" s="1">
        <v>3</v>
      </c>
      <c r="AJ441" s="1">
        <v>3</v>
      </c>
      <c r="AK441" s="1">
        <v>3</v>
      </c>
      <c r="AL441" s="1">
        <v>3</v>
      </c>
      <c r="AM441" s="1">
        <v>3</v>
      </c>
      <c r="AN441" s="1">
        <v>2</v>
      </c>
      <c r="AO441" s="1">
        <v>2</v>
      </c>
      <c r="AP441" s="1">
        <v>3</v>
      </c>
      <c r="AQ441" s="1">
        <v>3</v>
      </c>
      <c r="AR441" s="1">
        <v>3</v>
      </c>
      <c r="AS441" s="1">
        <v>3</v>
      </c>
      <c r="AT441" s="1">
        <v>3</v>
      </c>
      <c r="AU441" s="1">
        <v>3</v>
      </c>
      <c r="AV441" s="1">
        <v>2</v>
      </c>
      <c r="AW441" s="1">
        <v>2</v>
      </c>
      <c r="AX441" s="1">
        <v>3</v>
      </c>
      <c r="AY441" s="1">
        <v>2</v>
      </c>
      <c r="AZ441" s="1">
        <v>3</v>
      </c>
      <c r="BA441" s="1">
        <v>3</v>
      </c>
      <c r="BB441" s="1">
        <v>3</v>
      </c>
      <c r="BC441" s="1">
        <v>3</v>
      </c>
    </row>
    <row r="442" spans="1:55">
      <c r="A442" s="1" t="s">
        <v>728</v>
      </c>
      <c r="B442" s="1" t="s">
        <v>489</v>
      </c>
      <c r="C442" s="1" t="s">
        <v>727</v>
      </c>
      <c r="D442" s="1">
        <v>2</v>
      </c>
      <c r="E442" s="1">
        <v>3</v>
      </c>
      <c r="F442" s="1">
        <v>3</v>
      </c>
      <c r="G442" s="1">
        <v>2</v>
      </c>
      <c r="H442" s="1">
        <v>2</v>
      </c>
      <c r="I442" s="1">
        <v>3</v>
      </c>
      <c r="J442" s="1">
        <v>4</v>
      </c>
      <c r="K442" s="1">
        <v>3</v>
      </c>
      <c r="L442" s="1">
        <v>3</v>
      </c>
      <c r="M442" s="1">
        <v>3</v>
      </c>
      <c r="N442" s="1">
        <v>3</v>
      </c>
      <c r="O442" s="1">
        <v>3</v>
      </c>
      <c r="P442" s="1">
        <v>4</v>
      </c>
      <c r="Q442" s="1">
        <v>3</v>
      </c>
      <c r="R442" s="1">
        <v>4</v>
      </c>
      <c r="S442" s="1">
        <v>3</v>
      </c>
      <c r="T442" s="1">
        <v>3</v>
      </c>
      <c r="U442" s="1">
        <v>3</v>
      </c>
      <c r="V442" s="1">
        <v>3</v>
      </c>
      <c r="W442" s="1">
        <v>2</v>
      </c>
      <c r="X442" s="1">
        <v>2</v>
      </c>
      <c r="Y442" s="1">
        <v>3</v>
      </c>
      <c r="Z442" s="1">
        <v>3</v>
      </c>
      <c r="AA442" s="1">
        <v>3</v>
      </c>
      <c r="AB442" s="1">
        <v>3</v>
      </c>
      <c r="AC442" s="1">
        <v>3</v>
      </c>
      <c r="AD442" s="1">
        <v>3</v>
      </c>
      <c r="AE442" s="1">
        <v>2</v>
      </c>
      <c r="AF442" s="1">
        <v>3</v>
      </c>
      <c r="AG442" s="1">
        <v>3</v>
      </c>
      <c r="AH442" s="1">
        <v>2</v>
      </c>
      <c r="AI442" s="1">
        <v>3</v>
      </c>
      <c r="AJ442" s="1">
        <v>3</v>
      </c>
      <c r="AK442" s="1">
        <v>3</v>
      </c>
      <c r="AL442" s="1">
        <v>5</v>
      </c>
      <c r="AM442" s="1">
        <v>3</v>
      </c>
      <c r="AN442" s="1">
        <v>3</v>
      </c>
      <c r="AO442" s="1">
        <v>3</v>
      </c>
      <c r="AP442" s="1">
        <v>3</v>
      </c>
      <c r="AQ442" s="1">
        <v>4</v>
      </c>
      <c r="AR442" s="1">
        <v>2</v>
      </c>
      <c r="AS442" s="1">
        <v>3</v>
      </c>
      <c r="AT442" s="1">
        <v>3</v>
      </c>
      <c r="AU442" s="1">
        <v>3</v>
      </c>
      <c r="AV442" s="1">
        <v>3</v>
      </c>
      <c r="AW442" s="1">
        <v>3</v>
      </c>
      <c r="AX442" s="1">
        <v>3</v>
      </c>
      <c r="AY442" s="1">
        <v>2</v>
      </c>
      <c r="AZ442" s="1">
        <v>4</v>
      </c>
      <c r="BA442" s="1">
        <v>3</v>
      </c>
      <c r="BB442" s="1">
        <v>4</v>
      </c>
      <c r="BC442" s="1">
        <v>3</v>
      </c>
    </row>
    <row r="443" spans="1:55">
      <c r="A443" s="1" t="s">
        <v>729</v>
      </c>
      <c r="B443" s="1" t="s">
        <v>489</v>
      </c>
      <c r="C443" s="1" t="s">
        <v>730</v>
      </c>
      <c r="D443" s="1">
        <v>3</v>
      </c>
      <c r="E443" s="1">
        <v>2</v>
      </c>
      <c r="F443" s="1">
        <v>3</v>
      </c>
      <c r="G443" s="1">
        <v>3</v>
      </c>
      <c r="H443" s="1">
        <v>3</v>
      </c>
      <c r="I443" s="1">
        <v>2</v>
      </c>
      <c r="J443" s="1">
        <v>2</v>
      </c>
      <c r="K443" s="1">
        <v>2</v>
      </c>
      <c r="L443" s="1">
        <v>3</v>
      </c>
      <c r="M443" s="1">
        <v>3</v>
      </c>
      <c r="N443" s="1">
        <v>3</v>
      </c>
      <c r="O443" s="1">
        <v>3</v>
      </c>
      <c r="P443" s="1">
        <v>3</v>
      </c>
      <c r="Q443" s="1">
        <v>2</v>
      </c>
      <c r="R443" s="1">
        <v>2</v>
      </c>
      <c r="S443" s="1">
        <v>3</v>
      </c>
      <c r="T443" s="1">
        <v>3</v>
      </c>
      <c r="U443" s="1">
        <v>2</v>
      </c>
      <c r="V443" s="1">
        <v>3</v>
      </c>
      <c r="W443" s="1">
        <v>4</v>
      </c>
      <c r="X443" s="1">
        <v>3</v>
      </c>
      <c r="Y443" s="1">
        <v>3</v>
      </c>
      <c r="Z443" s="1">
        <v>3</v>
      </c>
      <c r="AA443" s="1">
        <v>3</v>
      </c>
      <c r="AB443" s="1">
        <v>3</v>
      </c>
      <c r="AC443" s="1">
        <v>4</v>
      </c>
      <c r="AD443" s="1">
        <v>3</v>
      </c>
      <c r="AE443" s="1">
        <v>3</v>
      </c>
      <c r="AF443" s="1">
        <v>3</v>
      </c>
      <c r="AG443" s="1">
        <v>4</v>
      </c>
      <c r="AH443" s="1">
        <v>2</v>
      </c>
      <c r="AI443" s="1">
        <v>3</v>
      </c>
      <c r="AJ443" s="1">
        <v>2</v>
      </c>
      <c r="AK443" s="1">
        <v>4</v>
      </c>
      <c r="AL443" s="1">
        <v>4</v>
      </c>
      <c r="AM443" s="1">
        <v>4</v>
      </c>
      <c r="AN443" s="1">
        <v>4</v>
      </c>
      <c r="AO443" s="1">
        <v>3</v>
      </c>
      <c r="AP443" s="1">
        <v>3</v>
      </c>
      <c r="AQ443" s="1">
        <v>3</v>
      </c>
      <c r="AR443" s="1">
        <v>3</v>
      </c>
      <c r="AS443" s="1">
        <v>2</v>
      </c>
      <c r="AT443" s="1">
        <v>3</v>
      </c>
      <c r="AU443" s="1">
        <v>3</v>
      </c>
      <c r="AV443" s="1">
        <v>3</v>
      </c>
      <c r="AW443" s="1">
        <v>3</v>
      </c>
      <c r="AX443" s="1">
        <v>3</v>
      </c>
      <c r="AY443" s="1">
        <v>4</v>
      </c>
      <c r="AZ443" s="1">
        <v>3</v>
      </c>
      <c r="BA443" s="1">
        <v>3</v>
      </c>
      <c r="BB443" s="1">
        <v>3</v>
      </c>
      <c r="BC443" s="1">
        <v>4</v>
      </c>
    </row>
    <row r="444" spans="1:55">
      <c r="A444" s="1" t="s">
        <v>731</v>
      </c>
      <c r="B444" s="1" t="s">
        <v>489</v>
      </c>
      <c r="C444" s="1" t="s">
        <v>730</v>
      </c>
      <c r="D444" s="1">
        <v>3</v>
      </c>
      <c r="E444" s="1">
        <v>3</v>
      </c>
      <c r="F444" s="1">
        <v>4</v>
      </c>
      <c r="G444" s="1">
        <v>4</v>
      </c>
      <c r="H444" s="1">
        <v>2</v>
      </c>
      <c r="I444" s="1">
        <v>3</v>
      </c>
      <c r="J444" s="1">
        <v>3</v>
      </c>
      <c r="K444" s="1">
        <v>3</v>
      </c>
      <c r="L444" s="1">
        <v>3</v>
      </c>
      <c r="M444" s="1">
        <v>2</v>
      </c>
      <c r="N444" s="1">
        <v>2</v>
      </c>
      <c r="O444" s="1">
        <v>2</v>
      </c>
      <c r="P444" s="1">
        <v>2</v>
      </c>
      <c r="Q444" s="1">
        <v>4</v>
      </c>
      <c r="R444" s="1">
        <v>3</v>
      </c>
      <c r="S444" s="1">
        <v>3</v>
      </c>
      <c r="T444" s="1">
        <v>2</v>
      </c>
      <c r="U444" s="1">
        <v>2</v>
      </c>
      <c r="V444" s="1">
        <v>2</v>
      </c>
      <c r="W444" s="1">
        <v>3</v>
      </c>
      <c r="X444" s="1">
        <v>3</v>
      </c>
      <c r="Y444" s="1">
        <v>3</v>
      </c>
      <c r="Z444" s="1">
        <v>3</v>
      </c>
      <c r="AA444" s="1">
        <v>3</v>
      </c>
      <c r="AB444" s="1">
        <v>3</v>
      </c>
      <c r="AC444" s="1">
        <v>4</v>
      </c>
      <c r="AD444" s="1">
        <v>2</v>
      </c>
      <c r="AE444" s="1">
        <v>2</v>
      </c>
      <c r="AF444" s="1">
        <v>4</v>
      </c>
      <c r="AG444" s="1">
        <v>4</v>
      </c>
      <c r="AH444" s="1">
        <v>3</v>
      </c>
      <c r="AI444" s="1">
        <v>3</v>
      </c>
      <c r="AJ444" s="1">
        <v>3</v>
      </c>
      <c r="AK444" s="1">
        <v>2</v>
      </c>
      <c r="AL444" s="1">
        <v>3</v>
      </c>
      <c r="AM444" s="1">
        <v>2</v>
      </c>
      <c r="AN444" s="1">
        <v>2</v>
      </c>
      <c r="AO444" s="1">
        <v>3</v>
      </c>
      <c r="AP444" s="1">
        <v>4</v>
      </c>
      <c r="AQ444" s="1">
        <v>4</v>
      </c>
      <c r="AR444" s="1">
        <v>3</v>
      </c>
      <c r="AS444" s="1">
        <v>2</v>
      </c>
      <c r="AT444" s="1">
        <v>3</v>
      </c>
      <c r="AU444" s="1">
        <v>2</v>
      </c>
      <c r="AV444" s="1">
        <v>3</v>
      </c>
      <c r="AW444" s="1">
        <v>4</v>
      </c>
      <c r="AX444" s="1">
        <v>3</v>
      </c>
      <c r="AY444" s="1">
        <v>3</v>
      </c>
      <c r="AZ444" s="1">
        <v>3</v>
      </c>
      <c r="BA444" s="1">
        <v>3</v>
      </c>
      <c r="BB444" s="1">
        <v>3</v>
      </c>
      <c r="BC444" s="1">
        <v>3</v>
      </c>
    </row>
    <row r="445" spans="1:55">
      <c r="A445" s="1" t="s">
        <v>732</v>
      </c>
      <c r="B445" s="1" t="s">
        <v>489</v>
      </c>
      <c r="C445" s="1" t="s">
        <v>733</v>
      </c>
      <c r="D445" s="1">
        <v>4</v>
      </c>
      <c r="E445" s="1">
        <v>4</v>
      </c>
      <c r="F445" s="1">
        <v>2</v>
      </c>
      <c r="G445" s="1">
        <v>2</v>
      </c>
      <c r="H445" s="1">
        <v>3</v>
      </c>
      <c r="I445" s="1">
        <v>4</v>
      </c>
      <c r="J445" s="1">
        <v>3</v>
      </c>
      <c r="K445" s="1">
        <v>3</v>
      </c>
      <c r="L445" s="1">
        <v>4</v>
      </c>
      <c r="M445" s="1">
        <v>3</v>
      </c>
      <c r="N445" s="1">
        <v>4</v>
      </c>
      <c r="O445" s="1">
        <v>4</v>
      </c>
      <c r="P445" s="1">
        <v>4</v>
      </c>
      <c r="Q445" s="1">
        <v>3</v>
      </c>
      <c r="R445" s="1">
        <v>4</v>
      </c>
      <c r="S445" s="1">
        <v>3</v>
      </c>
      <c r="T445" s="1">
        <v>3</v>
      </c>
      <c r="U445" s="1">
        <v>4</v>
      </c>
      <c r="V445" s="1">
        <v>3</v>
      </c>
      <c r="W445" s="1">
        <v>4</v>
      </c>
      <c r="X445" s="1">
        <v>3</v>
      </c>
      <c r="Y445" s="1">
        <v>5</v>
      </c>
      <c r="Z445" s="1">
        <v>5</v>
      </c>
      <c r="AA445" s="1">
        <v>4</v>
      </c>
      <c r="AB445" s="1">
        <v>4</v>
      </c>
      <c r="AC445" s="1">
        <v>2</v>
      </c>
      <c r="AD445" s="1">
        <v>4</v>
      </c>
      <c r="AE445" s="1">
        <v>3</v>
      </c>
      <c r="AF445" s="1">
        <v>3</v>
      </c>
      <c r="AG445" s="1">
        <v>3</v>
      </c>
      <c r="AH445" s="1">
        <v>3</v>
      </c>
      <c r="AI445" s="1">
        <v>4</v>
      </c>
      <c r="AJ445" s="1">
        <v>3</v>
      </c>
      <c r="AK445" s="1">
        <v>4</v>
      </c>
      <c r="AL445" s="1">
        <v>4</v>
      </c>
      <c r="AM445" s="1">
        <v>3</v>
      </c>
      <c r="AN445" s="1">
        <v>4</v>
      </c>
      <c r="AO445" s="1">
        <v>5</v>
      </c>
      <c r="AP445" s="1">
        <v>5</v>
      </c>
      <c r="AQ445" s="1">
        <v>4</v>
      </c>
      <c r="AR445" s="1">
        <v>4</v>
      </c>
      <c r="AS445" s="1">
        <v>3</v>
      </c>
      <c r="AT445" s="1">
        <v>3</v>
      </c>
      <c r="AU445" s="1">
        <v>3</v>
      </c>
      <c r="AV445" s="1">
        <v>3</v>
      </c>
      <c r="AW445" s="1">
        <v>3</v>
      </c>
      <c r="AX445" s="1">
        <v>4</v>
      </c>
      <c r="AY445" s="1">
        <v>4</v>
      </c>
      <c r="AZ445" s="1">
        <v>5</v>
      </c>
      <c r="BA445" s="1">
        <v>4</v>
      </c>
      <c r="BB445" s="1">
        <v>3</v>
      </c>
      <c r="BC445" s="1">
        <v>2</v>
      </c>
    </row>
    <row r="446" spans="1:55">
      <c r="A446" s="1" t="s">
        <v>734</v>
      </c>
      <c r="B446" s="1" t="s">
        <v>489</v>
      </c>
      <c r="C446" s="1" t="s">
        <v>733</v>
      </c>
      <c r="D446" s="1">
        <v>3</v>
      </c>
      <c r="E446" s="1">
        <v>2</v>
      </c>
      <c r="F446" s="1">
        <v>3</v>
      </c>
      <c r="G446" s="1">
        <v>3</v>
      </c>
      <c r="H446" s="1">
        <v>3</v>
      </c>
      <c r="I446" s="1">
        <v>3</v>
      </c>
      <c r="J446" s="1">
        <v>3</v>
      </c>
      <c r="K446" s="1">
        <v>3</v>
      </c>
      <c r="L446" s="1">
        <v>3</v>
      </c>
      <c r="M446" s="1">
        <v>2</v>
      </c>
      <c r="N446" s="1">
        <v>3</v>
      </c>
      <c r="O446" s="1">
        <v>3</v>
      </c>
      <c r="P446" s="1">
        <v>4</v>
      </c>
      <c r="Q446" s="1">
        <v>3</v>
      </c>
      <c r="R446" s="1">
        <v>3</v>
      </c>
      <c r="S446" s="1">
        <v>2</v>
      </c>
      <c r="T446" s="1">
        <v>2</v>
      </c>
      <c r="U446" s="1">
        <v>4</v>
      </c>
      <c r="V446" s="1">
        <v>4</v>
      </c>
      <c r="W446" s="1">
        <v>3</v>
      </c>
      <c r="X446" s="1">
        <v>3</v>
      </c>
      <c r="Y446" s="1">
        <v>3</v>
      </c>
      <c r="Z446" s="1">
        <v>4</v>
      </c>
      <c r="AA446" s="1">
        <v>3</v>
      </c>
      <c r="AB446" s="1">
        <v>4</v>
      </c>
      <c r="AC446" s="1">
        <v>4</v>
      </c>
      <c r="AD446" s="1">
        <v>3</v>
      </c>
      <c r="AE446" s="1">
        <v>3</v>
      </c>
      <c r="AF446" s="1">
        <v>3</v>
      </c>
      <c r="AG446" s="1">
        <v>2</v>
      </c>
      <c r="AH446" s="1">
        <v>3</v>
      </c>
      <c r="AI446" s="1">
        <v>3</v>
      </c>
      <c r="AJ446" s="1">
        <v>3</v>
      </c>
      <c r="AK446" s="1">
        <v>4</v>
      </c>
      <c r="AL446" s="1">
        <v>2</v>
      </c>
      <c r="AM446" s="1">
        <v>3</v>
      </c>
      <c r="AN446" s="1">
        <v>3</v>
      </c>
      <c r="AO446" s="1">
        <v>3</v>
      </c>
      <c r="AP446" s="1">
        <v>2</v>
      </c>
      <c r="AQ446" s="1">
        <v>3</v>
      </c>
      <c r="AR446" s="1">
        <v>3</v>
      </c>
      <c r="AS446" s="1">
        <v>3</v>
      </c>
      <c r="AT446" s="1">
        <v>3</v>
      </c>
      <c r="AU446" s="1">
        <v>2</v>
      </c>
      <c r="AV446" s="1">
        <v>3</v>
      </c>
      <c r="AW446" s="1">
        <v>4</v>
      </c>
      <c r="AX446" s="1">
        <v>3</v>
      </c>
      <c r="AY446" s="1">
        <v>4</v>
      </c>
      <c r="AZ446" s="1">
        <v>3</v>
      </c>
      <c r="BA446" s="1">
        <v>3</v>
      </c>
      <c r="BB446" s="1">
        <v>5</v>
      </c>
      <c r="BC446" s="1">
        <v>2</v>
      </c>
    </row>
    <row r="447" spans="1:55">
      <c r="A447" s="1" t="s">
        <v>735</v>
      </c>
      <c r="B447" s="1" t="s">
        <v>489</v>
      </c>
      <c r="C447" s="1" t="s">
        <v>736</v>
      </c>
      <c r="D447" s="1">
        <v>3</v>
      </c>
      <c r="E447" s="1">
        <v>3</v>
      </c>
      <c r="F447" s="1">
        <v>3</v>
      </c>
      <c r="G447" s="1">
        <v>2</v>
      </c>
      <c r="H447" s="1">
        <v>2</v>
      </c>
      <c r="I447" s="1">
        <v>3</v>
      </c>
      <c r="J447" s="1">
        <v>4</v>
      </c>
      <c r="K447" s="1">
        <v>4</v>
      </c>
      <c r="L447" s="1">
        <v>3</v>
      </c>
      <c r="M447" s="1">
        <v>4</v>
      </c>
      <c r="N447" s="1">
        <v>2</v>
      </c>
      <c r="O447" s="1">
        <v>4</v>
      </c>
      <c r="P447" s="1">
        <v>4</v>
      </c>
      <c r="Q447" s="1">
        <v>4</v>
      </c>
      <c r="R447" s="1">
        <v>4</v>
      </c>
      <c r="S447" s="1">
        <v>3</v>
      </c>
      <c r="T447" s="1">
        <v>4</v>
      </c>
      <c r="U447" s="1">
        <v>3</v>
      </c>
      <c r="V447" s="1">
        <v>3</v>
      </c>
      <c r="W447" s="1">
        <v>3</v>
      </c>
      <c r="X447" s="1">
        <v>3</v>
      </c>
      <c r="Y447" s="1">
        <v>3</v>
      </c>
      <c r="Z447" s="1">
        <v>4</v>
      </c>
      <c r="AA447" s="1">
        <v>4</v>
      </c>
      <c r="AB447" s="1">
        <v>3</v>
      </c>
      <c r="AC447" s="1">
        <v>3</v>
      </c>
      <c r="AD447" s="1">
        <v>4</v>
      </c>
      <c r="AE447" s="1">
        <v>3</v>
      </c>
      <c r="AF447" s="1">
        <v>2</v>
      </c>
      <c r="AG447" s="1">
        <v>2</v>
      </c>
      <c r="AH447" s="1">
        <v>4</v>
      </c>
      <c r="AI447" s="1">
        <v>3</v>
      </c>
      <c r="AJ447" s="1">
        <v>3</v>
      </c>
      <c r="AK447" s="1">
        <v>4</v>
      </c>
      <c r="AL447" s="1">
        <v>5</v>
      </c>
      <c r="AM447" s="1">
        <v>4</v>
      </c>
      <c r="AN447" s="1">
        <v>4</v>
      </c>
      <c r="AO447" s="1">
        <v>3</v>
      </c>
      <c r="AP447" s="1">
        <v>4</v>
      </c>
      <c r="AQ447" s="1">
        <v>4</v>
      </c>
      <c r="AR447" s="1">
        <v>3</v>
      </c>
      <c r="AS447" s="1">
        <v>4</v>
      </c>
      <c r="AT447" s="1">
        <v>3</v>
      </c>
      <c r="AU447" s="1">
        <v>4</v>
      </c>
      <c r="AV447" s="1">
        <v>4</v>
      </c>
      <c r="AW447" s="1">
        <v>4</v>
      </c>
      <c r="AX447" s="1">
        <v>4</v>
      </c>
      <c r="AY447" s="1">
        <v>4</v>
      </c>
      <c r="AZ447" s="1">
        <v>4</v>
      </c>
      <c r="BA447" s="1">
        <v>3</v>
      </c>
      <c r="BB447" s="1">
        <v>3</v>
      </c>
      <c r="BC447" s="1">
        <v>3</v>
      </c>
    </row>
    <row r="448" spans="1:55">
      <c r="A448" s="1" t="s">
        <v>737</v>
      </c>
      <c r="B448" s="1" t="s">
        <v>489</v>
      </c>
      <c r="C448" s="1" t="s">
        <v>736</v>
      </c>
      <c r="D448" s="1">
        <v>4</v>
      </c>
      <c r="E448" s="1">
        <v>3</v>
      </c>
      <c r="F448" s="1">
        <v>3</v>
      </c>
      <c r="G448" s="1">
        <v>2</v>
      </c>
      <c r="H448" s="1">
        <v>3</v>
      </c>
      <c r="I448" s="1">
        <v>4</v>
      </c>
      <c r="J448" s="1">
        <v>3</v>
      </c>
      <c r="K448" s="1">
        <v>3</v>
      </c>
      <c r="L448" s="1">
        <v>4</v>
      </c>
      <c r="M448" s="1">
        <v>3</v>
      </c>
      <c r="N448" s="1">
        <v>3</v>
      </c>
      <c r="O448" s="1">
        <v>3</v>
      </c>
      <c r="P448" s="1">
        <v>4</v>
      </c>
      <c r="Q448" s="1">
        <v>4</v>
      </c>
      <c r="R448" s="1">
        <v>3</v>
      </c>
      <c r="S448" s="1">
        <v>3</v>
      </c>
      <c r="T448" s="1">
        <v>2</v>
      </c>
      <c r="U448" s="1">
        <v>3</v>
      </c>
      <c r="V448" s="1">
        <v>5</v>
      </c>
      <c r="W448" s="1">
        <v>3</v>
      </c>
      <c r="X448" s="1">
        <v>3</v>
      </c>
      <c r="Y448" s="1">
        <v>2</v>
      </c>
      <c r="Z448" s="1">
        <v>4</v>
      </c>
      <c r="AA448" s="1">
        <v>3</v>
      </c>
      <c r="AB448" s="1">
        <v>4</v>
      </c>
      <c r="AC448" s="1">
        <v>2</v>
      </c>
      <c r="AD448" s="1">
        <v>4</v>
      </c>
      <c r="AE448" s="1">
        <v>4</v>
      </c>
      <c r="AF448" s="1">
        <v>4</v>
      </c>
      <c r="AG448" s="1">
        <v>3</v>
      </c>
      <c r="AH448" s="1">
        <v>4</v>
      </c>
      <c r="AI448" s="1">
        <v>4</v>
      </c>
      <c r="AJ448" s="1">
        <v>3</v>
      </c>
      <c r="AK448" s="1">
        <v>4</v>
      </c>
      <c r="AL448" s="1">
        <v>5</v>
      </c>
      <c r="AM448" s="1">
        <v>3</v>
      </c>
      <c r="AN448" s="1">
        <v>4</v>
      </c>
      <c r="AO448" s="1">
        <v>4</v>
      </c>
      <c r="AP448" s="1">
        <v>2</v>
      </c>
      <c r="AQ448" s="1">
        <v>4</v>
      </c>
      <c r="AR448" s="1">
        <v>3</v>
      </c>
      <c r="AS448" s="1">
        <v>3</v>
      </c>
      <c r="AT448" s="1">
        <v>3</v>
      </c>
      <c r="AU448" s="1">
        <v>3</v>
      </c>
      <c r="AV448" s="1">
        <v>3</v>
      </c>
      <c r="AW448" s="1">
        <v>2</v>
      </c>
      <c r="AX448" s="1">
        <v>3</v>
      </c>
      <c r="AY448" s="1">
        <v>3</v>
      </c>
      <c r="AZ448" s="1">
        <v>3</v>
      </c>
      <c r="BA448" s="1">
        <v>5</v>
      </c>
      <c r="BB448" s="1">
        <v>4</v>
      </c>
      <c r="BC448" s="1">
        <v>2</v>
      </c>
    </row>
    <row r="449" spans="1:55">
      <c r="A449" s="1" t="s">
        <v>738</v>
      </c>
      <c r="B449" s="1" t="s">
        <v>489</v>
      </c>
      <c r="C449" s="1" t="s">
        <v>739</v>
      </c>
      <c r="D449" s="1">
        <v>3</v>
      </c>
      <c r="E449" s="1">
        <v>4</v>
      </c>
      <c r="F449" s="1">
        <v>2</v>
      </c>
      <c r="G449" s="1">
        <v>3</v>
      </c>
      <c r="H449" s="1">
        <v>3</v>
      </c>
      <c r="I449" s="1">
        <v>3</v>
      </c>
      <c r="J449" s="1">
        <v>3</v>
      </c>
      <c r="K449" s="1">
        <v>3</v>
      </c>
      <c r="L449" s="1">
        <v>3</v>
      </c>
      <c r="M449" s="1">
        <v>3</v>
      </c>
      <c r="N449" s="1">
        <v>3</v>
      </c>
      <c r="O449" s="1">
        <v>3</v>
      </c>
      <c r="P449" s="1">
        <v>3</v>
      </c>
      <c r="Q449" s="1">
        <v>3</v>
      </c>
      <c r="R449" s="1">
        <v>3</v>
      </c>
      <c r="S449" s="1">
        <v>4</v>
      </c>
      <c r="T449" s="1">
        <v>4</v>
      </c>
      <c r="U449" s="1">
        <v>3</v>
      </c>
      <c r="V449" s="1">
        <v>4</v>
      </c>
      <c r="W449" s="1">
        <v>2</v>
      </c>
      <c r="X449" s="1">
        <v>2</v>
      </c>
      <c r="Y449" s="1">
        <v>3</v>
      </c>
      <c r="Z449" s="1">
        <v>3</v>
      </c>
      <c r="AA449" s="1">
        <v>4</v>
      </c>
      <c r="AB449" s="1">
        <v>3</v>
      </c>
      <c r="AC449" s="1">
        <v>4</v>
      </c>
      <c r="AD449" s="1">
        <v>3</v>
      </c>
      <c r="AE449" s="1">
        <v>3</v>
      </c>
      <c r="AF449" s="1">
        <v>2</v>
      </c>
      <c r="AG449" s="1">
        <v>4</v>
      </c>
      <c r="AH449" s="1">
        <v>3</v>
      </c>
      <c r="AI449" s="1">
        <v>3</v>
      </c>
      <c r="AJ449" s="1">
        <v>2</v>
      </c>
      <c r="AK449" s="1">
        <v>3</v>
      </c>
      <c r="AL449" s="1">
        <v>4</v>
      </c>
      <c r="AM449" s="1">
        <v>3</v>
      </c>
      <c r="AN449" s="1">
        <v>4</v>
      </c>
      <c r="AO449" s="1">
        <v>3</v>
      </c>
      <c r="AP449" s="1">
        <v>4</v>
      </c>
      <c r="AQ449" s="1">
        <v>3</v>
      </c>
      <c r="AR449" s="1">
        <v>5</v>
      </c>
      <c r="AS449" s="1">
        <v>3</v>
      </c>
      <c r="AT449" s="1">
        <v>4</v>
      </c>
      <c r="AU449" s="1">
        <v>3</v>
      </c>
      <c r="AV449" s="1">
        <v>3</v>
      </c>
      <c r="AW449" s="1">
        <v>2</v>
      </c>
      <c r="AX449" s="1">
        <v>1</v>
      </c>
      <c r="AY449" s="1">
        <v>1</v>
      </c>
      <c r="AZ449" s="1">
        <v>3</v>
      </c>
      <c r="BA449" s="1">
        <v>4</v>
      </c>
      <c r="BB449" s="1">
        <v>3</v>
      </c>
      <c r="BC449" s="1">
        <v>4</v>
      </c>
    </row>
    <row r="450" spans="1:55">
      <c r="A450" s="1" t="s">
        <v>740</v>
      </c>
      <c r="B450" s="1" t="s">
        <v>489</v>
      </c>
      <c r="C450" s="1" t="s">
        <v>739</v>
      </c>
      <c r="D450" s="1">
        <v>4</v>
      </c>
      <c r="E450" s="1">
        <v>4</v>
      </c>
      <c r="F450" s="1">
        <v>4</v>
      </c>
      <c r="G450" s="1">
        <v>4</v>
      </c>
      <c r="H450" s="1">
        <v>5</v>
      </c>
      <c r="I450" s="1">
        <v>4</v>
      </c>
      <c r="J450" s="1">
        <v>4</v>
      </c>
      <c r="K450" s="1">
        <v>2</v>
      </c>
      <c r="L450" s="1">
        <v>3</v>
      </c>
      <c r="M450" s="1">
        <v>3</v>
      </c>
      <c r="N450" s="1">
        <v>4</v>
      </c>
      <c r="O450" s="1">
        <v>2</v>
      </c>
      <c r="P450" s="1">
        <v>4</v>
      </c>
      <c r="Q450" s="1">
        <v>3</v>
      </c>
      <c r="R450" s="1">
        <v>3</v>
      </c>
      <c r="S450" s="1">
        <v>5</v>
      </c>
      <c r="T450" s="1">
        <v>4</v>
      </c>
      <c r="U450" s="1">
        <v>3</v>
      </c>
      <c r="V450" s="1">
        <v>3</v>
      </c>
      <c r="W450" s="1">
        <v>4</v>
      </c>
      <c r="X450" s="1">
        <v>3</v>
      </c>
      <c r="Y450" s="1">
        <v>3</v>
      </c>
      <c r="Z450" s="1">
        <v>4</v>
      </c>
      <c r="AA450" s="1">
        <v>3</v>
      </c>
      <c r="AB450" s="1">
        <v>3</v>
      </c>
      <c r="AC450" s="1">
        <v>2</v>
      </c>
      <c r="AD450" s="1">
        <v>2</v>
      </c>
      <c r="AE450" s="1">
        <v>2</v>
      </c>
      <c r="AF450" s="1">
        <v>3</v>
      </c>
      <c r="AG450" s="1">
        <v>3</v>
      </c>
      <c r="AH450" s="1">
        <v>4</v>
      </c>
      <c r="AI450" s="1">
        <v>4</v>
      </c>
      <c r="AJ450" s="1">
        <v>3</v>
      </c>
      <c r="AK450" s="1">
        <v>2</v>
      </c>
      <c r="AL450" s="1">
        <v>4</v>
      </c>
      <c r="AM450" s="1">
        <v>4</v>
      </c>
      <c r="AN450" s="1">
        <v>4</v>
      </c>
      <c r="AO450" s="1">
        <v>3</v>
      </c>
      <c r="AP450" s="1">
        <v>4</v>
      </c>
      <c r="AQ450" s="1">
        <v>3</v>
      </c>
      <c r="AR450" s="1">
        <v>3</v>
      </c>
      <c r="AS450" s="1">
        <v>3</v>
      </c>
      <c r="AT450" s="1">
        <v>3</v>
      </c>
      <c r="AU450" s="1">
        <v>3</v>
      </c>
      <c r="AV450" s="1">
        <v>4</v>
      </c>
      <c r="AW450" s="1">
        <v>4</v>
      </c>
      <c r="AX450" s="1">
        <v>3</v>
      </c>
      <c r="AY450" s="1">
        <v>3</v>
      </c>
      <c r="AZ450" s="1">
        <v>4</v>
      </c>
      <c r="BA450" s="1">
        <v>4</v>
      </c>
      <c r="BB450" s="1">
        <v>3</v>
      </c>
      <c r="BC450" s="1">
        <v>3</v>
      </c>
    </row>
    <row r="451" spans="1:55">
      <c r="A451" s="1" t="s">
        <v>741</v>
      </c>
      <c r="B451" s="1" t="s">
        <v>489</v>
      </c>
      <c r="C451" s="1" t="s">
        <v>742</v>
      </c>
      <c r="D451" s="1">
        <v>3</v>
      </c>
      <c r="E451" s="1">
        <v>4</v>
      </c>
      <c r="F451" s="1">
        <v>2</v>
      </c>
      <c r="G451" s="1">
        <v>1</v>
      </c>
      <c r="H451" s="1">
        <v>4</v>
      </c>
      <c r="I451" s="1">
        <v>3</v>
      </c>
      <c r="J451" s="1">
        <v>4</v>
      </c>
      <c r="K451" s="1">
        <v>4</v>
      </c>
      <c r="L451" s="1">
        <v>3</v>
      </c>
      <c r="M451" s="1">
        <v>4</v>
      </c>
      <c r="N451" s="1">
        <v>3</v>
      </c>
      <c r="O451" s="1">
        <v>3</v>
      </c>
      <c r="P451" s="1">
        <v>4</v>
      </c>
      <c r="Q451" s="1">
        <v>4</v>
      </c>
      <c r="R451" s="1">
        <v>4</v>
      </c>
      <c r="S451" s="1">
        <v>5</v>
      </c>
      <c r="T451" s="1">
        <v>4</v>
      </c>
      <c r="U451" s="1">
        <v>4</v>
      </c>
      <c r="V451" s="1">
        <v>3</v>
      </c>
      <c r="W451" s="1">
        <v>3</v>
      </c>
      <c r="X451" s="1">
        <v>2</v>
      </c>
      <c r="Y451" s="1">
        <v>3</v>
      </c>
      <c r="Z451" s="1">
        <v>4</v>
      </c>
      <c r="AA451" s="1">
        <v>4</v>
      </c>
      <c r="AB451" s="1">
        <v>4</v>
      </c>
      <c r="AC451" s="1">
        <v>3</v>
      </c>
      <c r="AD451" s="1">
        <v>4</v>
      </c>
      <c r="AE451" s="1">
        <v>4</v>
      </c>
      <c r="AF451" s="1">
        <v>2</v>
      </c>
      <c r="AG451" s="1">
        <v>2</v>
      </c>
      <c r="AH451" s="1">
        <v>3</v>
      </c>
      <c r="AI451" s="1">
        <v>4</v>
      </c>
      <c r="AJ451" s="1">
        <v>4</v>
      </c>
      <c r="AK451" s="1">
        <v>3</v>
      </c>
      <c r="AL451" s="1">
        <v>3</v>
      </c>
      <c r="AM451" s="1">
        <v>4</v>
      </c>
      <c r="AN451" s="1">
        <v>3</v>
      </c>
      <c r="AO451" s="1">
        <v>4</v>
      </c>
      <c r="AP451" s="1">
        <v>4</v>
      </c>
      <c r="AQ451" s="1">
        <v>3</v>
      </c>
      <c r="AR451" s="1">
        <v>4</v>
      </c>
      <c r="AS451" s="1">
        <v>4</v>
      </c>
      <c r="AT451" s="1">
        <v>5</v>
      </c>
      <c r="AU451" s="1">
        <v>4</v>
      </c>
      <c r="AV451" s="1">
        <v>3</v>
      </c>
      <c r="AW451" s="1">
        <v>2</v>
      </c>
      <c r="AX451" s="1">
        <v>3</v>
      </c>
      <c r="AY451" s="1">
        <v>3</v>
      </c>
      <c r="AZ451" s="1">
        <v>5</v>
      </c>
      <c r="BA451" s="1">
        <v>4</v>
      </c>
      <c r="BB451" s="1">
        <v>4</v>
      </c>
      <c r="BC451" s="1">
        <v>4</v>
      </c>
    </row>
    <row r="452" spans="1:55">
      <c r="A452" s="1" t="s">
        <v>743</v>
      </c>
      <c r="B452" s="1" t="s">
        <v>489</v>
      </c>
      <c r="C452" s="1" t="s">
        <v>742</v>
      </c>
      <c r="D452" s="1">
        <v>3</v>
      </c>
      <c r="E452" s="1">
        <v>3</v>
      </c>
      <c r="F452" s="1">
        <v>3</v>
      </c>
      <c r="G452" s="1">
        <v>3</v>
      </c>
      <c r="H452" s="1">
        <v>3</v>
      </c>
      <c r="I452" s="1">
        <v>5</v>
      </c>
      <c r="J452" s="1">
        <v>4</v>
      </c>
      <c r="K452" s="1">
        <v>4</v>
      </c>
      <c r="L452" s="1">
        <v>4</v>
      </c>
      <c r="M452" s="1">
        <v>3</v>
      </c>
      <c r="N452" s="1">
        <v>3</v>
      </c>
      <c r="O452" s="1">
        <v>3</v>
      </c>
      <c r="P452" s="1">
        <v>3</v>
      </c>
      <c r="Q452" s="1">
        <v>3</v>
      </c>
      <c r="R452" s="1">
        <v>3</v>
      </c>
      <c r="S452" s="1">
        <v>2</v>
      </c>
      <c r="T452" s="1">
        <v>3</v>
      </c>
      <c r="U452" s="1">
        <v>3</v>
      </c>
      <c r="V452" s="1">
        <v>3</v>
      </c>
      <c r="W452" s="1">
        <v>3</v>
      </c>
      <c r="X452" s="1">
        <v>2</v>
      </c>
      <c r="Y452" s="1">
        <v>2</v>
      </c>
      <c r="Z452" s="1">
        <v>3</v>
      </c>
      <c r="AA452" s="1">
        <v>3</v>
      </c>
      <c r="AB452" s="1">
        <v>3</v>
      </c>
      <c r="AC452" s="1">
        <v>2</v>
      </c>
      <c r="AD452" s="1">
        <v>3</v>
      </c>
      <c r="AE452" s="1">
        <v>3</v>
      </c>
      <c r="AF452" s="1">
        <v>3</v>
      </c>
      <c r="AG452" s="1">
        <v>3</v>
      </c>
      <c r="AH452" s="1">
        <v>4</v>
      </c>
      <c r="AI452" s="1">
        <v>4</v>
      </c>
      <c r="AJ452" s="1">
        <v>4</v>
      </c>
      <c r="AK452" s="1">
        <v>4</v>
      </c>
      <c r="AL452" s="1">
        <v>3</v>
      </c>
      <c r="AM452" s="1">
        <v>3</v>
      </c>
      <c r="AN452" s="1">
        <v>3</v>
      </c>
      <c r="AO452" s="1">
        <v>3</v>
      </c>
      <c r="AP452" s="1">
        <v>4</v>
      </c>
      <c r="AQ452" s="1">
        <v>4</v>
      </c>
      <c r="AR452" s="1">
        <v>4</v>
      </c>
      <c r="AS452" s="1">
        <v>4</v>
      </c>
      <c r="AT452" s="1">
        <v>3</v>
      </c>
      <c r="AU452" s="1">
        <v>2</v>
      </c>
      <c r="AV452" s="1">
        <v>4</v>
      </c>
      <c r="AW452" s="1">
        <v>3</v>
      </c>
      <c r="AX452" s="1">
        <v>2</v>
      </c>
      <c r="AY452" s="1">
        <v>3</v>
      </c>
      <c r="AZ452" s="1">
        <v>4</v>
      </c>
      <c r="BA452" s="1">
        <v>3</v>
      </c>
      <c r="BB452" s="1">
        <v>4</v>
      </c>
      <c r="BC452" s="1">
        <v>2</v>
      </c>
    </row>
    <row r="453" spans="1:55">
      <c r="A453" s="1" t="s">
        <v>744</v>
      </c>
      <c r="B453" s="1" t="s">
        <v>489</v>
      </c>
      <c r="C453" s="1" t="s">
        <v>745</v>
      </c>
      <c r="D453" s="1">
        <v>4</v>
      </c>
      <c r="E453" s="1">
        <v>3</v>
      </c>
      <c r="F453" s="1">
        <v>3</v>
      </c>
      <c r="G453" s="1">
        <v>3</v>
      </c>
      <c r="H453" s="1">
        <v>4</v>
      </c>
      <c r="I453" s="1">
        <v>4</v>
      </c>
      <c r="J453" s="1">
        <v>4</v>
      </c>
      <c r="K453" s="1">
        <v>4</v>
      </c>
      <c r="L453" s="1">
        <v>4</v>
      </c>
      <c r="M453" s="1">
        <v>4</v>
      </c>
      <c r="N453" s="1">
        <v>4</v>
      </c>
      <c r="O453" s="1">
        <v>4</v>
      </c>
      <c r="P453" s="1">
        <v>3</v>
      </c>
      <c r="Q453" s="1">
        <v>4</v>
      </c>
      <c r="R453" s="1">
        <v>2</v>
      </c>
      <c r="S453" s="1">
        <v>3</v>
      </c>
      <c r="T453" s="1">
        <v>3</v>
      </c>
      <c r="U453" s="1">
        <v>3</v>
      </c>
      <c r="V453" s="1">
        <v>4</v>
      </c>
      <c r="W453" s="1">
        <v>4</v>
      </c>
      <c r="X453" s="1">
        <v>4</v>
      </c>
      <c r="Y453" s="1">
        <v>3</v>
      </c>
      <c r="Z453" s="1">
        <v>5</v>
      </c>
      <c r="AA453" s="1">
        <v>4</v>
      </c>
      <c r="AB453" s="1">
        <v>4</v>
      </c>
      <c r="AC453" s="1">
        <v>2</v>
      </c>
      <c r="AD453" s="1">
        <v>3</v>
      </c>
      <c r="AE453" s="1">
        <v>3</v>
      </c>
      <c r="AF453" s="1">
        <v>3</v>
      </c>
      <c r="AG453" s="1">
        <v>2</v>
      </c>
      <c r="AH453" s="1">
        <v>4</v>
      </c>
      <c r="AI453" s="1">
        <v>3</v>
      </c>
      <c r="AJ453" s="1">
        <v>3</v>
      </c>
      <c r="AK453" s="1">
        <v>5</v>
      </c>
      <c r="AL453" s="1">
        <v>4</v>
      </c>
      <c r="AM453" s="1">
        <v>3</v>
      </c>
      <c r="AN453" s="1">
        <v>5</v>
      </c>
      <c r="AO453" s="1">
        <v>4</v>
      </c>
      <c r="AP453" s="1">
        <v>5</v>
      </c>
      <c r="AQ453" s="1">
        <v>3</v>
      </c>
      <c r="AR453" s="1">
        <v>3</v>
      </c>
      <c r="AS453" s="1">
        <v>2</v>
      </c>
      <c r="AT453" s="1">
        <v>3</v>
      </c>
      <c r="AU453" s="1">
        <v>2</v>
      </c>
      <c r="AV453" s="1">
        <v>4</v>
      </c>
      <c r="AW453" s="1">
        <v>2</v>
      </c>
      <c r="AX453" s="1">
        <v>3</v>
      </c>
      <c r="AY453" s="1">
        <v>3</v>
      </c>
      <c r="AZ453" s="1">
        <v>4</v>
      </c>
      <c r="BA453" s="1">
        <v>4</v>
      </c>
      <c r="BB453" s="1">
        <v>4</v>
      </c>
      <c r="BC453" s="1">
        <v>3</v>
      </c>
    </row>
    <row r="454" spans="1:55">
      <c r="A454" s="1" t="s">
        <v>746</v>
      </c>
      <c r="B454" s="1" t="s">
        <v>489</v>
      </c>
      <c r="C454" s="1" t="s">
        <v>745</v>
      </c>
      <c r="D454" s="1">
        <v>3</v>
      </c>
      <c r="E454" s="1">
        <v>3</v>
      </c>
      <c r="F454" s="1">
        <v>3</v>
      </c>
      <c r="G454" s="1">
        <v>2</v>
      </c>
      <c r="H454" s="1">
        <v>4</v>
      </c>
      <c r="I454" s="1">
        <v>1</v>
      </c>
      <c r="J454" s="1">
        <v>4</v>
      </c>
      <c r="K454" s="1">
        <v>4</v>
      </c>
      <c r="L454" s="1">
        <v>3</v>
      </c>
      <c r="M454" s="1">
        <v>3</v>
      </c>
      <c r="N454" s="1">
        <v>2</v>
      </c>
      <c r="O454" s="1">
        <v>3</v>
      </c>
      <c r="P454" s="1">
        <v>2</v>
      </c>
      <c r="Q454" s="1">
        <v>3</v>
      </c>
      <c r="R454" s="1">
        <v>3</v>
      </c>
      <c r="S454" s="1">
        <v>3</v>
      </c>
      <c r="T454" s="1">
        <v>4</v>
      </c>
      <c r="U454" s="1">
        <v>3</v>
      </c>
      <c r="V454" s="1">
        <v>3</v>
      </c>
      <c r="W454" s="1">
        <v>3</v>
      </c>
      <c r="X454" s="1">
        <v>3</v>
      </c>
      <c r="Y454" s="1">
        <v>4</v>
      </c>
      <c r="Z454" s="1">
        <v>3</v>
      </c>
      <c r="AA454" s="1">
        <v>4</v>
      </c>
      <c r="AB454" s="1">
        <v>3</v>
      </c>
      <c r="AC454" s="1">
        <v>3</v>
      </c>
      <c r="AD454" s="1">
        <v>3</v>
      </c>
      <c r="AE454" s="1">
        <v>3</v>
      </c>
      <c r="AF454" s="1">
        <v>3</v>
      </c>
      <c r="AG454" s="1">
        <v>3</v>
      </c>
      <c r="AH454" s="1">
        <v>3</v>
      </c>
      <c r="AI454" s="1">
        <v>3</v>
      </c>
      <c r="AJ454" s="1">
        <v>3</v>
      </c>
      <c r="AK454" s="1">
        <v>3</v>
      </c>
      <c r="AL454" s="1">
        <v>3</v>
      </c>
      <c r="AM454" s="1">
        <v>2</v>
      </c>
      <c r="AN454" s="1">
        <v>2</v>
      </c>
      <c r="AO454" s="1">
        <v>3</v>
      </c>
      <c r="AP454" s="1">
        <v>3</v>
      </c>
      <c r="AQ454" s="1">
        <v>2</v>
      </c>
      <c r="AR454" s="1">
        <v>3</v>
      </c>
      <c r="AS454" s="1">
        <v>3</v>
      </c>
      <c r="AT454" s="1">
        <v>3</v>
      </c>
      <c r="AU454" s="1">
        <v>4</v>
      </c>
      <c r="AV454" s="1">
        <v>3</v>
      </c>
      <c r="AW454" s="1">
        <v>4</v>
      </c>
      <c r="AX454" s="1">
        <v>3</v>
      </c>
      <c r="AY454" s="1">
        <v>3</v>
      </c>
      <c r="AZ454" s="1">
        <v>3</v>
      </c>
      <c r="BA454" s="1">
        <v>3</v>
      </c>
      <c r="BB454" s="1">
        <v>3</v>
      </c>
      <c r="BC454" s="1">
        <v>3</v>
      </c>
    </row>
    <row r="455" spans="1:55">
      <c r="A455" s="1" t="s">
        <v>747</v>
      </c>
      <c r="B455" s="1" t="s">
        <v>489</v>
      </c>
      <c r="C455" s="1" t="s">
        <v>748</v>
      </c>
      <c r="D455" s="1">
        <v>4</v>
      </c>
      <c r="E455" s="1">
        <v>4</v>
      </c>
      <c r="F455" s="1">
        <v>1</v>
      </c>
      <c r="G455" s="1">
        <v>3</v>
      </c>
      <c r="H455" s="1">
        <v>3</v>
      </c>
      <c r="I455" s="1">
        <v>3</v>
      </c>
      <c r="J455" s="1">
        <v>4</v>
      </c>
      <c r="K455" s="1">
        <v>3</v>
      </c>
      <c r="L455" s="1">
        <v>3</v>
      </c>
      <c r="M455" s="1">
        <v>4</v>
      </c>
      <c r="N455" s="1">
        <v>3</v>
      </c>
      <c r="O455" s="1">
        <v>3</v>
      </c>
      <c r="P455" s="1">
        <v>3</v>
      </c>
      <c r="Q455" s="1">
        <v>4</v>
      </c>
      <c r="R455" s="1">
        <v>5</v>
      </c>
      <c r="S455" s="1">
        <v>4</v>
      </c>
      <c r="T455" s="1">
        <v>4</v>
      </c>
      <c r="U455" s="1">
        <v>4</v>
      </c>
      <c r="V455" s="1">
        <v>3</v>
      </c>
      <c r="W455" s="1">
        <v>2</v>
      </c>
      <c r="X455" s="1">
        <v>2</v>
      </c>
      <c r="Y455" s="1">
        <v>2</v>
      </c>
      <c r="Z455" s="1">
        <v>3</v>
      </c>
      <c r="AA455" s="1">
        <v>3</v>
      </c>
      <c r="AB455" s="1">
        <v>3</v>
      </c>
      <c r="AC455" s="1">
        <v>2</v>
      </c>
      <c r="AD455" s="1">
        <v>4</v>
      </c>
      <c r="AE455" s="1">
        <v>4</v>
      </c>
      <c r="AF455" s="1">
        <v>3</v>
      </c>
      <c r="AG455" s="1">
        <v>4</v>
      </c>
      <c r="AH455" s="1">
        <v>4</v>
      </c>
      <c r="AI455" s="1">
        <v>3</v>
      </c>
      <c r="AJ455" s="1">
        <v>4</v>
      </c>
      <c r="AK455" s="1">
        <v>3</v>
      </c>
      <c r="AL455" s="1">
        <v>3</v>
      </c>
      <c r="AM455" s="1">
        <v>2</v>
      </c>
      <c r="AN455" s="1">
        <v>4</v>
      </c>
      <c r="AO455" s="1">
        <v>4</v>
      </c>
      <c r="AP455" s="1">
        <v>3</v>
      </c>
      <c r="AQ455" s="1">
        <v>2</v>
      </c>
      <c r="AR455" s="1">
        <v>4</v>
      </c>
      <c r="AS455" s="1">
        <v>3</v>
      </c>
      <c r="AT455" s="1">
        <v>3</v>
      </c>
      <c r="AU455" s="1">
        <v>4</v>
      </c>
      <c r="AV455" s="1">
        <v>2</v>
      </c>
      <c r="AW455" s="1">
        <v>3</v>
      </c>
      <c r="AX455" s="1">
        <v>3</v>
      </c>
      <c r="AY455" s="1">
        <v>3</v>
      </c>
      <c r="AZ455" s="1">
        <v>3</v>
      </c>
      <c r="BA455" s="1">
        <v>3</v>
      </c>
      <c r="BB455" s="1">
        <v>3</v>
      </c>
      <c r="BC455" s="1">
        <v>2</v>
      </c>
    </row>
    <row r="456" spans="1:55">
      <c r="A456" s="1" t="s">
        <v>749</v>
      </c>
      <c r="B456" s="1" t="s">
        <v>489</v>
      </c>
      <c r="C456" s="1" t="s">
        <v>748</v>
      </c>
      <c r="D456" s="1">
        <v>2</v>
      </c>
      <c r="E456" s="1">
        <v>3</v>
      </c>
      <c r="F456" s="1">
        <v>2</v>
      </c>
      <c r="G456" s="1">
        <v>3</v>
      </c>
      <c r="H456" s="1">
        <v>2</v>
      </c>
      <c r="I456" s="1">
        <v>1</v>
      </c>
      <c r="J456" s="1">
        <v>2</v>
      </c>
      <c r="K456" s="1">
        <v>4</v>
      </c>
      <c r="L456" s="1">
        <v>3</v>
      </c>
      <c r="M456" s="1">
        <v>2</v>
      </c>
      <c r="N456" s="1">
        <v>1</v>
      </c>
      <c r="O456" s="1">
        <v>3</v>
      </c>
      <c r="P456" s="1">
        <v>3</v>
      </c>
      <c r="Q456" s="1">
        <v>4</v>
      </c>
      <c r="R456" s="1">
        <v>2</v>
      </c>
      <c r="S456" s="1">
        <v>3</v>
      </c>
      <c r="T456" s="1">
        <v>2</v>
      </c>
      <c r="U456" s="1">
        <v>3</v>
      </c>
      <c r="V456" s="1">
        <v>1</v>
      </c>
      <c r="W456" s="1">
        <v>2</v>
      </c>
      <c r="X456" s="1">
        <v>2</v>
      </c>
      <c r="Y456" s="1">
        <v>2</v>
      </c>
      <c r="Z456" s="1">
        <v>3</v>
      </c>
      <c r="AA456" s="1">
        <v>3</v>
      </c>
      <c r="AB456" s="1">
        <v>3</v>
      </c>
      <c r="AC456" s="1">
        <v>3</v>
      </c>
      <c r="AD456" s="1">
        <v>2</v>
      </c>
      <c r="AE456" s="1">
        <v>4</v>
      </c>
      <c r="AF456" s="1">
        <v>3</v>
      </c>
      <c r="AG456" s="1">
        <v>3</v>
      </c>
      <c r="AH456" s="1">
        <v>3</v>
      </c>
      <c r="AI456" s="1">
        <v>3</v>
      </c>
      <c r="AJ456" s="1">
        <v>2</v>
      </c>
      <c r="AK456" s="1">
        <v>3</v>
      </c>
      <c r="AL456" s="1">
        <v>3</v>
      </c>
      <c r="AM456" s="1">
        <v>2</v>
      </c>
      <c r="AN456" s="1">
        <v>2</v>
      </c>
      <c r="AO456" s="1">
        <v>3</v>
      </c>
      <c r="AP456" s="1">
        <v>3</v>
      </c>
      <c r="AQ456" s="1">
        <v>3</v>
      </c>
      <c r="AR456" s="1">
        <v>3</v>
      </c>
      <c r="AS456" s="1">
        <v>3</v>
      </c>
      <c r="AT456" s="1">
        <v>3</v>
      </c>
      <c r="AU456" s="1">
        <v>3</v>
      </c>
      <c r="AV456" s="1">
        <v>3</v>
      </c>
      <c r="AW456" s="1">
        <v>2</v>
      </c>
      <c r="AX456" s="1">
        <v>3</v>
      </c>
      <c r="AY456" s="1">
        <v>2</v>
      </c>
      <c r="AZ456" s="1">
        <v>3</v>
      </c>
      <c r="BA456" s="1">
        <v>3</v>
      </c>
      <c r="BB456" s="1">
        <v>3</v>
      </c>
      <c r="BC456" s="1">
        <v>3</v>
      </c>
    </row>
    <row r="457" spans="1:55">
      <c r="A457" s="1" t="s">
        <v>750</v>
      </c>
      <c r="B457" s="1" t="s">
        <v>489</v>
      </c>
      <c r="C457" s="1" t="s">
        <v>751</v>
      </c>
      <c r="D457" s="1">
        <v>3</v>
      </c>
      <c r="E457" s="1">
        <v>3</v>
      </c>
      <c r="F457" s="1">
        <v>3</v>
      </c>
      <c r="G457" s="1">
        <v>2</v>
      </c>
      <c r="H457" s="1">
        <v>3</v>
      </c>
      <c r="I457" s="1">
        <v>3</v>
      </c>
      <c r="J457" s="1">
        <v>4</v>
      </c>
      <c r="K457" s="1">
        <v>3</v>
      </c>
      <c r="L457" s="1">
        <v>3</v>
      </c>
      <c r="M457" s="1">
        <v>3</v>
      </c>
      <c r="N457" s="1">
        <v>2</v>
      </c>
      <c r="O457" s="1">
        <v>3</v>
      </c>
      <c r="P457" s="1">
        <v>3</v>
      </c>
      <c r="Q457" s="1">
        <v>4</v>
      </c>
      <c r="R457" s="1">
        <v>4</v>
      </c>
      <c r="S457" s="1">
        <v>4</v>
      </c>
      <c r="T457" s="1">
        <v>3</v>
      </c>
      <c r="U457" s="1">
        <v>3</v>
      </c>
      <c r="V457" s="1">
        <v>3</v>
      </c>
      <c r="W457" s="1">
        <v>3</v>
      </c>
      <c r="X457" s="1">
        <v>3</v>
      </c>
      <c r="Y457" s="1">
        <v>3</v>
      </c>
      <c r="Z457" s="1">
        <v>3</v>
      </c>
      <c r="AA457" s="1">
        <v>3</v>
      </c>
      <c r="AB457" s="1">
        <v>2</v>
      </c>
      <c r="AC457" s="1">
        <v>2</v>
      </c>
      <c r="AD457" s="1">
        <v>3</v>
      </c>
      <c r="AE457" s="1">
        <v>4</v>
      </c>
      <c r="AF457" s="1">
        <v>2</v>
      </c>
      <c r="AG457" s="1">
        <v>2</v>
      </c>
      <c r="AH457" s="1">
        <v>3</v>
      </c>
      <c r="AI457" s="1">
        <v>3</v>
      </c>
      <c r="AJ457" s="1">
        <v>3</v>
      </c>
      <c r="AK457" s="1">
        <v>3</v>
      </c>
      <c r="AL457" s="1">
        <v>3</v>
      </c>
      <c r="AM457" s="1">
        <v>3</v>
      </c>
      <c r="AN457" s="1">
        <v>3</v>
      </c>
      <c r="AO457" s="1">
        <v>4</v>
      </c>
      <c r="AP457" s="1">
        <v>3</v>
      </c>
      <c r="AQ457" s="1">
        <v>2</v>
      </c>
      <c r="AR457" s="1">
        <v>4</v>
      </c>
      <c r="AS457" s="1">
        <v>3</v>
      </c>
      <c r="AT457" s="1">
        <v>4</v>
      </c>
      <c r="AU457" s="1">
        <v>3</v>
      </c>
      <c r="AV457" s="1">
        <v>3</v>
      </c>
      <c r="AW457" s="1">
        <v>3</v>
      </c>
      <c r="AX457" s="1">
        <v>2</v>
      </c>
      <c r="AY457" s="1">
        <v>3</v>
      </c>
      <c r="AZ457" s="1">
        <v>3</v>
      </c>
      <c r="BA457" s="1">
        <v>2</v>
      </c>
      <c r="BB457" s="1">
        <v>2</v>
      </c>
      <c r="BC457" s="1">
        <v>2</v>
      </c>
    </row>
    <row r="458" spans="1:55">
      <c r="A458" s="1" t="s">
        <v>752</v>
      </c>
      <c r="B458" s="1" t="s">
        <v>489</v>
      </c>
      <c r="C458" s="1" t="s">
        <v>751</v>
      </c>
      <c r="D458" s="1">
        <v>2</v>
      </c>
      <c r="E458" s="1">
        <v>3</v>
      </c>
      <c r="F458" s="1">
        <v>3</v>
      </c>
      <c r="G458" s="1">
        <v>3</v>
      </c>
      <c r="H458" s="1">
        <v>4</v>
      </c>
      <c r="I458" s="1">
        <v>4</v>
      </c>
      <c r="J458" s="1">
        <v>4</v>
      </c>
      <c r="K458" s="1">
        <v>2</v>
      </c>
      <c r="L458" s="1">
        <v>3</v>
      </c>
      <c r="M458" s="1">
        <v>2</v>
      </c>
      <c r="N458" s="1">
        <v>4</v>
      </c>
      <c r="O458" s="1">
        <v>3</v>
      </c>
      <c r="P458" s="1">
        <v>4</v>
      </c>
      <c r="Q458" s="1">
        <v>2</v>
      </c>
      <c r="R458" s="1">
        <v>2</v>
      </c>
      <c r="S458" s="1">
        <v>3</v>
      </c>
      <c r="T458" s="1">
        <v>3</v>
      </c>
      <c r="U458" s="1">
        <v>3</v>
      </c>
      <c r="V458" s="1">
        <v>3</v>
      </c>
      <c r="W458" s="1">
        <v>3</v>
      </c>
      <c r="X458" s="1">
        <v>4</v>
      </c>
      <c r="Y458" s="1">
        <v>3</v>
      </c>
      <c r="Z458" s="1">
        <v>3</v>
      </c>
      <c r="AA458" s="1">
        <v>4</v>
      </c>
      <c r="AB458" s="1">
        <v>3</v>
      </c>
      <c r="AC458" s="1">
        <v>3</v>
      </c>
      <c r="AD458" s="1">
        <v>2</v>
      </c>
      <c r="AE458" s="1">
        <v>3</v>
      </c>
      <c r="AF458" s="1">
        <v>2</v>
      </c>
      <c r="AG458" s="1">
        <v>3</v>
      </c>
      <c r="AH458" s="1">
        <v>3</v>
      </c>
      <c r="AI458" s="1">
        <v>3</v>
      </c>
      <c r="AJ458" s="1">
        <v>3</v>
      </c>
      <c r="AK458" s="1">
        <v>2</v>
      </c>
      <c r="AL458" s="1">
        <v>3</v>
      </c>
      <c r="AM458" s="1">
        <v>3</v>
      </c>
      <c r="AN458" s="1">
        <v>3</v>
      </c>
      <c r="AO458" s="1">
        <v>3</v>
      </c>
      <c r="AP458" s="1">
        <v>3</v>
      </c>
      <c r="AQ458" s="1">
        <v>3</v>
      </c>
      <c r="AR458" s="1">
        <v>4</v>
      </c>
      <c r="AS458" s="1">
        <v>3</v>
      </c>
      <c r="AT458" s="1">
        <v>4</v>
      </c>
      <c r="AU458" s="1">
        <v>3</v>
      </c>
      <c r="AV458" s="1">
        <v>3</v>
      </c>
      <c r="AW458" s="1">
        <v>3</v>
      </c>
      <c r="AX458" s="1">
        <v>4</v>
      </c>
      <c r="AY458" s="1">
        <v>3</v>
      </c>
      <c r="AZ458" s="1">
        <v>3</v>
      </c>
      <c r="BA458" s="1">
        <v>2</v>
      </c>
      <c r="BB458" s="1">
        <v>3</v>
      </c>
      <c r="BC458" s="1">
        <v>3</v>
      </c>
    </row>
    <row r="459" spans="1:55">
      <c r="A459" s="1" t="s">
        <v>753</v>
      </c>
      <c r="B459" s="1" t="s">
        <v>489</v>
      </c>
      <c r="C459" s="1" t="s">
        <v>754</v>
      </c>
      <c r="D459" s="1">
        <v>3</v>
      </c>
      <c r="E459" s="1">
        <v>3</v>
      </c>
      <c r="F459" s="1">
        <v>2</v>
      </c>
      <c r="G459" s="1">
        <v>2</v>
      </c>
      <c r="H459" s="1">
        <v>2</v>
      </c>
      <c r="I459" s="1">
        <v>3</v>
      </c>
      <c r="J459" s="1">
        <v>3</v>
      </c>
      <c r="K459" s="1">
        <v>2</v>
      </c>
      <c r="L459" s="1">
        <v>3</v>
      </c>
      <c r="M459" s="1">
        <v>4</v>
      </c>
      <c r="N459" s="1">
        <v>3</v>
      </c>
      <c r="O459" s="1">
        <v>4</v>
      </c>
      <c r="P459" s="1">
        <v>3</v>
      </c>
      <c r="Q459" s="1">
        <v>3</v>
      </c>
      <c r="R459" s="1">
        <v>3</v>
      </c>
      <c r="S459" s="1">
        <v>3</v>
      </c>
      <c r="T459" s="1">
        <v>4</v>
      </c>
      <c r="U459" s="1">
        <v>4</v>
      </c>
      <c r="V459" s="1">
        <v>3</v>
      </c>
      <c r="W459" s="1">
        <v>3</v>
      </c>
      <c r="X459" s="1">
        <v>3</v>
      </c>
      <c r="Y459" s="1">
        <v>2</v>
      </c>
      <c r="Z459" s="1">
        <v>3</v>
      </c>
      <c r="AA459" s="1">
        <v>3</v>
      </c>
      <c r="AB459" s="1">
        <v>3</v>
      </c>
      <c r="AC459" s="1">
        <v>3</v>
      </c>
      <c r="AD459" s="1">
        <v>4</v>
      </c>
      <c r="AE459" s="1">
        <v>4</v>
      </c>
      <c r="AF459" s="1">
        <v>1</v>
      </c>
      <c r="AG459" s="1">
        <v>2</v>
      </c>
      <c r="AH459" s="1">
        <v>3</v>
      </c>
      <c r="AI459" s="1">
        <v>3</v>
      </c>
      <c r="AJ459" s="1">
        <v>3</v>
      </c>
      <c r="AK459" s="1">
        <v>3</v>
      </c>
      <c r="AL459" s="1">
        <v>3</v>
      </c>
      <c r="AM459" s="1">
        <v>4</v>
      </c>
      <c r="AN459" s="1">
        <v>3</v>
      </c>
      <c r="AO459" s="1">
        <v>4</v>
      </c>
      <c r="AP459" s="1">
        <v>4</v>
      </c>
      <c r="AQ459" s="1">
        <v>3</v>
      </c>
      <c r="AR459" s="1">
        <v>4</v>
      </c>
      <c r="AS459" s="1">
        <v>4</v>
      </c>
      <c r="AT459" s="1">
        <v>3</v>
      </c>
      <c r="AU459" s="1">
        <v>4</v>
      </c>
      <c r="AV459" s="1">
        <v>4</v>
      </c>
      <c r="AW459" s="1">
        <v>3</v>
      </c>
      <c r="AX459" s="1">
        <v>3</v>
      </c>
      <c r="AY459" s="1">
        <v>3</v>
      </c>
      <c r="AZ459" s="1">
        <v>3</v>
      </c>
      <c r="BA459" s="1">
        <v>4</v>
      </c>
      <c r="BB459" s="1">
        <v>4</v>
      </c>
      <c r="BC459" s="1">
        <v>2</v>
      </c>
    </row>
    <row r="460" spans="1:55">
      <c r="A460" s="1" t="s">
        <v>755</v>
      </c>
      <c r="B460" s="1" t="s">
        <v>489</v>
      </c>
      <c r="C460" s="1" t="s">
        <v>754</v>
      </c>
      <c r="D460" s="1">
        <v>3</v>
      </c>
      <c r="E460" s="1">
        <v>3</v>
      </c>
      <c r="F460" s="1">
        <v>3</v>
      </c>
      <c r="G460" s="1">
        <v>3</v>
      </c>
      <c r="H460" s="1">
        <v>4</v>
      </c>
      <c r="I460" s="1">
        <v>5</v>
      </c>
      <c r="J460" s="1">
        <v>3</v>
      </c>
      <c r="K460" s="1">
        <v>3</v>
      </c>
      <c r="L460" s="1">
        <v>3</v>
      </c>
      <c r="M460" s="1">
        <v>3</v>
      </c>
      <c r="N460" s="1">
        <v>4</v>
      </c>
      <c r="O460" s="1">
        <v>2</v>
      </c>
      <c r="P460" s="1">
        <v>2</v>
      </c>
      <c r="Q460" s="1">
        <v>3</v>
      </c>
      <c r="R460" s="1">
        <v>2</v>
      </c>
      <c r="S460" s="1">
        <v>3</v>
      </c>
      <c r="T460" s="1">
        <v>4</v>
      </c>
      <c r="U460" s="1">
        <v>4</v>
      </c>
      <c r="V460" s="1">
        <v>4</v>
      </c>
      <c r="W460" s="1">
        <v>4</v>
      </c>
      <c r="X460" s="1">
        <v>3</v>
      </c>
      <c r="Y460" s="1">
        <v>3</v>
      </c>
      <c r="Z460" s="1">
        <v>2</v>
      </c>
      <c r="AA460" s="1">
        <v>2</v>
      </c>
      <c r="AB460" s="1">
        <v>2</v>
      </c>
      <c r="AC460" s="1">
        <v>2</v>
      </c>
      <c r="AD460" s="1">
        <v>2</v>
      </c>
      <c r="AE460" s="1">
        <v>3</v>
      </c>
      <c r="AF460" s="1">
        <v>2</v>
      </c>
      <c r="AG460" s="1">
        <v>4</v>
      </c>
      <c r="AH460" s="1">
        <v>4</v>
      </c>
      <c r="AI460" s="1">
        <v>4</v>
      </c>
      <c r="AJ460" s="1">
        <v>4</v>
      </c>
      <c r="AK460" s="1">
        <v>3</v>
      </c>
      <c r="AL460" s="1">
        <v>2</v>
      </c>
      <c r="AM460" s="1">
        <v>3</v>
      </c>
      <c r="AN460" s="1">
        <v>3</v>
      </c>
      <c r="AO460" s="1">
        <v>3</v>
      </c>
      <c r="AP460" s="1">
        <v>2</v>
      </c>
      <c r="AQ460" s="1">
        <v>2</v>
      </c>
      <c r="AR460" s="1">
        <v>2</v>
      </c>
      <c r="AS460" s="1">
        <v>2</v>
      </c>
      <c r="AT460" s="1">
        <v>3</v>
      </c>
      <c r="AU460" s="1">
        <v>3</v>
      </c>
      <c r="AV460" s="1">
        <v>5</v>
      </c>
      <c r="AW460" s="1">
        <v>4</v>
      </c>
      <c r="AX460" s="1">
        <v>4</v>
      </c>
      <c r="AY460" s="1">
        <v>3</v>
      </c>
      <c r="AZ460" s="1">
        <v>2</v>
      </c>
      <c r="BA460" s="1">
        <v>3</v>
      </c>
      <c r="BB460" s="1">
        <v>3</v>
      </c>
      <c r="BC460" s="1">
        <v>2</v>
      </c>
    </row>
    <row r="461" spans="1:55">
      <c r="A461" s="1" t="s">
        <v>756</v>
      </c>
      <c r="B461" s="1" t="s">
        <v>489</v>
      </c>
      <c r="C461" s="1" t="s">
        <v>757</v>
      </c>
      <c r="D461" s="1">
        <v>3</v>
      </c>
      <c r="E461" s="1">
        <v>4</v>
      </c>
      <c r="F461" s="1">
        <v>3</v>
      </c>
      <c r="G461" s="1">
        <v>3</v>
      </c>
      <c r="H461" s="1">
        <v>3</v>
      </c>
      <c r="I461" s="1">
        <v>3</v>
      </c>
      <c r="J461" s="1">
        <v>4</v>
      </c>
      <c r="K461" s="1">
        <v>3</v>
      </c>
      <c r="L461" s="1">
        <v>2</v>
      </c>
      <c r="M461" s="1">
        <v>4</v>
      </c>
      <c r="N461" s="1">
        <v>3</v>
      </c>
      <c r="O461" s="1">
        <v>4</v>
      </c>
      <c r="P461" s="1">
        <v>3</v>
      </c>
      <c r="Q461" s="1">
        <v>2</v>
      </c>
      <c r="R461" s="1">
        <v>3</v>
      </c>
      <c r="S461" s="1">
        <v>4</v>
      </c>
      <c r="T461" s="1">
        <v>4</v>
      </c>
      <c r="U461" s="1">
        <v>3</v>
      </c>
      <c r="V461" s="1">
        <v>3</v>
      </c>
      <c r="W461" s="1">
        <v>3</v>
      </c>
      <c r="X461" s="1">
        <v>3</v>
      </c>
      <c r="Y461" s="1">
        <v>4</v>
      </c>
      <c r="Z461" s="1">
        <v>3</v>
      </c>
      <c r="AA461" s="1">
        <v>2</v>
      </c>
      <c r="AB461" s="1">
        <v>3</v>
      </c>
      <c r="AC461" s="1">
        <v>3</v>
      </c>
      <c r="AD461" s="1">
        <v>3</v>
      </c>
      <c r="AE461" s="1">
        <v>3</v>
      </c>
      <c r="AF461" s="1">
        <v>3</v>
      </c>
      <c r="AG461" s="1">
        <v>3</v>
      </c>
      <c r="AH461" s="1">
        <v>3</v>
      </c>
      <c r="AI461" s="1">
        <v>4</v>
      </c>
      <c r="AJ461" s="1">
        <v>3</v>
      </c>
      <c r="AK461" s="1">
        <v>3</v>
      </c>
      <c r="AL461" s="1">
        <v>3</v>
      </c>
      <c r="AM461" s="1">
        <v>4</v>
      </c>
      <c r="AN461" s="1">
        <v>3</v>
      </c>
      <c r="AO461" s="1">
        <v>2</v>
      </c>
      <c r="AP461" s="1">
        <v>3</v>
      </c>
      <c r="AQ461" s="1">
        <v>3</v>
      </c>
      <c r="AR461" s="1">
        <v>4</v>
      </c>
      <c r="AS461" s="1">
        <v>4</v>
      </c>
      <c r="AT461" s="1">
        <v>4</v>
      </c>
      <c r="AU461" s="1">
        <v>4</v>
      </c>
      <c r="AV461" s="1">
        <v>4</v>
      </c>
      <c r="AW461" s="1">
        <v>3</v>
      </c>
      <c r="AX461" s="1">
        <v>3</v>
      </c>
      <c r="AY461" s="1">
        <v>3</v>
      </c>
      <c r="AZ461" s="1">
        <v>3</v>
      </c>
      <c r="BA461" s="1">
        <v>2</v>
      </c>
      <c r="BB461" s="1">
        <v>2</v>
      </c>
      <c r="BC461" s="1">
        <v>4</v>
      </c>
    </row>
    <row r="462" spans="1:55">
      <c r="A462" s="1" t="s">
        <v>758</v>
      </c>
      <c r="B462" s="1" t="s">
        <v>489</v>
      </c>
      <c r="C462" s="1" t="s">
        <v>757</v>
      </c>
      <c r="D462" s="1">
        <v>3</v>
      </c>
      <c r="E462" s="1">
        <v>1</v>
      </c>
      <c r="F462" s="1">
        <v>3</v>
      </c>
      <c r="G462" s="1">
        <v>4</v>
      </c>
      <c r="H462" s="1">
        <v>2</v>
      </c>
      <c r="I462" s="1">
        <v>1</v>
      </c>
      <c r="J462" s="1">
        <v>1</v>
      </c>
      <c r="K462" s="1">
        <v>3</v>
      </c>
      <c r="L462" s="1">
        <v>3</v>
      </c>
      <c r="M462" s="1">
        <v>1</v>
      </c>
      <c r="N462" s="1">
        <v>2</v>
      </c>
      <c r="O462" s="1">
        <v>4</v>
      </c>
      <c r="P462" s="1">
        <v>3</v>
      </c>
      <c r="Q462" s="1">
        <v>3</v>
      </c>
      <c r="R462" s="1">
        <v>2</v>
      </c>
      <c r="S462" s="1">
        <v>2</v>
      </c>
      <c r="T462" s="1">
        <v>3</v>
      </c>
      <c r="U462" s="1">
        <v>2</v>
      </c>
      <c r="V462" s="1">
        <v>2</v>
      </c>
      <c r="W462" s="1">
        <v>3</v>
      </c>
      <c r="X462" s="1">
        <v>4</v>
      </c>
      <c r="Y462" s="1">
        <v>4</v>
      </c>
      <c r="Z462" s="1">
        <v>3</v>
      </c>
      <c r="AA462" s="1">
        <v>3</v>
      </c>
      <c r="AB462" s="1">
        <v>3</v>
      </c>
      <c r="AC462" s="1">
        <v>3</v>
      </c>
      <c r="AD462" s="1">
        <v>3</v>
      </c>
      <c r="AE462" s="1">
        <v>2</v>
      </c>
      <c r="AF462" s="1">
        <v>5</v>
      </c>
      <c r="AG462" s="1">
        <v>5</v>
      </c>
      <c r="AH462" s="1">
        <v>2</v>
      </c>
      <c r="AI462" s="1">
        <v>3</v>
      </c>
      <c r="AJ462" s="1">
        <v>1</v>
      </c>
      <c r="AK462" s="1">
        <v>4</v>
      </c>
      <c r="AL462" s="1">
        <v>4</v>
      </c>
      <c r="AM462" s="1">
        <v>2</v>
      </c>
      <c r="AN462" s="1">
        <v>1</v>
      </c>
      <c r="AO462" s="1">
        <v>3</v>
      </c>
      <c r="AP462" s="1">
        <v>4</v>
      </c>
      <c r="AQ462" s="1">
        <v>4</v>
      </c>
      <c r="AR462" s="1">
        <v>2</v>
      </c>
      <c r="AS462" s="1">
        <v>3</v>
      </c>
      <c r="AT462" s="1">
        <v>2</v>
      </c>
      <c r="AU462" s="1">
        <v>1</v>
      </c>
      <c r="AV462" s="1">
        <v>2</v>
      </c>
      <c r="AW462" s="1">
        <v>2</v>
      </c>
      <c r="AX462" s="1">
        <v>2</v>
      </c>
      <c r="AY462" s="1">
        <v>3</v>
      </c>
      <c r="AZ462" s="1">
        <v>3</v>
      </c>
      <c r="BA462" s="1">
        <v>3</v>
      </c>
      <c r="BB462" s="1">
        <v>4</v>
      </c>
      <c r="BC462" s="1">
        <v>4</v>
      </c>
    </row>
    <row r="463" spans="1:55">
      <c r="A463" s="1" t="s">
        <v>759</v>
      </c>
      <c r="B463" s="1" t="s">
        <v>489</v>
      </c>
      <c r="C463" s="1" t="s">
        <v>760</v>
      </c>
      <c r="D463" s="1">
        <v>3</v>
      </c>
      <c r="E463" s="1">
        <v>3</v>
      </c>
      <c r="F463" s="1">
        <v>3</v>
      </c>
      <c r="G463" s="1">
        <v>3</v>
      </c>
      <c r="H463" s="1">
        <v>4</v>
      </c>
      <c r="I463" s="1">
        <v>3</v>
      </c>
      <c r="J463" s="1">
        <v>3</v>
      </c>
      <c r="K463" s="1">
        <v>3</v>
      </c>
      <c r="L463" s="1">
        <v>3</v>
      </c>
      <c r="M463" s="1">
        <v>4</v>
      </c>
      <c r="N463" s="1">
        <v>3</v>
      </c>
      <c r="O463" s="1">
        <v>3</v>
      </c>
      <c r="P463" s="1">
        <v>2</v>
      </c>
      <c r="Q463" s="1">
        <v>3</v>
      </c>
      <c r="R463" s="1">
        <v>3</v>
      </c>
      <c r="S463" s="1">
        <v>3</v>
      </c>
      <c r="T463" s="1">
        <v>3</v>
      </c>
      <c r="U463" s="1">
        <v>3</v>
      </c>
      <c r="V463" s="1">
        <v>3</v>
      </c>
      <c r="W463" s="1">
        <v>3</v>
      </c>
      <c r="X463" s="1">
        <v>2</v>
      </c>
      <c r="Y463" s="1">
        <v>3</v>
      </c>
      <c r="Z463" s="1">
        <v>3</v>
      </c>
      <c r="AA463" s="1">
        <v>2</v>
      </c>
      <c r="AB463" s="1">
        <v>4</v>
      </c>
      <c r="AC463" s="1">
        <v>2</v>
      </c>
      <c r="AD463" s="1">
        <v>3</v>
      </c>
      <c r="AE463" s="1">
        <v>4</v>
      </c>
      <c r="AF463" s="1">
        <v>4</v>
      </c>
      <c r="AG463" s="1">
        <v>3</v>
      </c>
      <c r="AH463" s="1">
        <v>4</v>
      </c>
      <c r="AI463" s="1">
        <v>4</v>
      </c>
      <c r="AJ463" s="1">
        <v>3</v>
      </c>
      <c r="AK463" s="1">
        <v>2</v>
      </c>
      <c r="AL463" s="1">
        <v>2</v>
      </c>
      <c r="AM463" s="1">
        <v>3</v>
      </c>
      <c r="AN463" s="1">
        <v>4</v>
      </c>
      <c r="AO463" s="1">
        <v>3</v>
      </c>
      <c r="AP463" s="1">
        <v>3</v>
      </c>
      <c r="AQ463" s="1">
        <v>3</v>
      </c>
      <c r="AR463" s="1">
        <v>3</v>
      </c>
      <c r="AS463" s="1">
        <v>3</v>
      </c>
      <c r="AT463" s="1">
        <v>3</v>
      </c>
      <c r="AU463" s="1">
        <v>3</v>
      </c>
      <c r="AV463" s="1">
        <v>3</v>
      </c>
      <c r="AW463" s="1">
        <v>3</v>
      </c>
      <c r="AX463" s="1">
        <v>3</v>
      </c>
      <c r="AY463" s="1">
        <v>3</v>
      </c>
      <c r="AZ463" s="1">
        <v>2</v>
      </c>
      <c r="BA463" s="1">
        <v>3</v>
      </c>
      <c r="BB463" s="1">
        <v>3</v>
      </c>
      <c r="BC463" s="1">
        <v>4</v>
      </c>
    </row>
    <row r="464" spans="1:55">
      <c r="A464" s="1" t="s">
        <v>761</v>
      </c>
      <c r="B464" s="1" t="s">
        <v>489</v>
      </c>
      <c r="C464" s="1" t="s">
        <v>760</v>
      </c>
      <c r="D464" s="1">
        <v>3</v>
      </c>
      <c r="E464" s="1">
        <v>4</v>
      </c>
      <c r="F464" s="1">
        <v>3</v>
      </c>
      <c r="G464" s="1">
        <v>3</v>
      </c>
      <c r="H464" s="1">
        <v>3</v>
      </c>
      <c r="I464" s="1">
        <v>3</v>
      </c>
      <c r="J464" s="1">
        <v>3</v>
      </c>
      <c r="K464" s="1">
        <v>3</v>
      </c>
      <c r="L464" s="1">
        <v>2</v>
      </c>
      <c r="M464" s="1">
        <v>4</v>
      </c>
      <c r="N464" s="1">
        <v>3</v>
      </c>
      <c r="O464" s="1">
        <v>3</v>
      </c>
      <c r="P464" s="1">
        <v>3</v>
      </c>
      <c r="Q464" s="1">
        <v>3</v>
      </c>
      <c r="R464" s="1">
        <v>3</v>
      </c>
      <c r="S464" s="1">
        <v>4</v>
      </c>
      <c r="T464" s="1">
        <v>4</v>
      </c>
      <c r="U464" s="1">
        <v>4</v>
      </c>
      <c r="V464" s="1">
        <v>2</v>
      </c>
      <c r="W464" s="1">
        <v>4</v>
      </c>
      <c r="X464" s="1">
        <v>3</v>
      </c>
      <c r="Y464" s="1">
        <v>3</v>
      </c>
      <c r="Z464" s="1">
        <v>3</v>
      </c>
      <c r="AA464" s="1">
        <v>4</v>
      </c>
      <c r="AB464" s="1">
        <v>2</v>
      </c>
      <c r="AC464" s="1">
        <v>3</v>
      </c>
      <c r="AD464" s="1">
        <v>3</v>
      </c>
      <c r="AE464" s="1">
        <v>4</v>
      </c>
      <c r="AF464" s="1">
        <v>2</v>
      </c>
      <c r="AG464" s="1">
        <v>3</v>
      </c>
      <c r="AH464" s="1">
        <v>3</v>
      </c>
      <c r="AI464" s="1">
        <v>3</v>
      </c>
      <c r="AJ464" s="1">
        <v>2</v>
      </c>
      <c r="AK464" s="1">
        <v>3</v>
      </c>
      <c r="AL464" s="1">
        <v>3</v>
      </c>
      <c r="AM464" s="1">
        <v>4</v>
      </c>
      <c r="AN464" s="1">
        <v>3</v>
      </c>
      <c r="AO464" s="1">
        <v>3</v>
      </c>
      <c r="AP464" s="1">
        <v>3</v>
      </c>
      <c r="AQ464" s="1">
        <v>3</v>
      </c>
      <c r="AR464" s="1">
        <v>4</v>
      </c>
      <c r="AS464" s="1">
        <v>3</v>
      </c>
      <c r="AT464" s="1">
        <v>3</v>
      </c>
      <c r="AU464" s="1">
        <v>3</v>
      </c>
      <c r="AV464" s="1">
        <v>3</v>
      </c>
      <c r="AW464" s="1">
        <v>2</v>
      </c>
      <c r="AX464" s="1">
        <v>4</v>
      </c>
      <c r="AY464" s="1">
        <v>3</v>
      </c>
      <c r="AZ464" s="1">
        <v>4</v>
      </c>
      <c r="BA464" s="1">
        <v>3</v>
      </c>
      <c r="BB464" s="1">
        <v>3</v>
      </c>
      <c r="BC464" s="1">
        <v>3</v>
      </c>
    </row>
    <row r="465" spans="1:55">
      <c r="A465" s="1" t="s">
        <v>762</v>
      </c>
      <c r="B465" s="1" t="s">
        <v>489</v>
      </c>
      <c r="C465" s="1" t="s">
        <v>763</v>
      </c>
      <c r="D465" s="1">
        <v>3</v>
      </c>
      <c r="E465" s="1">
        <v>4</v>
      </c>
      <c r="F465" s="1">
        <v>2</v>
      </c>
      <c r="G465" s="1">
        <v>3</v>
      </c>
      <c r="H465" s="1">
        <v>3</v>
      </c>
      <c r="I465" s="1">
        <v>3</v>
      </c>
      <c r="J465" s="1">
        <v>3</v>
      </c>
      <c r="K465" s="1">
        <v>4</v>
      </c>
      <c r="L465" s="1">
        <v>3</v>
      </c>
      <c r="M465" s="1">
        <v>3</v>
      </c>
      <c r="N465" s="1">
        <v>2</v>
      </c>
      <c r="O465" s="1">
        <v>3</v>
      </c>
      <c r="P465" s="1">
        <v>2</v>
      </c>
      <c r="Q465" s="1">
        <v>3</v>
      </c>
      <c r="R465" s="1">
        <v>4</v>
      </c>
      <c r="S465" s="1">
        <v>4</v>
      </c>
      <c r="T465" s="1">
        <v>3</v>
      </c>
      <c r="U465" s="1">
        <v>4</v>
      </c>
      <c r="V465" s="1">
        <v>3</v>
      </c>
      <c r="W465" s="1">
        <v>2</v>
      </c>
      <c r="X465" s="1">
        <v>1</v>
      </c>
      <c r="Y465" s="1">
        <v>2</v>
      </c>
      <c r="Z465" s="1">
        <v>3</v>
      </c>
      <c r="AA465" s="1">
        <v>2</v>
      </c>
      <c r="AB465" s="1">
        <v>4</v>
      </c>
      <c r="AC465" s="1">
        <v>3</v>
      </c>
      <c r="AD465" s="1">
        <v>2</v>
      </c>
      <c r="AE465" s="1">
        <v>3</v>
      </c>
      <c r="AF465" s="1">
        <v>2</v>
      </c>
      <c r="AG465" s="1">
        <v>3</v>
      </c>
      <c r="AH465" s="1">
        <v>3</v>
      </c>
      <c r="AI465" s="1">
        <v>3</v>
      </c>
      <c r="AJ465" s="1">
        <v>4</v>
      </c>
      <c r="AK465" s="1">
        <v>4</v>
      </c>
      <c r="AL465" s="1">
        <v>3</v>
      </c>
      <c r="AM465" s="1">
        <v>4</v>
      </c>
      <c r="AN465" s="1">
        <v>3</v>
      </c>
      <c r="AO465" s="1">
        <v>3</v>
      </c>
      <c r="AP465" s="1">
        <v>3</v>
      </c>
      <c r="AQ465" s="1">
        <v>3</v>
      </c>
      <c r="AR465" s="1">
        <v>3</v>
      </c>
      <c r="AS465" s="1">
        <v>3</v>
      </c>
      <c r="AT465" s="1">
        <v>4</v>
      </c>
      <c r="AU465" s="1">
        <v>4</v>
      </c>
      <c r="AV465" s="1">
        <v>2</v>
      </c>
      <c r="AW465" s="1">
        <v>1</v>
      </c>
      <c r="AX465" s="1">
        <v>1</v>
      </c>
      <c r="AY465" s="1">
        <v>1</v>
      </c>
      <c r="AZ465" s="1">
        <v>3</v>
      </c>
      <c r="BA465" s="1">
        <v>4</v>
      </c>
      <c r="BB465" s="1">
        <v>3</v>
      </c>
      <c r="BC465" s="1">
        <v>3</v>
      </c>
    </row>
    <row r="466" spans="1:55">
      <c r="A466" s="1" t="s">
        <v>764</v>
      </c>
      <c r="B466" s="1" t="s">
        <v>489</v>
      </c>
      <c r="C466" s="1" t="s">
        <v>763</v>
      </c>
      <c r="D466" s="1">
        <v>4</v>
      </c>
      <c r="E466" s="1">
        <v>3</v>
      </c>
      <c r="F466" s="1">
        <v>3</v>
      </c>
      <c r="G466" s="1">
        <v>4</v>
      </c>
      <c r="H466" s="1">
        <v>4</v>
      </c>
      <c r="I466" s="1">
        <v>5</v>
      </c>
      <c r="J466" s="1">
        <v>5</v>
      </c>
      <c r="K466" s="1">
        <v>3</v>
      </c>
      <c r="L466" s="1">
        <v>3</v>
      </c>
      <c r="M466" s="1">
        <v>2</v>
      </c>
      <c r="N466" s="1">
        <v>3</v>
      </c>
      <c r="O466" s="1">
        <v>4</v>
      </c>
      <c r="P466" s="1">
        <v>3</v>
      </c>
      <c r="Q466" s="1">
        <v>3</v>
      </c>
      <c r="R466" s="1">
        <v>2</v>
      </c>
      <c r="S466" s="1">
        <v>2</v>
      </c>
      <c r="T466" s="1">
        <v>4</v>
      </c>
      <c r="U466" s="1">
        <v>2</v>
      </c>
      <c r="V466" s="1">
        <v>4</v>
      </c>
      <c r="W466" s="1">
        <v>2</v>
      </c>
      <c r="X466" s="1">
        <v>3</v>
      </c>
      <c r="Y466" s="1">
        <v>2</v>
      </c>
      <c r="Z466" s="1">
        <v>3</v>
      </c>
      <c r="AA466" s="1">
        <v>4</v>
      </c>
      <c r="AB466" s="1">
        <v>3</v>
      </c>
      <c r="AC466" s="1">
        <v>2</v>
      </c>
      <c r="AD466" s="1">
        <v>4</v>
      </c>
      <c r="AE466" s="1">
        <v>2</v>
      </c>
      <c r="AF466" s="1">
        <v>3</v>
      </c>
      <c r="AG466" s="1">
        <v>3</v>
      </c>
      <c r="AH466" s="1">
        <v>3</v>
      </c>
      <c r="AI466" s="1">
        <v>4</v>
      </c>
      <c r="AJ466" s="1">
        <v>4</v>
      </c>
      <c r="AK466" s="1">
        <v>3</v>
      </c>
      <c r="AL466" s="1">
        <v>3</v>
      </c>
      <c r="AM466" s="1">
        <v>2</v>
      </c>
      <c r="AN466" s="1">
        <v>4</v>
      </c>
      <c r="AO466" s="1">
        <v>4</v>
      </c>
      <c r="AP466" s="1">
        <v>3</v>
      </c>
      <c r="AQ466" s="1">
        <v>4</v>
      </c>
      <c r="AR466" s="1">
        <v>2</v>
      </c>
      <c r="AS466" s="1">
        <v>3</v>
      </c>
      <c r="AT466" s="1">
        <v>3</v>
      </c>
      <c r="AU466" s="1">
        <v>2</v>
      </c>
      <c r="AV466" s="1">
        <v>3</v>
      </c>
      <c r="AW466" s="1">
        <v>2</v>
      </c>
      <c r="AX466" s="1">
        <v>3</v>
      </c>
      <c r="AY466" s="1">
        <v>3</v>
      </c>
      <c r="AZ466" s="1">
        <v>3</v>
      </c>
      <c r="BA466" s="1">
        <v>3</v>
      </c>
      <c r="BB466" s="1">
        <v>3</v>
      </c>
      <c r="BC466" s="1">
        <v>2</v>
      </c>
    </row>
    <row r="467" spans="1:55">
      <c r="A467" s="1" t="s">
        <v>765</v>
      </c>
      <c r="B467" s="1" t="s">
        <v>489</v>
      </c>
      <c r="C467" s="1" t="s">
        <v>766</v>
      </c>
      <c r="D467" s="1">
        <v>4</v>
      </c>
      <c r="E467" s="1">
        <v>4</v>
      </c>
      <c r="F467" s="1">
        <v>2</v>
      </c>
      <c r="G467" s="1">
        <v>2</v>
      </c>
      <c r="H467" s="1">
        <v>3</v>
      </c>
      <c r="I467" s="1">
        <v>3</v>
      </c>
      <c r="J467" s="1">
        <v>2</v>
      </c>
      <c r="K467" s="1">
        <v>2</v>
      </c>
      <c r="L467" s="1">
        <v>3</v>
      </c>
      <c r="M467" s="1">
        <v>5</v>
      </c>
      <c r="N467" s="1">
        <v>2</v>
      </c>
      <c r="O467" s="1">
        <v>3</v>
      </c>
      <c r="P467" s="1">
        <v>3</v>
      </c>
      <c r="Q467" s="1">
        <v>2</v>
      </c>
      <c r="R467" s="1">
        <v>3</v>
      </c>
      <c r="S467" s="1">
        <v>5</v>
      </c>
      <c r="T467" s="1">
        <v>4</v>
      </c>
      <c r="U467" s="1">
        <v>4</v>
      </c>
      <c r="V467" s="1">
        <v>3</v>
      </c>
      <c r="W467" s="1">
        <v>4</v>
      </c>
      <c r="X467" s="1">
        <v>4</v>
      </c>
      <c r="Y467" s="1">
        <v>4</v>
      </c>
      <c r="Z467" s="1">
        <v>3</v>
      </c>
      <c r="AA467" s="1">
        <v>1</v>
      </c>
      <c r="AB467" s="1">
        <v>2</v>
      </c>
      <c r="AC467" s="1">
        <v>4</v>
      </c>
      <c r="AD467" s="1">
        <v>4</v>
      </c>
      <c r="AE467" s="1">
        <v>5</v>
      </c>
      <c r="AF467" s="1">
        <v>1</v>
      </c>
      <c r="AG467" s="1">
        <v>2</v>
      </c>
      <c r="AH467" s="1">
        <v>3</v>
      </c>
      <c r="AI467" s="1">
        <v>2</v>
      </c>
      <c r="AJ467" s="1">
        <v>2</v>
      </c>
      <c r="AK467" s="1">
        <v>2</v>
      </c>
      <c r="AL467" s="1">
        <v>2</v>
      </c>
      <c r="AM467" s="1">
        <v>3</v>
      </c>
      <c r="AN467" s="1">
        <v>3</v>
      </c>
      <c r="AO467" s="1">
        <v>2</v>
      </c>
      <c r="AP467" s="1">
        <v>2</v>
      </c>
      <c r="AQ467" s="1">
        <v>2</v>
      </c>
      <c r="AR467" s="1">
        <v>4</v>
      </c>
      <c r="AS467" s="1">
        <v>4</v>
      </c>
      <c r="AT467" s="1">
        <v>5</v>
      </c>
      <c r="AU467" s="1">
        <v>4</v>
      </c>
      <c r="AV467" s="1">
        <v>2</v>
      </c>
      <c r="AW467" s="1">
        <v>4</v>
      </c>
      <c r="AX467" s="1">
        <v>4</v>
      </c>
      <c r="AY467" s="1">
        <v>3</v>
      </c>
      <c r="AZ467" s="1">
        <v>3</v>
      </c>
      <c r="BA467" s="1">
        <v>3</v>
      </c>
      <c r="BB467" s="1">
        <v>2</v>
      </c>
      <c r="BC467" s="1">
        <v>3</v>
      </c>
    </row>
    <row r="468" spans="1:55">
      <c r="A468" s="1" t="s">
        <v>767</v>
      </c>
      <c r="B468" s="1" t="s">
        <v>489</v>
      </c>
      <c r="C468" s="1" t="s">
        <v>766</v>
      </c>
      <c r="D468" s="1">
        <v>3</v>
      </c>
      <c r="E468" s="1">
        <v>3</v>
      </c>
      <c r="F468" s="1">
        <v>3</v>
      </c>
      <c r="G468" s="1">
        <v>3</v>
      </c>
      <c r="H468" s="1">
        <v>3</v>
      </c>
      <c r="I468" s="1">
        <v>3</v>
      </c>
      <c r="J468" s="1">
        <v>3</v>
      </c>
      <c r="K468" s="1">
        <v>2</v>
      </c>
      <c r="L468" s="1">
        <v>3</v>
      </c>
      <c r="M468" s="1">
        <v>3</v>
      </c>
      <c r="N468" s="1">
        <v>3</v>
      </c>
      <c r="O468" s="1">
        <v>3</v>
      </c>
      <c r="P468" s="1">
        <v>2</v>
      </c>
      <c r="Q468" s="1">
        <v>3</v>
      </c>
      <c r="R468" s="1">
        <v>3</v>
      </c>
      <c r="S468" s="1">
        <v>3</v>
      </c>
      <c r="T468" s="1">
        <v>3</v>
      </c>
      <c r="U468" s="1">
        <v>3</v>
      </c>
      <c r="V468" s="1">
        <v>4</v>
      </c>
      <c r="W468" s="1">
        <v>2</v>
      </c>
      <c r="X468" s="1">
        <v>3</v>
      </c>
      <c r="Y468" s="1">
        <v>2</v>
      </c>
      <c r="Z468" s="1">
        <v>3</v>
      </c>
      <c r="AA468" s="1">
        <v>3</v>
      </c>
      <c r="AB468" s="1">
        <v>2</v>
      </c>
      <c r="AC468" s="1">
        <v>3</v>
      </c>
      <c r="AD468" s="1">
        <v>3</v>
      </c>
      <c r="AE468" s="1">
        <v>3</v>
      </c>
      <c r="AF468" s="1">
        <v>4</v>
      </c>
      <c r="AG468" s="1">
        <v>3</v>
      </c>
      <c r="AH468" s="1">
        <v>3</v>
      </c>
      <c r="AI468" s="1">
        <v>3</v>
      </c>
      <c r="AJ468" s="1">
        <v>3</v>
      </c>
      <c r="AK468" s="1">
        <v>3</v>
      </c>
      <c r="AL468" s="1">
        <v>3</v>
      </c>
      <c r="AM468" s="1">
        <v>3</v>
      </c>
      <c r="AN468" s="1">
        <v>4</v>
      </c>
      <c r="AO468" s="1">
        <v>3</v>
      </c>
      <c r="AP468" s="1">
        <v>3</v>
      </c>
      <c r="AQ468" s="1">
        <v>4</v>
      </c>
      <c r="AR468" s="1">
        <v>4</v>
      </c>
      <c r="AS468" s="1">
        <v>3</v>
      </c>
      <c r="AT468" s="1">
        <v>4</v>
      </c>
      <c r="AU468" s="1">
        <v>3</v>
      </c>
      <c r="AV468" s="1">
        <v>3</v>
      </c>
      <c r="AW468" s="1">
        <v>2</v>
      </c>
      <c r="AX468" s="1">
        <v>2</v>
      </c>
      <c r="AY468" s="1">
        <v>2</v>
      </c>
      <c r="AZ468" s="1">
        <v>4</v>
      </c>
      <c r="BA468" s="1">
        <v>3</v>
      </c>
      <c r="BB468" s="1">
        <v>4</v>
      </c>
      <c r="BC468" s="1">
        <v>2</v>
      </c>
    </row>
    <row r="469" spans="1:55">
      <c r="A469" s="1" t="s">
        <v>768</v>
      </c>
      <c r="B469" s="1" t="s">
        <v>489</v>
      </c>
      <c r="C469" s="1" t="s">
        <v>769</v>
      </c>
      <c r="D469" s="1">
        <v>3</v>
      </c>
      <c r="E469" s="1">
        <v>3</v>
      </c>
      <c r="F469" s="1">
        <v>3</v>
      </c>
      <c r="G469" s="1">
        <v>4</v>
      </c>
      <c r="H469" s="1">
        <v>3</v>
      </c>
      <c r="I469" s="1">
        <v>3</v>
      </c>
      <c r="J469" s="1">
        <v>3</v>
      </c>
      <c r="K469" s="1">
        <v>4</v>
      </c>
      <c r="L469" s="1">
        <v>4</v>
      </c>
      <c r="M469" s="1">
        <v>2</v>
      </c>
      <c r="N469" s="1">
        <v>3</v>
      </c>
      <c r="O469" s="1">
        <v>4</v>
      </c>
      <c r="P469" s="1">
        <v>3</v>
      </c>
      <c r="Q469" s="1">
        <v>4</v>
      </c>
      <c r="R469" s="1">
        <v>2</v>
      </c>
      <c r="S469" s="1">
        <v>2</v>
      </c>
      <c r="T469" s="1">
        <v>2</v>
      </c>
      <c r="U469" s="1">
        <v>2</v>
      </c>
      <c r="V469" s="1">
        <v>3</v>
      </c>
      <c r="W469" s="1">
        <v>3</v>
      </c>
      <c r="X469" s="1">
        <v>2</v>
      </c>
      <c r="Y469" s="1">
        <v>3</v>
      </c>
      <c r="Z469" s="1">
        <v>4</v>
      </c>
      <c r="AA469" s="1">
        <v>4</v>
      </c>
      <c r="AB469" s="1">
        <v>4</v>
      </c>
      <c r="AC469" s="1">
        <v>4</v>
      </c>
      <c r="AD469" s="1">
        <v>3</v>
      </c>
      <c r="AE469" s="1">
        <v>2</v>
      </c>
      <c r="AF469" s="1">
        <v>4</v>
      </c>
      <c r="AG469" s="1">
        <v>4</v>
      </c>
      <c r="AH469" s="1">
        <v>2</v>
      </c>
      <c r="AI469" s="1">
        <v>3</v>
      </c>
      <c r="AJ469" s="1">
        <v>2</v>
      </c>
      <c r="AK469" s="1">
        <v>4</v>
      </c>
      <c r="AL469" s="1">
        <v>4</v>
      </c>
      <c r="AM469" s="1">
        <v>2</v>
      </c>
      <c r="AN469" s="1">
        <v>3</v>
      </c>
      <c r="AO469" s="1">
        <v>5</v>
      </c>
      <c r="AP469" s="1">
        <v>4</v>
      </c>
      <c r="AQ469" s="1">
        <v>4</v>
      </c>
      <c r="AR469" s="1">
        <v>2</v>
      </c>
      <c r="AS469" s="1">
        <v>3</v>
      </c>
      <c r="AT469" s="1">
        <v>3</v>
      </c>
      <c r="AU469" s="1">
        <v>2</v>
      </c>
      <c r="AV469" s="1">
        <v>3</v>
      </c>
      <c r="AW469" s="1">
        <v>3</v>
      </c>
      <c r="AX469" s="1">
        <v>3</v>
      </c>
      <c r="AY469" s="1">
        <v>2</v>
      </c>
      <c r="AZ469" s="1">
        <v>4</v>
      </c>
      <c r="BA469" s="1">
        <v>4</v>
      </c>
      <c r="BB469" s="1">
        <v>3</v>
      </c>
      <c r="BC469" s="1">
        <v>4</v>
      </c>
    </row>
    <row r="470" spans="1:55">
      <c r="A470" s="1" t="s">
        <v>770</v>
      </c>
      <c r="B470" s="1" t="s">
        <v>489</v>
      </c>
      <c r="C470" s="1" t="s">
        <v>769</v>
      </c>
      <c r="D470" s="1">
        <v>3</v>
      </c>
      <c r="E470" s="1">
        <v>4</v>
      </c>
      <c r="F470" s="1">
        <v>3</v>
      </c>
      <c r="G470" s="1">
        <v>2</v>
      </c>
      <c r="H470" s="1">
        <v>3</v>
      </c>
      <c r="I470" s="1">
        <v>3</v>
      </c>
      <c r="J470" s="1">
        <v>3</v>
      </c>
      <c r="K470" s="1">
        <v>3</v>
      </c>
      <c r="L470" s="1">
        <v>2</v>
      </c>
      <c r="M470" s="1">
        <v>4</v>
      </c>
      <c r="N470" s="1">
        <v>3</v>
      </c>
      <c r="O470" s="1">
        <v>3</v>
      </c>
      <c r="P470" s="1">
        <v>1</v>
      </c>
      <c r="Q470" s="1">
        <v>3</v>
      </c>
      <c r="R470" s="1">
        <v>4</v>
      </c>
      <c r="S470" s="1">
        <v>5</v>
      </c>
      <c r="T470" s="1">
        <v>5</v>
      </c>
      <c r="U470" s="1">
        <v>3</v>
      </c>
      <c r="V470" s="1">
        <v>4</v>
      </c>
      <c r="W470" s="1">
        <v>4</v>
      </c>
      <c r="X470" s="1">
        <v>3</v>
      </c>
      <c r="Y470" s="1">
        <v>3</v>
      </c>
      <c r="Z470" s="1">
        <v>4</v>
      </c>
      <c r="AA470" s="1">
        <v>1</v>
      </c>
      <c r="AB470" s="1">
        <v>3</v>
      </c>
      <c r="AC470" s="1">
        <v>3</v>
      </c>
      <c r="AD470" s="1">
        <v>3</v>
      </c>
      <c r="AE470" s="1">
        <v>4</v>
      </c>
      <c r="AF470" s="1">
        <v>1</v>
      </c>
      <c r="AG470" s="1">
        <v>1</v>
      </c>
      <c r="AH470" s="1">
        <v>3</v>
      </c>
      <c r="AI470" s="1">
        <v>2</v>
      </c>
      <c r="AJ470" s="1">
        <v>3</v>
      </c>
      <c r="AK470" s="1">
        <v>3</v>
      </c>
      <c r="AL470" s="1">
        <v>3</v>
      </c>
      <c r="AM470" s="1">
        <v>4</v>
      </c>
      <c r="AN470" s="1">
        <v>4</v>
      </c>
      <c r="AO470" s="1">
        <v>4</v>
      </c>
      <c r="AP470" s="1">
        <v>4</v>
      </c>
      <c r="AQ470" s="1">
        <v>3</v>
      </c>
      <c r="AR470" s="1">
        <v>4</v>
      </c>
      <c r="AS470" s="1">
        <v>5</v>
      </c>
      <c r="AT470" s="1">
        <v>3</v>
      </c>
      <c r="AU470" s="1">
        <v>4</v>
      </c>
      <c r="AV470" s="1">
        <v>3</v>
      </c>
      <c r="AW470" s="1">
        <v>4</v>
      </c>
      <c r="AX470" s="1">
        <v>4</v>
      </c>
      <c r="AY470" s="1">
        <v>3</v>
      </c>
      <c r="AZ470" s="1">
        <v>2</v>
      </c>
      <c r="BA470" s="1">
        <v>2</v>
      </c>
      <c r="BB470" s="1">
        <v>3</v>
      </c>
      <c r="BC470" s="1">
        <v>3</v>
      </c>
    </row>
    <row r="471" spans="1:55">
      <c r="A471" s="1" t="s">
        <v>771</v>
      </c>
      <c r="B471" s="1" t="s">
        <v>489</v>
      </c>
      <c r="C471" s="1" t="s">
        <v>772</v>
      </c>
      <c r="D471" s="1">
        <v>3</v>
      </c>
      <c r="E471" s="1">
        <v>3</v>
      </c>
      <c r="F471" s="1">
        <v>2</v>
      </c>
      <c r="G471" s="1">
        <v>3</v>
      </c>
      <c r="H471" s="1">
        <v>3</v>
      </c>
      <c r="I471" s="1">
        <v>2</v>
      </c>
      <c r="J471" s="1">
        <v>2</v>
      </c>
      <c r="K471" s="1">
        <v>4</v>
      </c>
      <c r="L471" s="1">
        <v>4</v>
      </c>
      <c r="M471" s="1">
        <v>3</v>
      </c>
      <c r="N471" s="1">
        <v>2</v>
      </c>
      <c r="O471" s="1">
        <v>3</v>
      </c>
      <c r="P471" s="1">
        <v>3</v>
      </c>
      <c r="Q471" s="1">
        <v>3</v>
      </c>
      <c r="R471" s="1">
        <v>3</v>
      </c>
      <c r="S471" s="1">
        <v>2</v>
      </c>
      <c r="T471" s="1">
        <v>3</v>
      </c>
      <c r="U471" s="1">
        <v>3</v>
      </c>
      <c r="V471" s="1">
        <v>1</v>
      </c>
      <c r="W471" s="1">
        <v>2</v>
      </c>
      <c r="X471" s="1">
        <v>1</v>
      </c>
      <c r="Y471" s="1">
        <v>2</v>
      </c>
      <c r="Z471" s="1">
        <v>5</v>
      </c>
      <c r="AA471" s="1">
        <v>4</v>
      </c>
      <c r="AB471" s="1">
        <v>4</v>
      </c>
      <c r="AC471" s="1">
        <v>3</v>
      </c>
      <c r="AD471" s="1">
        <v>2</v>
      </c>
      <c r="AE471" s="1">
        <v>3</v>
      </c>
      <c r="AF471" s="1">
        <v>2</v>
      </c>
      <c r="AG471" s="1">
        <v>3</v>
      </c>
      <c r="AH471" s="1">
        <v>2</v>
      </c>
      <c r="AI471" s="1">
        <v>3</v>
      </c>
      <c r="AJ471" s="1">
        <v>3</v>
      </c>
      <c r="AK471" s="1">
        <v>3</v>
      </c>
      <c r="AL471" s="1">
        <v>4</v>
      </c>
      <c r="AM471" s="1">
        <v>3</v>
      </c>
      <c r="AN471" s="1">
        <v>2</v>
      </c>
      <c r="AO471" s="1">
        <v>4</v>
      </c>
      <c r="AP471" s="1">
        <v>4</v>
      </c>
      <c r="AQ471" s="1">
        <v>5</v>
      </c>
      <c r="AR471" s="1">
        <v>2</v>
      </c>
      <c r="AS471" s="1">
        <v>3</v>
      </c>
      <c r="AT471" s="1">
        <v>3</v>
      </c>
      <c r="AU471" s="1">
        <v>3</v>
      </c>
      <c r="AV471" s="1">
        <v>1</v>
      </c>
      <c r="AW471" s="1">
        <v>2</v>
      </c>
      <c r="AX471" s="1">
        <v>2</v>
      </c>
      <c r="AY471" s="1">
        <v>1</v>
      </c>
      <c r="AZ471" s="1">
        <v>4</v>
      </c>
      <c r="BA471" s="1">
        <v>3</v>
      </c>
      <c r="BB471" s="1">
        <v>3</v>
      </c>
      <c r="BC471" s="1">
        <v>3</v>
      </c>
    </row>
    <row r="472" spans="1:55">
      <c r="A472" s="1" t="s">
        <v>773</v>
      </c>
      <c r="B472" s="1" t="s">
        <v>489</v>
      </c>
      <c r="C472" s="1" t="s">
        <v>772</v>
      </c>
      <c r="D472" s="1">
        <v>3</v>
      </c>
      <c r="E472" s="1">
        <v>3</v>
      </c>
      <c r="F472" s="1">
        <v>2</v>
      </c>
      <c r="G472" s="1">
        <v>3</v>
      </c>
      <c r="H472" s="1">
        <v>3</v>
      </c>
      <c r="I472" s="1">
        <v>4</v>
      </c>
      <c r="J472" s="1">
        <v>3</v>
      </c>
      <c r="K472" s="1">
        <v>4</v>
      </c>
      <c r="L472" s="1">
        <v>4</v>
      </c>
      <c r="M472" s="1">
        <v>3</v>
      </c>
      <c r="N472" s="1">
        <v>3</v>
      </c>
      <c r="O472" s="1">
        <v>3</v>
      </c>
      <c r="P472" s="1">
        <v>4</v>
      </c>
      <c r="Q472" s="1">
        <v>3</v>
      </c>
      <c r="R472" s="1">
        <v>3</v>
      </c>
      <c r="S472" s="1">
        <v>3</v>
      </c>
      <c r="T472" s="1">
        <v>3</v>
      </c>
      <c r="U472" s="1">
        <v>2</v>
      </c>
      <c r="V472" s="1">
        <v>2</v>
      </c>
      <c r="W472" s="1">
        <v>2</v>
      </c>
      <c r="X472" s="1">
        <v>3</v>
      </c>
      <c r="Y472" s="1">
        <v>3</v>
      </c>
      <c r="Z472" s="1">
        <v>4</v>
      </c>
      <c r="AA472" s="1">
        <v>4</v>
      </c>
      <c r="AB472" s="1">
        <v>3</v>
      </c>
      <c r="AC472" s="1">
        <v>4</v>
      </c>
      <c r="AD472" s="1">
        <v>3</v>
      </c>
      <c r="AE472" s="1">
        <v>2</v>
      </c>
      <c r="AF472" s="1">
        <v>3</v>
      </c>
      <c r="AG472" s="1">
        <v>4</v>
      </c>
      <c r="AH472" s="1">
        <v>3</v>
      </c>
      <c r="AI472" s="1">
        <v>2</v>
      </c>
      <c r="AJ472" s="1">
        <v>4</v>
      </c>
      <c r="AK472" s="1">
        <v>4</v>
      </c>
      <c r="AL472" s="1">
        <v>4</v>
      </c>
      <c r="AM472" s="1">
        <v>3</v>
      </c>
      <c r="AN472" s="1">
        <v>3</v>
      </c>
      <c r="AO472" s="1">
        <v>4</v>
      </c>
      <c r="AP472" s="1">
        <v>4</v>
      </c>
      <c r="AQ472" s="1">
        <v>2</v>
      </c>
      <c r="AR472" s="1">
        <v>3</v>
      </c>
      <c r="AS472" s="1">
        <v>3</v>
      </c>
      <c r="AT472" s="1">
        <v>3</v>
      </c>
      <c r="AU472" s="1">
        <v>3</v>
      </c>
      <c r="AV472" s="1">
        <v>2</v>
      </c>
      <c r="AW472" s="1">
        <v>2</v>
      </c>
      <c r="AX472" s="1">
        <v>3</v>
      </c>
      <c r="AY472" s="1">
        <v>3</v>
      </c>
      <c r="AZ472" s="1">
        <v>4</v>
      </c>
      <c r="BA472" s="1">
        <v>3</v>
      </c>
      <c r="BB472" s="1">
        <v>3</v>
      </c>
      <c r="BC472" s="1">
        <v>2</v>
      </c>
    </row>
    <row r="473" spans="1:55">
      <c r="A473" s="1" t="s">
        <v>774</v>
      </c>
      <c r="B473" s="1" t="s">
        <v>489</v>
      </c>
      <c r="C473" s="1" t="s">
        <v>775</v>
      </c>
      <c r="D473" s="1">
        <v>2</v>
      </c>
      <c r="E473" s="1">
        <v>2</v>
      </c>
      <c r="F473" s="1">
        <v>3</v>
      </c>
      <c r="G473" s="1">
        <v>3</v>
      </c>
      <c r="H473" s="1">
        <v>4</v>
      </c>
      <c r="I473" s="1">
        <v>3</v>
      </c>
      <c r="J473" s="1">
        <v>3</v>
      </c>
      <c r="K473" s="1">
        <v>3</v>
      </c>
      <c r="L473" s="1">
        <v>4</v>
      </c>
      <c r="M473" s="1">
        <v>2</v>
      </c>
      <c r="N473" s="1">
        <v>3</v>
      </c>
      <c r="O473" s="1">
        <v>4</v>
      </c>
      <c r="P473" s="1">
        <v>2</v>
      </c>
      <c r="Q473" s="1">
        <v>3</v>
      </c>
      <c r="R473" s="1">
        <v>3</v>
      </c>
      <c r="S473" s="1">
        <v>2</v>
      </c>
      <c r="T473" s="1">
        <v>3</v>
      </c>
      <c r="U473" s="1">
        <v>4</v>
      </c>
      <c r="V473" s="1">
        <v>4</v>
      </c>
      <c r="W473" s="1">
        <v>2</v>
      </c>
      <c r="X473" s="1">
        <v>3</v>
      </c>
      <c r="Y473" s="1">
        <v>3</v>
      </c>
      <c r="Z473" s="1">
        <v>3</v>
      </c>
      <c r="AA473" s="1">
        <v>2</v>
      </c>
      <c r="AB473" s="1">
        <v>4</v>
      </c>
      <c r="AC473" s="1">
        <v>3</v>
      </c>
      <c r="AD473" s="1">
        <v>3</v>
      </c>
      <c r="AE473" s="1">
        <v>3</v>
      </c>
      <c r="AF473" s="1">
        <v>3</v>
      </c>
      <c r="AG473" s="1">
        <v>4</v>
      </c>
      <c r="AH473" s="1">
        <v>3</v>
      </c>
      <c r="AI473" s="1">
        <v>3</v>
      </c>
      <c r="AJ473" s="1">
        <v>3</v>
      </c>
      <c r="AK473" s="1">
        <v>4</v>
      </c>
      <c r="AL473" s="1">
        <v>2</v>
      </c>
      <c r="AM473" s="1">
        <v>3</v>
      </c>
      <c r="AN473" s="1">
        <v>3</v>
      </c>
      <c r="AO473" s="1">
        <v>2</v>
      </c>
      <c r="AP473" s="1">
        <v>3</v>
      </c>
      <c r="AQ473" s="1">
        <v>4</v>
      </c>
      <c r="AR473" s="1">
        <v>3</v>
      </c>
      <c r="AS473" s="1">
        <v>3</v>
      </c>
      <c r="AT473" s="1">
        <v>4</v>
      </c>
      <c r="AU473" s="1">
        <v>2</v>
      </c>
      <c r="AV473" s="1">
        <v>3</v>
      </c>
      <c r="AW473" s="1">
        <v>1</v>
      </c>
      <c r="AX473" s="1">
        <v>2</v>
      </c>
      <c r="AY473" s="1">
        <v>3</v>
      </c>
      <c r="AZ473" s="1">
        <v>3</v>
      </c>
      <c r="BA473" s="1">
        <v>3</v>
      </c>
      <c r="BB473" s="1">
        <v>3</v>
      </c>
      <c r="BC473" s="1">
        <v>3</v>
      </c>
    </row>
    <row r="474" spans="1:55">
      <c r="A474" s="1" t="s">
        <v>776</v>
      </c>
      <c r="B474" s="1" t="s">
        <v>489</v>
      </c>
      <c r="C474" s="1" t="s">
        <v>775</v>
      </c>
      <c r="D474" s="1">
        <v>3</v>
      </c>
      <c r="E474" s="1">
        <v>4</v>
      </c>
      <c r="F474" s="1">
        <v>2</v>
      </c>
      <c r="G474" s="1">
        <v>3</v>
      </c>
      <c r="H474" s="1">
        <v>3</v>
      </c>
      <c r="I474" s="1">
        <v>3</v>
      </c>
      <c r="J474" s="1">
        <v>3</v>
      </c>
      <c r="K474" s="1">
        <v>3</v>
      </c>
      <c r="L474" s="1">
        <v>3</v>
      </c>
      <c r="M474" s="1">
        <v>3</v>
      </c>
      <c r="N474" s="1">
        <v>4</v>
      </c>
      <c r="O474" s="1">
        <v>3</v>
      </c>
      <c r="P474" s="1">
        <v>3</v>
      </c>
      <c r="Q474" s="1">
        <v>3</v>
      </c>
      <c r="R474" s="1">
        <v>4</v>
      </c>
      <c r="S474" s="1">
        <v>4</v>
      </c>
      <c r="T474" s="1">
        <v>4</v>
      </c>
      <c r="U474" s="1">
        <v>3</v>
      </c>
      <c r="V474" s="1">
        <v>4</v>
      </c>
      <c r="W474" s="1">
        <v>2</v>
      </c>
      <c r="X474" s="1">
        <v>2</v>
      </c>
      <c r="Y474" s="1">
        <v>3</v>
      </c>
      <c r="Z474" s="1">
        <v>2</v>
      </c>
      <c r="AA474" s="1">
        <v>2</v>
      </c>
      <c r="AB474" s="1">
        <v>3</v>
      </c>
      <c r="AC474" s="1">
        <v>3</v>
      </c>
      <c r="AD474" s="1">
        <v>3</v>
      </c>
      <c r="AE474" s="1">
        <v>3</v>
      </c>
      <c r="AF474" s="1">
        <v>3</v>
      </c>
      <c r="AG474" s="1">
        <v>3</v>
      </c>
      <c r="AH474" s="1">
        <v>3</v>
      </c>
      <c r="AI474" s="1">
        <v>3</v>
      </c>
      <c r="AJ474" s="1">
        <v>4</v>
      </c>
      <c r="AK474" s="1">
        <v>1</v>
      </c>
      <c r="AL474" s="1">
        <v>2</v>
      </c>
      <c r="AM474" s="1">
        <v>4</v>
      </c>
      <c r="AN474" s="1">
        <v>4</v>
      </c>
      <c r="AO474" s="1">
        <v>3</v>
      </c>
      <c r="AP474" s="1">
        <v>3</v>
      </c>
      <c r="AQ474" s="1">
        <v>4</v>
      </c>
      <c r="AR474" s="1">
        <v>3</v>
      </c>
      <c r="AS474" s="1">
        <v>4</v>
      </c>
      <c r="AT474" s="1">
        <v>3</v>
      </c>
      <c r="AU474" s="1">
        <v>3</v>
      </c>
      <c r="AV474" s="1">
        <v>3</v>
      </c>
      <c r="AW474" s="1">
        <v>2</v>
      </c>
      <c r="AX474" s="1">
        <v>2</v>
      </c>
      <c r="AY474" s="1">
        <v>2</v>
      </c>
      <c r="AZ474" s="1">
        <v>3</v>
      </c>
      <c r="BA474" s="1">
        <v>3</v>
      </c>
      <c r="BB474" s="1">
        <v>3</v>
      </c>
      <c r="BC474" s="1">
        <v>3</v>
      </c>
    </row>
    <row r="475" spans="1:55">
      <c r="A475" s="1" t="s">
        <v>777</v>
      </c>
      <c r="B475" s="1" t="s">
        <v>489</v>
      </c>
      <c r="C475" s="1" t="s">
        <v>778</v>
      </c>
      <c r="D475" s="1">
        <v>3</v>
      </c>
      <c r="E475" s="1">
        <v>2</v>
      </c>
      <c r="F475" s="1">
        <v>3</v>
      </c>
      <c r="G475" s="1">
        <v>3</v>
      </c>
      <c r="H475" s="1">
        <v>3</v>
      </c>
      <c r="I475" s="1">
        <v>3</v>
      </c>
      <c r="J475" s="1">
        <v>3</v>
      </c>
      <c r="K475" s="1">
        <v>4</v>
      </c>
      <c r="L475" s="1">
        <v>4</v>
      </c>
      <c r="M475" s="1">
        <v>2</v>
      </c>
      <c r="N475" s="1">
        <v>4</v>
      </c>
      <c r="O475" s="1">
        <v>4</v>
      </c>
      <c r="P475" s="1">
        <v>4</v>
      </c>
      <c r="Q475" s="1">
        <v>3</v>
      </c>
      <c r="R475" s="1">
        <v>2</v>
      </c>
      <c r="S475" s="1">
        <v>2</v>
      </c>
      <c r="T475" s="1">
        <v>2</v>
      </c>
      <c r="U475" s="1">
        <v>2</v>
      </c>
      <c r="V475" s="1">
        <v>3</v>
      </c>
      <c r="W475" s="1">
        <v>4</v>
      </c>
      <c r="X475" s="1">
        <v>3</v>
      </c>
      <c r="Y475" s="1">
        <v>3</v>
      </c>
      <c r="Z475" s="1">
        <v>4</v>
      </c>
      <c r="AA475" s="1">
        <v>4</v>
      </c>
      <c r="AB475" s="1">
        <v>4</v>
      </c>
      <c r="AC475" s="1">
        <v>3</v>
      </c>
      <c r="AD475" s="1">
        <v>3</v>
      </c>
      <c r="AE475" s="1">
        <v>2</v>
      </c>
      <c r="AF475" s="1">
        <v>4</v>
      </c>
      <c r="AG475" s="1">
        <v>4</v>
      </c>
      <c r="AH475" s="1">
        <v>2</v>
      </c>
      <c r="AI475" s="1">
        <v>3</v>
      </c>
      <c r="AJ475" s="1">
        <v>3</v>
      </c>
      <c r="AK475" s="1">
        <v>3</v>
      </c>
      <c r="AL475" s="1">
        <v>4</v>
      </c>
      <c r="AM475" s="1">
        <v>2</v>
      </c>
      <c r="AN475" s="1">
        <v>3</v>
      </c>
      <c r="AO475" s="1">
        <v>4</v>
      </c>
      <c r="AP475" s="1">
        <v>4</v>
      </c>
      <c r="AQ475" s="1">
        <v>4</v>
      </c>
      <c r="AR475" s="1">
        <v>2</v>
      </c>
      <c r="AS475" s="1">
        <v>3</v>
      </c>
      <c r="AT475" s="1">
        <v>2</v>
      </c>
      <c r="AU475" s="1">
        <v>3</v>
      </c>
      <c r="AV475" s="1">
        <v>3</v>
      </c>
      <c r="AW475" s="1">
        <v>3</v>
      </c>
      <c r="AX475" s="1">
        <v>3</v>
      </c>
      <c r="AY475" s="1">
        <v>3</v>
      </c>
      <c r="AZ475" s="1">
        <v>4</v>
      </c>
      <c r="BA475" s="1">
        <v>4</v>
      </c>
      <c r="BB475" s="1">
        <v>4</v>
      </c>
      <c r="BC475" s="1">
        <v>3</v>
      </c>
    </row>
    <row r="476" spans="1:55">
      <c r="A476" s="1" t="s">
        <v>779</v>
      </c>
      <c r="B476" s="1" t="s">
        <v>489</v>
      </c>
      <c r="C476" s="1" t="s">
        <v>778</v>
      </c>
      <c r="D476" s="1">
        <v>2</v>
      </c>
      <c r="E476" s="1">
        <v>3</v>
      </c>
      <c r="F476" s="1">
        <v>4</v>
      </c>
      <c r="G476" s="1">
        <v>3</v>
      </c>
      <c r="H476" s="1">
        <v>3</v>
      </c>
      <c r="I476" s="1">
        <v>3</v>
      </c>
      <c r="J476" s="1">
        <v>4</v>
      </c>
      <c r="K476" s="1">
        <v>3</v>
      </c>
      <c r="L476" s="1">
        <v>3</v>
      </c>
      <c r="M476" s="1">
        <v>2</v>
      </c>
      <c r="N476" s="1">
        <v>2</v>
      </c>
      <c r="O476" s="1">
        <v>3</v>
      </c>
      <c r="P476" s="1">
        <v>3</v>
      </c>
      <c r="Q476" s="1">
        <v>3</v>
      </c>
      <c r="R476" s="1">
        <v>2</v>
      </c>
      <c r="S476" s="1">
        <v>4</v>
      </c>
      <c r="T476" s="1">
        <v>1</v>
      </c>
      <c r="U476" s="1">
        <v>2</v>
      </c>
      <c r="V476" s="1">
        <v>4</v>
      </c>
      <c r="W476" s="1">
        <v>3</v>
      </c>
      <c r="X476" s="1">
        <v>3</v>
      </c>
      <c r="Y476" s="1">
        <v>3</v>
      </c>
      <c r="Z476" s="1">
        <v>3</v>
      </c>
      <c r="AA476" s="1">
        <v>3</v>
      </c>
      <c r="AB476" s="1">
        <v>4</v>
      </c>
      <c r="AC476" s="1">
        <v>2</v>
      </c>
      <c r="AD476" s="1">
        <v>4</v>
      </c>
      <c r="AE476" s="1">
        <v>3</v>
      </c>
      <c r="AF476" s="1">
        <v>4</v>
      </c>
      <c r="AG476" s="1">
        <v>4</v>
      </c>
      <c r="AH476" s="1">
        <v>2</v>
      </c>
      <c r="AI476" s="1">
        <v>2</v>
      </c>
      <c r="AJ476" s="1">
        <v>4</v>
      </c>
      <c r="AK476" s="1">
        <v>3</v>
      </c>
      <c r="AL476" s="1">
        <v>2</v>
      </c>
      <c r="AM476" s="1">
        <v>3</v>
      </c>
      <c r="AN476" s="1">
        <v>3</v>
      </c>
      <c r="AO476" s="1">
        <v>4</v>
      </c>
      <c r="AP476" s="1">
        <v>3</v>
      </c>
      <c r="AQ476" s="1">
        <v>3</v>
      </c>
      <c r="AR476" s="1">
        <v>2</v>
      </c>
      <c r="AS476" s="1">
        <v>3</v>
      </c>
      <c r="AT476" s="1">
        <v>3</v>
      </c>
      <c r="AU476" s="1">
        <v>2</v>
      </c>
      <c r="AV476" s="1">
        <v>3</v>
      </c>
      <c r="AW476" s="1">
        <v>4</v>
      </c>
      <c r="AX476" s="1">
        <v>3</v>
      </c>
      <c r="AY476" s="1">
        <v>3</v>
      </c>
      <c r="AZ476" s="1">
        <v>3</v>
      </c>
      <c r="BA476" s="1">
        <v>3</v>
      </c>
      <c r="BB476" s="1">
        <v>4</v>
      </c>
      <c r="BC476" s="1">
        <v>3</v>
      </c>
    </row>
    <row r="477" spans="1:55">
      <c r="A477" s="1" t="s">
        <v>780</v>
      </c>
      <c r="B477" s="1" t="s">
        <v>489</v>
      </c>
      <c r="C477" s="1" t="s">
        <v>781</v>
      </c>
      <c r="D477" s="1">
        <v>2</v>
      </c>
      <c r="E477" s="1">
        <v>3</v>
      </c>
      <c r="F477" s="1">
        <v>3</v>
      </c>
      <c r="G477" s="1">
        <v>3</v>
      </c>
      <c r="H477" s="1">
        <v>4</v>
      </c>
      <c r="I477" s="1">
        <v>2</v>
      </c>
      <c r="J477" s="1">
        <v>3</v>
      </c>
      <c r="K477" s="1">
        <v>2</v>
      </c>
      <c r="L477" s="1">
        <v>2</v>
      </c>
      <c r="M477" s="1">
        <v>4</v>
      </c>
      <c r="N477" s="1">
        <v>2</v>
      </c>
      <c r="O477" s="1">
        <v>2</v>
      </c>
      <c r="P477" s="1">
        <v>2</v>
      </c>
      <c r="Q477" s="1">
        <v>3</v>
      </c>
      <c r="R477" s="1">
        <v>4</v>
      </c>
      <c r="S477" s="1">
        <v>4</v>
      </c>
      <c r="T477" s="1">
        <v>4</v>
      </c>
      <c r="U477" s="1">
        <v>5</v>
      </c>
      <c r="V477" s="1">
        <v>4</v>
      </c>
      <c r="W477" s="1">
        <v>4</v>
      </c>
      <c r="X477" s="1">
        <v>2</v>
      </c>
      <c r="Y477" s="1">
        <v>3</v>
      </c>
      <c r="Z477" s="1">
        <v>2</v>
      </c>
      <c r="AA477" s="1">
        <v>2</v>
      </c>
      <c r="AB477" s="1">
        <v>3</v>
      </c>
      <c r="AC477" s="1">
        <v>2</v>
      </c>
      <c r="AD477" s="1">
        <v>3</v>
      </c>
      <c r="AE477" s="1">
        <v>3</v>
      </c>
      <c r="AF477" s="1">
        <v>1</v>
      </c>
      <c r="AG477" s="1">
        <v>3</v>
      </c>
      <c r="AH477" s="1">
        <v>3</v>
      </c>
      <c r="AI477" s="1">
        <v>3</v>
      </c>
      <c r="AJ477" s="1">
        <v>3</v>
      </c>
      <c r="AK477" s="1">
        <v>2</v>
      </c>
      <c r="AL477" s="1">
        <v>3</v>
      </c>
      <c r="AM477" s="1">
        <v>3</v>
      </c>
      <c r="AN477" s="1">
        <v>3</v>
      </c>
      <c r="AO477" s="1">
        <v>2</v>
      </c>
      <c r="AP477" s="1">
        <v>2</v>
      </c>
      <c r="AQ477" s="1">
        <v>2</v>
      </c>
      <c r="AR477" s="1">
        <v>4</v>
      </c>
      <c r="AS477" s="1">
        <v>3</v>
      </c>
      <c r="AT477" s="1">
        <v>3</v>
      </c>
      <c r="AU477" s="1">
        <v>3</v>
      </c>
      <c r="AV477" s="1">
        <v>3</v>
      </c>
      <c r="AW477" s="1">
        <v>3</v>
      </c>
      <c r="AX477" s="1">
        <v>2</v>
      </c>
      <c r="AY477" s="1">
        <v>2</v>
      </c>
      <c r="AZ477" s="1">
        <v>1</v>
      </c>
      <c r="BA477" s="1">
        <v>3</v>
      </c>
      <c r="BB477" s="1">
        <v>3</v>
      </c>
      <c r="BC477" s="1">
        <v>4</v>
      </c>
    </row>
    <row r="478" spans="1:55">
      <c r="A478" s="1" t="s">
        <v>782</v>
      </c>
      <c r="B478" s="1" t="s">
        <v>489</v>
      </c>
      <c r="C478" s="1" t="s">
        <v>781</v>
      </c>
      <c r="D478" s="1">
        <v>4</v>
      </c>
      <c r="E478" s="1">
        <v>4</v>
      </c>
      <c r="F478" s="1">
        <v>2</v>
      </c>
      <c r="G478" s="1">
        <v>2</v>
      </c>
      <c r="H478" s="1">
        <v>5</v>
      </c>
      <c r="I478" s="1">
        <v>4</v>
      </c>
      <c r="J478" s="1">
        <v>3</v>
      </c>
      <c r="K478" s="1">
        <v>2</v>
      </c>
      <c r="L478" s="1">
        <v>2</v>
      </c>
      <c r="M478" s="1">
        <v>4</v>
      </c>
      <c r="N478" s="1">
        <v>4</v>
      </c>
      <c r="O478" s="1">
        <v>3</v>
      </c>
      <c r="P478" s="1">
        <v>3</v>
      </c>
      <c r="Q478" s="1">
        <v>2</v>
      </c>
      <c r="R478" s="1">
        <v>4</v>
      </c>
      <c r="S478" s="1">
        <v>3</v>
      </c>
      <c r="T478" s="1">
        <v>3</v>
      </c>
      <c r="U478" s="1">
        <v>4</v>
      </c>
      <c r="V478" s="1">
        <v>3</v>
      </c>
      <c r="W478" s="1">
        <v>4</v>
      </c>
      <c r="X478" s="1">
        <v>2</v>
      </c>
      <c r="Y478" s="1">
        <v>2</v>
      </c>
      <c r="Z478" s="1">
        <v>2</v>
      </c>
      <c r="AA478" s="1">
        <v>4</v>
      </c>
      <c r="AB478" s="1">
        <v>2</v>
      </c>
      <c r="AC478" s="1">
        <v>3</v>
      </c>
      <c r="AD478" s="1">
        <v>3</v>
      </c>
      <c r="AE478" s="1">
        <v>4</v>
      </c>
      <c r="AF478" s="1">
        <v>2</v>
      </c>
      <c r="AG478" s="1">
        <v>2</v>
      </c>
      <c r="AH478" s="1">
        <v>3</v>
      </c>
      <c r="AI478" s="1">
        <v>3</v>
      </c>
      <c r="AJ478" s="1">
        <v>5</v>
      </c>
      <c r="AK478" s="1">
        <v>3</v>
      </c>
      <c r="AL478" s="1">
        <v>4</v>
      </c>
      <c r="AM478" s="1">
        <v>4</v>
      </c>
      <c r="AN478" s="1">
        <v>3</v>
      </c>
      <c r="AO478" s="1">
        <v>3</v>
      </c>
      <c r="AP478" s="1">
        <v>4</v>
      </c>
      <c r="AQ478" s="1">
        <v>3</v>
      </c>
      <c r="AR478" s="1">
        <v>4</v>
      </c>
      <c r="AS478" s="1">
        <v>4</v>
      </c>
      <c r="AT478" s="1">
        <v>4</v>
      </c>
      <c r="AU478" s="1">
        <v>4</v>
      </c>
      <c r="AV478" s="1">
        <v>3</v>
      </c>
      <c r="AW478" s="1">
        <v>2</v>
      </c>
      <c r="AX478" s="1">
        <v>3</v>
      </c>
      <c r="AY478" s="1">
        <v>3</v>
      </c>
      <c r="AZ478" s="1">
        <v>2</v>
      </c>
      <c r="BA478" s="1">
        <v>3</v>
      </c>
      <c r="BB478" s="1">
        <v>3</v>
      </c>
      <c r="BC478" s="1">
        <v>2</v>
      </c>
    </row>
    <row r="479" spans="1:55">
      <c r="A479" s="1" t="s">
        <v>783</v>
      </c>
      <c r="B479" s="1" t="s">
        <v>489</v>
      </c>
      <c r="C479" s="1" t="s">
        <v>784</v>
      </c>
      <c r="D479" s="1">
        <v>3</v>
      </c>
      <c r="E479" s="1">
        <v>4</v>
      </c>
      <c r="F479" s="1">
        <v>3</v>
      </c>
      <c r="G479" s="1">
        <v>3</v>
      </c>
      <c r="H479" s="1">
        <v>2</v>
      </c>
      <c r="I479" s="1">
        <v>2</v>
      </c>
      <c r="J479" s="1">
        <v>2</v>
      </c>
      <c r="K479" s="1">
        <v>3</v>
      </c>
      <c r="L479" s="1">
        <v>3</v>
      </c>
      <c r="M479" s="1">
        <v>5</v>
      </c>
      <c r="N479" s="1">
        <v>1</v>
      </c>
      <c r="O479" s="1">
        <v>3</v>
      </c>
      <c r="P479" s="1">
        <v>3</v>
      </c>
      <c r="Q479" s="1">
        <v>2</v>
      </c>
      <c r="R479" s="1">
        <v>4</v>
      </c>
      <c r="S479" s="1">
        <v>3</v>
      </c>
      <c r="T479" s="1">
        <v>3</v>
      </c>
      <c r="U479" s="1">
        <v>4</v>
      </c>
      <c r="V479" s="1">
        <v>1</v>
      </c>
      <c r="W479" s="1">
        <v>3</v>
      </c>
      <c r="X479" s="1">
        <v>4</v>
      </c>
      <c r="Y479" s="1">
        <v>4</v>
      </c>
      <c r="Z479" s="1">
        <v>3</v>
      </c>
      <c r="AA479" s="1">
        <v>4</v>
      </c>
      <c r="AB479" s="1">
        <v>3</v>
      </c>
      <c r="AC479" s="1">
        <v>4</v>
      </c>
      <c r="AD479" s="1">
        <v>2</v>
      </c>
      <c r="AE479" s="1">
        <v>4</v>
      </c>
      <c r="AF479" s="1">
        <v>2</v>
      </c>
      <c r="AG479" s="1">
        <v>2</v>
      </c>
      <c r="AH479" s="1">
        <v>2</v>
      </c>
      <c r="AI479" s="1">
        <v>1</v>
      </c>
      <c r="AJ479" s="1">
        <v>1</v>
      </c>
      <c r="AK479" s="1">
        <v>3</v>
      </c>
      <c r="AL479" s="1">
        <v>2</v>
      </c>
      <c r="AM479" s="1">
        <v>3</v>
      </c>
      <c r="AN479" s="1">
        <v>2</v>
      </c>
      <c r="AO479" s="1">
        <v>2</v>
      </c>
      <c r="AP479" s="1">
        <v>3</v>
      </c>
      <c r="AQ479" s="1">
        <v>2</v>
      </c>
      <c r="AR479" s="1">
        <v>4</v>
      </c>
      <c r="AS479" s="1">
        <v>5</v>
      </c>
      <c r="AT479" s="1">
        <v>3</v>
      </c>
      <c r="AU479" s="1">
        <v>4</v>
      </c>
      <c r="AV479" s="1">
        <v>1</v>
      </c>
      <c r="AW479" s="1">
        <v>3</v>
      </c>
      <c r="AX479" s="1">
        <v>3</v>
      </c>
      <c r="AY479" s="1">
        <v>4</v>
      </c>
      <c r="AZ479" s="1">
        <v>3</v>
      </c>
      <c r="BA479" s="1">
        <v>3</v>
      </c>
      <c r="BB479" s="1">
        <v>3</v>
      </c>
      <c r="BC479" s="1">
        <v>5</v>
      </c>
    </row>
    <row r="480" spans="1:55">
      <c r="A480" s="1" t="s">
        <v>785</v>
      </c>
      <c r="B480" s="1" t="s">
        <v>489</v>
      </c>
      <c r="C480" s="1" t="s">
        <v>784</v>
      </c>
      <c r="D480" s="1">
        <v>3</v>
      </c>
      <c r="E480" s="1">
        <v>3</v>
      </c>
      <c r="F480" s="1">
        <v>3</v>
      </c>
      <c r="G480" s="1">
        <v>2</v>
      </c>
      <c r="H480" s="1">
        <v>3</v>
      </c>
      <c r="I480" s="1">
        <v>3</v>
      </c>
      <c r="J480" s="1">
        <v>4</v>
      </c>
      <c r="K480" s="1">
        <v>3</v>
      </c>
      <c r="L480" s="1">
        <v>3</v>
      </c>
      <c r="M480" s="1">
        <v>4</v>
      </c>
      <c r="N480" s="1">
        <v>4</v>
      </c>
      <c r="O480" s="1">
        <v>3</v>
      </c>
      <c r="P480" s="1">
        <v>3</v>
      </c>
      <c r="Q480" s="1">
        <v>3</v>
      </c>
      <c r="R480" s="1">
        <v>2</v>
      </c>
      <c r="S480" s="1">
        <v>3</v>
      </c>
      <c r="T480" s="1">
        <v>3</v>
      </c>
      <c r="U480" s="1">
        <v>3</v>
      </c>
      <c r="V480" s="1">
        <v>3</v>
      </c>
      <c r="W480" s="1">
        <v>3</v>
      </c>
      <c r="X480" s="1">
        <v>3</v>
      </c>
      <c r="Y480" s="1">
        <v>3</v>
      </c>
      <c r="Z480" s="1">
        <v>4</v>
      </c>
      <c r="AA480" s="1">
        <v>4</v>
      </c>
      <c r="AB480" s="1">
        <v>3</v>
      </c>
      <c r="AC480" s="1">
        <v>2</v>
      </c>
      <c r="AD480" s="1">
        <v>3</v>
      </c>
      <c r="AE480" s="1">
        <v>3</v>
      </c>
      <c r="AF480" s="1">
        <v>2</v>
      </c>
      <c r="AG480" s="1">
        <v>2</v>
      </c>
      <c r="AH480" s="1">
        <v>4</v>
      </c>
      <c r="AI480" s="1">
        <v>4</v>
      </c>
      <c r="AJ480" s="1">
        <v>3</v>
      </c>
      <c r="AK480" s="1">
        <v>3</v>
      </c>
      <c r="AL480" s="1">
        <v>4</v>
      </c>
      <c r="AM480" s="1">
        <v>2</v>
      </c>
      <c r="AN480" s="1">
        <v>4</v>
      </c>
      <c r="AO480" s="1">
        <v>2</v>
      </c>
      <c r="AP480" s="1">
        <v>4</v>
      </c>
      <c r="AQ480" s="1">
        <v>3</v>
      </c>
      <c r="AR480" s="1">
        <v>3</v>
      </c>
      <c r="AS480" s="1">
        <v>3</v>
      </c>
      <c r="AT480" s="1">
        <v>2</v>
      </c>
      <c r="AU480" s="1">
        <v>4</v>
      </c>
      <c r="AV480" s="1">
        <v>4</v>
      </c>
      <c r="AW480" s="1">
        <v>3</v>
      </c>
      <c r="AX480" s="1">
        <v>4</v>
      </c>
      <c r="AY480" s="1">
        <v>2</v>
      </c>
      <c r="AZ480" s="1">
        <v>4</v>
      </c>
      <c r="BA480" s="1">
        <v>3</v>
      </c>
      <c r="BB480" s="1">
        <v>4</v>
      </c>
      <c r="BC480" s="1">
        <v>3</v>
      </c>
    </row>
    <row r="481" spans="1:55">
      <c r="A481" s="1" t="s">
        <v>786</v>
      </c>
      <c r="B481" s="1" t="s">
        <v>489</v>
      </c>
      <c r="C481" s="1" t="s">
        <v>787</v>
      </c>
      <c r="D481" s="1">
        <v>3</v>
      </c>
      <c r="E481" s="1">
        <v>5</v>
      </c>
      <c r="F481" s="1">
        <v>3</v>
      </c>
      <c r="G481" s="1">
        <v>2</v>
      </c>
      <c r="H481" s="1">
        <v>3</v>
      </c>
      <c r="I481" s="1">
        <v>2</v>
      </c>
      <c r="J481" s="1">
        <v>2</v>
      </c>
      <c r="K481" s="1">
        <v>4</v>
      </c>
      <c r="L481" s="1">
        <v>4</v>
      </c>
      <c r="M481" s="1">
        <v>4</v>
      </c>
      <c r="N481" s="1">
        <v>3</v>
      </c>
      <c r="O481" s="1">
        <v>4</v>
      </c>
      <c r="P481" s="1">
        <v>4</v>
      </c>
      <c r="Q481" s="1">
        <v>4</v>
      </c>
      <c r="R481" s="1">
        <v>4</v>
      </c>
      <c r="S481" s="1">
        <v>3</v>
      </c>
      <c r="T481" s="1">
        <v>4</v>
      </c>
      <c r="U481" s="1">
        <v>3</v>
      </c>
      <c r="V481" s="1">
        <v>2</v>
      </c>
      <c r="W481" s="1">
        <v>4</v>
      </c>
      <c r="X481" s="1">
        <v>3</v>
      </c>
      <c r="Y481" s="1">
        <v>3</v>
      </c>
      <c r="Z481" s="1">
        <v>3</v>
      </c>
      <c r="AA481" s="1">
        <v>4</v>
      </c>
      <c r="AB481" s="1">
        <v>4</v>
      </c>
      <c r="AC481" s="1">
        <v>3</v>
      </c>
      <c r="AD481" s="1">
        <v>2</v>
      </c>
      <c r="AE481" s="1">
        <v>5</v>
      </c>
      <c r="AF481" s="1">
        <v>2</v>
      </c>
      <c r="AG481" s="1">
        <v>2</v>
      </c>
      <c r="AH481" s="1">
        <v>3</v>
      </c>
      <c r="AI481" s="1">
        <v>3</v>
      </c>
      <c r="AJ481" s="1">
        <v>3</v>
      </c>
      <c r="AK481" s="1">
        <v>4</v>
      </c>
      <c r="AL481" s="1">
        <v>3</v>
      </c>
      <c r="AM481" s="1">
        <v>4</v>
      </c>
      <c r="AN481" s="1">
        <v>2</v>
      </c>
      <c r="AO481" s="1">
        <v>3</v>
      </c>
      <c r="AP481" s="1">
        <v>3</v>
      </c>
      <c r="AQ481" s="1">
        <v>3</v>
      </c>
      <c r="AR481" s="1">
        <v>3</v>
      </c>
      <c r="AS481" s="1">
        <v>4</v>
      </c>
      <c r="AT481" s="1">
        <v>3</v>
      </c>
      <c r="AU481" s="1">
        <v>4</v>
      </c>
      <c r="AV481" s="1">
        <v>2</v>
      </c>
      <c r="AW481" s="1">
        <v>3</v>
      </c>
      <c r="AX481" s="1">
        <v>2</v>
      </c>
      <c r="AY481" s="1">
        <v>3</v>
      </c>
      <c r="AZ481" s="1">
        <v>3</v>
      </c>
      <c r="BA481" s="1">
        <v>4</v>
      </c>
      <c r="BB481" s="1">
        <v>2</v>
      </c>
      <c r="BC481" s="1">
        <v>3</v>
      </c>
    </row>
    <row r="482" spans="1:55">
      <c r="A482" s="1" t="s">
        <v>788</v>
      </c>
      <c r="B482" s="1" t="s">
        <v>489</v>
      </c>
      <c r="C482" s="1" t="s">
        <v>787</v>
      </c>
      <c r="D482" s="1">
        <v>2</v>
      </c>
      <c r="E482" s="1">
        <v>2</v>
      </c>
      <c r="F482" s="1">
        <v>2</v>
      </c>
      <c r="G482" s="1">
        <v>3</v>
      </c>
      <c r="H482" s="1">
        <v>2</v>
      </c>
      <c r="I482" s="1">
        <v>3</v>
      </c>
      <c r="J482" s="1">
        <v>2</v>
      </c>
      <c r="K482" s="1">
        <v>3</v>
      </c>
      <c r="L482" s="1">
        <v>3</v>
      </c>
      <c r="M482" s="1">
        <v>4</v>
      </c>
      <c r="N482" s="1">
        <v>2</v>
      </c>
      <c r="O482" s="1">
        <v>3</v>
      </c>
      <c r="P482" s="1">
        <v>4</v>
      </c>
      <c r="Q482" s="1">
        <v>4</v>
      </c>
      <c r="R482" s="1">
        <v>4</v>
      </c>
      <c r="S482" s="1">
        <v>4</v>
      </c>
      <c r="T482" s="1">
        <v>3</v>
      </c>
      <c r="U482" s="1">
        <v>3</v>
      </c>
      <c r="V482" s="1">
        <v>2</v>
      </c>
      <c r="W482" s="1">
        <v>2</v>
      </c>
      <c r="X482" s="1">
        <v>3</v>
      </c>
      <c r="Y482" s="1">
        <v>3</v>
      </c>
      <c r="Z482" s="1">
        <v>2</v>
      </c>
      <c r="AA482" s="1">
        <v>3</v>
      </c>
      <c r="AB482" s="1">
        <v>2</v>
      </c>
      <c r="AC482" s="1">
        <v>4</v>
      </c>
      <c r="AD482" s="1">
        <v>2</v>
      </c>
      <c r="AE482" s="1">
        <v>4</v>
      </c>
      <c r="AF482" s="1">
        <v>3</v>
      </c>
      <c r="AG482" s="1">
        <v>3</v>
      </c>
      <c r="AH482" s="1">
        <v>3</v>
      </c>
      <c r="AI482" s="1">
        <v>3</v>
      </c>
      <c r="AJ482" s="1">
        <v>2</v>
      </c>
      <c r="AK482" s="1">
        <v>4</v>
      </c>
      <c r="AL482" s="1">
        <v>3</v>
      </c>
      <c r="AM482" s="1">
        <v>2</v>
      </c>
      <c r="AN482" s="1">
        <v>1</v>
      </c>
      <c r="AO482" s="1">
        <v>2</v>
      </c>
      <c r="AP482" s="1">
        <v>2</v>
      </c>
      <c r="AQ482" s="1">
        <v>5</v>
      </c>
      <c r="AR482" s="1">
        <v>3</v>
      </c>
      <c r="AS482" s="1">
        <v>3</v>
      </c>
      <c r="AT482" s="1">
        <v>3</v>
      </c>
      <c r="AU482" s="1">
        <v>3</v>
      </c>
      <c r="AV482" s="1">
        <v>2</v>
      </c>
      <c r="AW482" s="1">
        <v>3</v>
      </c>
      <c r="AX482" s="1">
        <v>3</v>
      </c>
      <c r="AY482" s="1">
        <v>3</v>
      </c>
      <c r="AZ482" s="1">
        <v>3</v>
      </c>
      <c r="BA482" s="1">
        <v>4</v>
      </c>
      <c r="BB482" s="1">
        <v>4</v>
      </c>
      <c r="BC482" s="1">
        <v>4</v>
      </c>
    </row>
    <row r="483" spans="1:55">
      <c r="A483" s="1" t="s">
        <v>789</v>
      </c>
      <c r="B483" s="1" t="s">
        <v>489</v>
      </c>
      <c r="C483" s="1" t="s">
        <v>790</v>
      </c>
      <c r="D483" s="1">
        <v>3</v>
      </c>
      <c r="E483" s="1">
        <v>2</v>
      </c>
      <c r="F483" s="1">
        <v>4</v>
      </c>
      <c r="G483" s="1">
        <v>3</v>
      </c>
      <c r="H483" s="1">
        <v>3</v>
      </c>
      <c r="I483" s="1">
        <v>3</v>
      </c>
      <c r="J483" s="1">
        <v>3</v>
      </c>
      <c r="K483" s="1">
        <v>3</v>
      </c>
      <c r="L483" s="1">
        <v>1</v>
      </c>
      <c r="M483" s="1">
        <v>2</v>
      </c>
      <c r="N483" s="1">
        <v>2</v>
      </c>
      <c r="O483" s="1">
        <v>3</v>
      </c>
      <c r="P483" s="1">
        <v>3</v>
      </c>
      <c r="Q483" s="1">
        <v>3</v>
      </c>
      <c r="R483" s="1">
        <v>3</v>
      </c>
      <c r="S483" s="1">
        <v>1</v>
      </c>
      <c r="T483" s="1">
        <v>3</v>
      </c>
      <c r="U483" s="1">
        <v>3</v>
      </c>
      <c r="V483" s="1">
        <v>3</v>
      </c>
      <c r="W483" s="1">
        <v>3</v>
      </c>
      <c r="X483" s="1">
        <v>3</v>
      </c>
      <c r="Y483" s="1">
        <v>3</v>
      </c>
      <c r="Z483" s="1">
        <v>2</v>
      </c>
      <c r="AA483" s="1">
        <v>3</v>
      </c>
      <c r="AB483" s="1">
        <v>2</v>
      </c>
      <c r="AC483" s="1">
        <v>3</v>
      </c>
      <c r="AD483" s="1">
        <v>2</v>
      </c>
      <c r="AE483" s="1">
        <v>2</v>
      </c>
      <c r="AF483" s="1">
        <v>3</v>
      </c>
      <c r="AG483" s="1">
        <v>4</v>
      </c>
      <c r="AH483" s="1">
        <v>3</v>
      </c>
      <c r="AI483" s="1">
        <v>3</v>
      </c>
      <c r="AJ483" s="1">
        <v>3</v>
      </c>
      <c r="AK483" s="1">
        <v>3</v>
      </c>
      <c r="AL483" s="1">
        <v>3</v>
      </c>
      <c r="AM483" s="1">
        <v>3</v>
      </c>
      <c r="AN483" s="1">
        <v>2</v>
      </c>
      <c r="AO483" s="1">
        <v>2</v>
      </c>
      <c r="AP483" s="1">
        <v>3</v>
      </c>
      <c r="AQ483" s="1">
        <v>3</v>
      </c>
      <c r="AR483" s="1">
        <v>2</v>
      </c>
      <c r="AS483" s="1">
        <v>3</v>
      </c>
      <c r="AT483" s="1">
        <v>3</v>
      </c>
      <c r="AU483" s="1">
        <v>2</v>
      </c>
      <c r="AV483" s="1">
        <v>4</v>
      </c>
      <c r="AW483" s="1">
        <v>4</v>
      </c>
      <c r="AX483" s="1">
        <v>3</v>
      </c>
      <c r="AY483" s="1">
        <v>4</v>
      </c>
      <c r="AZ483" s="1">
        <v>2</v>
      </c>
      <c r="BA483" s="1">
        <v>3</v>
      </c>
      <c r="BB483" s="1">
        <v>2</v>
      </c>
      <c r="BC483" s="1">
        <v>3</v>
      </c>
    </row>
    <row r="484" spans="1:55">
      <c r="A484" s="1" t="s">
        <v>791</v>
      </c>
      <c r="B484" s="1" t="s">
        <v>489</v>
      </c>
      <c r="C484" s="1" t="s">
        <v>790</v>
      </c>
      <c r="D484" s="1">
        <v>3</v>
      </c>
      <c r="E484" s="1">
        <v>4</v>
      </c>
      <c r="F484" s="1">
        <v>3</v>
      </c>
      <c r="G484" s="1">
        <v>2</v>
      </c>
      <c r="H484" s="1">
        <v>2</v>
      </c>
      <c r="I484" s="1">
        <v>4</v>
      </c>
      <c r="J484" s="1">
        <v>2</v>
      </c>
      <c r="K484" s="1">
        <v>3</v>
      </c>
      <c r="L484" s="1">
        <v>4</v>
      </c>
      <c r="M484" s="1">
        <v>4</v>
      </c>
      <c r="N484" s="1">
        <v>3</v>
      </c>
      <c r="O484" s="1">
        <v>3</v>
      </c>
      <c r="P484" s="1">
        <v>3</v>
      </c>
      <c r="Q484" s="1">
        <v>3</v>
      </c>
      <c r="R484" s="1">
        <v>4</v>
      </c>
      <c r="S484" s="1">
        <v>4</v>
      </c>
      <c r="T484" s="1">
        <v>4</v>
      </c>
      <c r="U484" s="1">
        <v>3</v>
      </c>
      <c r="V484" s="1">
        <v>3</v>
      </c>
      <c r="W484" s="1">
        <v>3</v>
      </c>
      <c r="X484" s="1">
        <v>3</v>
      </c>
      <c r="Y484" s="1">
        <v>3</v>
      </c>
      <c r="Z484" s="1">
        <v>2</v>
      </c>
      <c r="AA484" s="1">
        <v>3</v>
      </c>
      <c r="AB484" s="1">
        <v>4</v>
      </c>
      <c r="AC484" s="1">
        <v>3</v>
      </c>
      <c r="AD484" s="1">
        <v>3</v>
      </c>
      <c r="AE484" s="1">
        <v>3</v>
      </c>
      <c r="AF484" s="1">
        <v>2</v>
      </c>
      <c r="AG484" s="1">
        <v>2</v>
      </c>
      <c r="AH484" s="1">
        <v>3</v>
      </c>
      <c r="AI484" s="1">
        <v>3</v>
      </c>
      <c r="AJ484" s="1">
        <v>2</v>
      </c>
      <c r="AK484" s="1">
        <v>3</v>
      </c>
      <c r="AL484" s="1">
        <v>4</v>
      </c>
      <c r="AM484" s="1">
        <v>4</v>
      </c>
      <c r="AN484" s="1">
        <v>2</v>
      </c>
      <c r="AO484" s="1">
        <v>3</v>
      </c>
      <c r="AP484" s="1">
        <v>4</v>
      </c>
      <c r="AQ484" s="1">
        <v>2</v>
      </c>
      <c r="AR484" s="1">
        <v>4</v>
      </c>
      <c r="AS484" s="1">
        <v>4</v>
      </c>
      <c r="AT484" s="1">
        <v>4</v>
      </c>
      <c r="AU484" s="1">
        <v>4</v>
      </c>
      <c r="AV484" s="1">
        <v>3</v>
      </c>
      <c r="AW484" s="1">
        <v>3</v>
      </c>
      <c r="AX484" s="1">
        <v>3</v>
      </c>
      <c r="AY484" s="1">
        <v>2</v>
      </c>
      <c r="AZ484" s="1">
        <v>4</v>
      </c>
      <c r="BA484" s="1">
        <v>3</v>
      </c>
      <c r="BB484" s="1">
        <v>3</v>
      </c>
      <c r="BC484" s="1">
        <v>4</v>
      </c>
    </row>
    <row r="485" spans="1:55">
      <c r="A485" s="1" t="s">
        <v>792</v>
      </c>
      <c r="B485" s="1" t="s">
        <v>489</v>
      </c>
      <c r="C485" s="1" t="s">
        <v>793</v>
      </c>
      <c r="D485" s="1">
        <v>3</v>
      </c>
      <c r="E485" s="1">
        <v>4</v>
      </c>
      <c r="F485" s="1">
        <v>2</v>
      </c>
      <c r="G485" s="1">
        <v>3</v>
      </c>
      <c r="H485" s="1">
        <v>3</v>
      </c>
      <c r="I485" s="1">
        <v>3</v>
      </c>
      <c r="J485" s="1">
        <v>2</v>
      </c>
      <c r="K485" s="1">
        <v>3</v>
      </c>
      <c r="L485" s="1">
        <v>3</v>
      </c>
      <c r="M485" s="1">
        <v>3</v>
      </c>
      <c r="N485" s="1">
        <v>3</v>
      </c>
      <c r="O485" s="1">
        <v>3</v>
      </c>
      <c r="P485" s="1">
        <v>2</v>
      </c>
      <c r="Q485" s="1">
        <v>3</v>
      </c>
      <c r="R485" s="1">
        <v>5</v>
      </c>
      <c r="S485" s="1">
        <v>5</v>
      </c>
      <c r="T485" s="1">
        <v>3</v>
      </c>
      <c r="U485" s="1">
        <v>4</v>
      </c>
      <c r="V485" s="1">
        <v>3</v>
      </c>
      <c r="W485" s="1">
        <v>3</v>
      </c>
      <c r="X485" s="1">
        <v>3</v>
      </c>
      <c r="Y485" s="1">
        <v>4</v>
      </c>
      <c r="Z485" s="1">
        <v>3</v>
      </c>
      <c r="AA485" s="1">
        <v>3</v>
      </c>
      <c r="AB485" s="1">
        <v>2</v>
      </c>
      <c r="AC485" s="1">
        <v>4</v>
      </c>
      <c r="AD485" s="1">
        <v>3</v>
      </c>
      <c r="AE485" s="1">
        <v>3</v>
      </c>
      <c r="AF485" s="1">
        <v>3</v>
      </c>
      <c r="AG485" s="1">
        <v>2</v>
      </c>
      <c r="AH485" s="1">
        <v>3</v>
      </c>
      <c r="AI485" s="1">
        <v>3</v>
      </c>
      <c r="AJ485" s="1">
        <v>3</v>
      </c>
      <c r="AK485" s="1">
        <v>2</v>
      </c>
      <c r="AL485" s="1">
        <v>2</v>
      </c>
      <c r="AM485" s="1">
        <v>4</v>
      </c>
      <c r="AN485" s="1">
        <v>4</v>
      </c>
      <c r="AO485" s="1">
        <v>3</v>
      </c>
      <c r="AP485" s="1">
        <v>2</v>
      </c>
      <c r="AQ485" s="1">
        <v>2</v>
      </c>
      <c r="AR485" s="1">
        <v>4</v>
      </c>
      <c r="AS485" s="1">
        <v>4</v>
      </c>
      <c r="AT485" s="1">
        <v>2</v>
      </c>
      <c r="AU485" s="1">
        <v>3</v>
      </c>
      <c r="AV485" s="1">
        <v>4</v>
      </c>
      <c r="AW485" s="1">
        <v>3</v>
      </c>
      <c r="AX485" s="1">
        <v>4</v>
      </c>
      <c r="AY485" s="1">
        <v>3</v>
      </c>
      <c r="AZ485" s="1">
        <v>2</v>
      </c>
      <c r="BA485" s="1">
        <v>2</v>
      </c>
      <c r="BB485" s="1">
        <v>2</v>
      </c>
      <c r="BC485" s="1">
        <v>4</v>
      </c>
    </row>
    <row r="486" spans="1:55">
      <c r="A486" s="1" t="s">
        <v>794</v>
      </c>
      <c r="B486" s="1" t="s">
        <v>489</v>
      </c>
      <c r="C486" s="1" t="s">
        <v>793</v>
      </c>
      <c r="D486" s="1">
        <v>3</v>
      </c>
      <c r="E486" s="1">
        <v>2</v>
      </c>
      <c r="F486" s="1">
        <v>4</v>
      </c>
      <c r="G486" s="1">
        <v>4</v>
      </c>
      <c r="H486" s="1">
        <v>4</v>
      </c>
      <c r="I486" s="1">
        <v>3</v>
      </c>
      <c r="J486" s="1">
        <v>3</v>
      </c>
      <c r="K486" s="1">
        <v>2</v>
      </c>
      <c r="L486" s="1">
        <v>3</v>
      </c>
      <c r="M486" s="1">
        <v>2</v>
      </c>
      <c r="N486" s="1">
        <v>2</v>
      </c>
      <c r="O486" s="1">
        <v>1</v>
      </c>
      <c r="P486" s="1">
        <v>1</v>
      </c>
      <c r="Q486" s="1">
        <v>2</v>
      </c>
      <c r="R486" s="1">
        <v>3</v>
      </c>
      <c r="S486" s="1">
        <v>2</v>
      </c>
      <c r="T486" s="1">
        <v>1</v>
      </c>
      <c r="U486" s="1">
        <v>2</v>
      </c>
      <c r="V486" s="1">
        <v>2</v>
      </c>
      <c r="W486" s="1">
        <v>2</v>
      </c>
      <c r="X486" s="1">
        <v>2</v>
      </c>
      <c r="Y486" s="1">
        <v>3</v>
      </c>
      <c r="Z486" s="1">
        <v>1</v>
      </c>
      <c r="AA486" s="1">
        <v>2</v>
      </c>
      <c r="AB486" s="1">
        <v>2</v>
      </c>
      <c r="AC486" s="1">
        <v>4</v>
      </c>
      <c r="AD486" s="1">
        <v>2</v>
      </c>
      <c r="AE486" s="1">
        <v>2</v>
      </c>
      <c r="AF486" s="1">
        <v>4</v>
      </c>
      <c r="AG486" s="1">
        <v>4</v>
      </c>
      <c r="AH486" s="1">
        <v>3</v>
      </c>
      <c r="AI486" s="1">
        <v>4</v>
      </c>
      <c r="AJ486" s="1">
        <v>3</v>
      </c>
      <c r="AK486" s="1">
        <v>1</v>
      </c>
      <c r="AL486" s="1">
        <v>2</v>
      </c>
      <c r="AM486" s="1">
        <v>2</v>
      </c>
      <c r="AN486" s="1">
        <v>3</v>
      </c>
      <c r="AO486" s="1">
        <v>1</v>
      </c>
      <c r="AP486" s="1">
        <v>2</v>
      </c>
      <c r="AQ486" s="1">
        <v>2</v>
      </c>
      <c r="AR486" s="1">
        <v>3</v>
      </c>
      <c r="AS486" s="1">
        <v>2</v>
      </c>
      <c r="AT486" s="1">
        <v>3</v>
      </c>
      <c r="AU486" s="1">
        <v>2</v>
      </c>
      <c r="AV486" s="1">
        <v>2</v>
      </c>
      <c r="AW486" s="1">
        <v>2</v>
      </c>
      <c r="AX486" s="1">
        <v>2</v>
      </c>
      <c r="AY486" s="1">
        <v>2</v>
      </c>
      <c r="AZ486" s="1">
        <v>3</v>
      </c>
      <c r="BA486" s="1">
        <v>2</v>
      </c>
      <c r="BB486" s="1">
        <v>3</v>
      </c>
      <c r="BC486" s="1">
        <v>4</v>
      </c>
    </row>
    <row r="487" spans="1:55">
      <c r="A487" s="1" t="s">
        <v>795</v>
      </c>
      <c r="B487" s="1" t="s">
        <v>489</v>
      </c>
      <c r="C487" s="1" t="s">
        <v>796</v>
      </c>
      <c r="D487" s="1">
        <v>3</v>
      </c>
      <c r="E487" s="1">
        <v>4</v>
      </c>
      <c r="F487" s="1">
        <v>3</v>
      </c>
      <c r="G487" s="1">
        <v>3</v>
      </c>
      <c r="H487" s="1">
        <v>3</v>
      </c>
      <c r="I487" s="1">
        <v>3</v>
      </c>
      <c r="J487" s="1">
        <v>2</v>
      </c>
      <c r="K487" s="1">
        <v>4</v>
      </c>
      <c r="L487" s="1">
        <v>3</v>
      </c>
      <c r="M487" s="1">
        <v>3</v>
      </c>
      <c r="N487" s="1">
        <v>2</v>
      </c>
      <c r="O487" s="1">
        <v>4</v>
      </c>
      <c r="P487" s="1">
        <v>4</v>
      </c>
      <c r="Q487" s="1">
        <v>4</v>
      </c>
      <c r="R487" s="1">
        <v>4</v>
      </c>
      <c r="S487" s="1">
        <v>3</v>
      </c>
      <c r="T487" s="1">
        <v>3</v>
      </c>
      <c r="U487" s="1">
        <v>3</v>
      </c>
      <c r="V487" s="1">
        <v>2</v>
      </c>
      <c r="W487" s="1">
        <v>3</v>
      </c>
      <c r="X487" s="1">
        <v>4</v>
      </c>
      <c r="Y487" s="1">
        <v>3</v>
      </c>
      <c r="Z487" s="1">
        <v>3</v>
      </c>
      <c r="AA487" s="1">
        <v>3</v>
      </c>
      <c r="AB487" s="1">
        <v>4</v>
      </c>
      <c r="AC487" s="1">
        <v>4</v>
      </c>
      <c r="AD487" s="1">
        <v>3</v>
      </c>
      <c r="AE487" s="1">
        <v>4</v>
      </c>
      <c r="AF487" s="1">
        <v>2</v>
      </c>
      <c r="AG487" s="1">
        <v>2</v>
      </c>
      <c r="AH487" s="1">
        <v>3</v>
      </c>
      <c r="AI487" s="1">
        <v>3</v>
      </c>
      <c r="AJ487" s="1">
        <v>3</v>
      </c>
      <c r="AK487" s="1">
        <v>4</v>
      </c>
      <c r="AL487" s="1">
        <v>4</v>
      </c>
      <c r="AM487" s="1">
        <v>4</v>
      </c>
      <c r="AN487" s="1">
        <v>3</v>
      </c>
      <c r="AO487" s="1">
        <v>3</v>
      </c>
      <c r="AP487" s="1">
        <v>4</v>
      </c>
      <c r="AQ487" s="1">
        <v>4</v>
      </c>
      <c r="AR487" s="1">
        <v>4</v>
      </c>
      <c r="AS487" s="1">
        <v>3</v>
      </c>
      <c r="AT487" s="1">
        <v>4</v>
      </c>
      <c r="AU487" s="1">
        <v>4</v>
      </c>
      <c r="AV487" s="1">
        <v>2</v>
      </c>
      <c r="AW487" s="1">
        <v>3</v>
      </c>
      <c r="AX487" s="1">
        <v>3</v>
      </c>
      <c r="AY487" s="1">
        <v>4</v>
      </c>
      <c r="AZ487" s="1">
        <v>4</v>
      </c>
      <c r="BA487" s="1">
        <v>4</v>
      </c>
      <c r="BB487" s="1">
        <v>4</v>
      </c>
      <c r="BC487" s="1">
        <v>3</v>
      </c>
    </row>
    <row r="488" spans="1:55">
      <c r="A488" s="1" t="s">
        <v>797</v>
      </c>
      <c r="B488" s="1" t="s">
        <v>489</v>
      </c>
      <c r="C488" s="1" t="s">
        <v>796</v>
      </c>
      <c r="D488" s="1">
        <v>3</v>
      </c>
      <c r="E488" s="1">
        <v>4</v>
      </c>
      <c r="F488" s="1">
        <v>3</v>
      </c>
      <c r="G488" s="1">
        <v>3</v>
      </c>
      <c r="H488" s="1">
        <v>2</v>
      </c>
      <c r="I488" s="1">
        <v>2</v>
      </c>
      <c r="J488" s="1">
        <v>2</v>
      </c>
      <c r="K488" s="1">
        <v>3</v>
      </c>
      <c r="L488" s="1">
        <v>2</v>
      </c>
      <c r="M488" s="1">
        <v>3</v>
      </c>
      <c r="N488" s="1">
        <v>2</v>
      </c>
      <c r="O488" s="1">
        <v>3</v>
      </c>
      <c r="P488" s="1">
        <v>2</v>
      </c>
      <c r="Q488" s="1">
        <v>3</v>
      </c>
      <c r="R488" s="1">
        <v>3</v>
      </c>
      <c r="S488" s="1">
        <v>3</v>
      </c>
      <c r="T488" s="1">
        <v>2</v>
      </c>
      <c r="U488" s="1">
        <v>3</v>
      </c>
      <c r="V488" s="1">
        <v>2</v>
      </c>
      <c r="W488" s="1">
        <v>2</v>
      </c>
      <c r="X488" s="1">
        <v>3</v>
      </c>
      <c r="Y488" s="1">
        <v>3</v>
      </c>
      <c r="Z488" s="1">
        <v>2</v>
      </c>
      <c r="AA488" s="1">
        <v>2</v>
      </c>
      <c r="AB488" s="1">
        <v>2</v>
      </c>
      <c r="AC488" s="1">
        <v>4</v>
      </c>
      <c r="AD488" s="1">
        <v>2</v>
      </c>
      <c r="AE488" s="1">
        <v>4</v>
      </c>
      <c r="AF488" s="1">
        <v>3</v>
      </c>
      <c r="AG488" s="1">
        <v>3</v>
      </c>
      <c r="AH488" s="1">
        <v>2</v>
      </c>
      <c r="AI488" s="1">
        <v>3</v>
      </c>
      <c r="AJ488" s="1">
        <v>2</v>
      </c>
      <c r="AK488" s="1">
        <v>3</v>
      </c>
      <c r="AL488" s="1">
        <v>2</v>
      </c>
      <c r="AM488" s="1">
        <v>3</v>
      </c>
      <c r="AN488" s="1">
        <v>2</v>
      </c>
      <c r="AO488" s="1">
        <v>3</v>
      </c>
      <c r="AP488" s="1">
        <v>2</v>
      </c>
      <c r="AQ488" s="1">
        <v>3</v>
      </c>
      <c r="AR488" s="1">
        <v>4</v>
      </c>
      <c r="AS488" s="1">
        <v>3</v>
      </c>
      <c r="AT488" s="1">
        <v>4</v>
      </c>
      <c r="AU488" s="1">
        <v>4</v>
      </c>
      <c r="AV488" s="1">
        <v>2</v>
      </c>
      <c r="AW488" s="1">
        <v>2</v>
      </c>
      <c r="AX488" s="1">
        <v>2</v>
      </c>
      <c r="AY488" s="1">
        <v>1</v>
      </c>
      <c r="AZ488" s="1">
        <v>2</v>
      </c>
      <c r="BA488" s="1">
        <v>2</v>
      </c>
      <c r="BB488" s="1">
        <v>3</v>
      </c>
      <c r="BC488" s="1">
        <v>3</v>
      </c>
    </row>
    <row r="489" spans="1:55">
      <c r="A489" s="1" t="s">
        <v>798</v>
      </c>
      <c r="B489" s="1" t="s">
        <v>489</v>
      </c>
      <c r="C489" s="1" t="s">
        <v>799</v>
      </c>
      <c r="D489" s="1">
        <v>3</v>
      </c>
      <c r="E489" s="1">
        <v>3</v>
      </c>
      <c r="F489" s="1">
        <v>3</v>
      </c>
      <c r="G489" s="1">
        <v>4</v>
      </c>
      <c r="H489" s="1">
        <v>2</v>
      </c>
      <c r="I489" s="1">
        <v>3</v>
      </c>
      <c r="J489" s="1">
        <v>2</v>
      </c>
      <c r="K489" s="1">
        <v>4</v>
      </c>
      <c r="L489" s="1">
        <v>3</v>
      </c>
      <c r="M489" s="1">
        <v>2</v>
      </c>
      <c r="N489" s="1">
        <v>3</v>
      </c>
      <c r="O489" s="1">
        <v>3</v>
      </c>
      <c r="P489" s="1">
        <v>3</v>
      </c>
      <c r="Q489" s="1">
        <v>2</v>
      </c>
      <c r="R489" s="1">
        <v>2</v>
      </c>
      <c r="S489" s="1">
        <v>3</v>
      </c>
      <c r="T489" s="1">
        <v>2</v>
      </c>
      <c r="U489" s="1">
        <v>2</v>
      </c>
      <c r="V489" s="1">
        <v>2</v>
      </c>
      <c r="W489" s="1">
        <v>4</v>
      </c>
      <c r="X489" s="1">
        <v>4</v>
      </c>
      <c r="Y489" s="1">
        <v>3</v>
      </c>
      <c r="Z489" s="1">
        <v>4</v>
      </c>
      <c r="AA489" s="1">
        <v>3</v>
      </c>
      <c r="AB489" s="1">
        <v>4</v>
      </c>
      <c r="AC489" s="1">
        <v>3</v>
      </c>
      <c r="AD489" s="1">
        <v>3</v>
      </c>
      <c r="AE489" s="1">
        <v>2</v>
      </c>
      <c r="AF489" s="1">
        <v>4</v>
      </c>
      <c r="AG489" s="1">
        <v>4</v>
      </c>
      <c r="AH489" s="1">
        <v>3</v>
      </c>
      <c r="AI489" s="1">
        <v>3</v>
      </c>
      <c r="AJ489" s="1">
        <v>2</v>
      </c>
      <c r="AK489" s="1">
        <v>3</v>
      </c>
      <c r="AL489" s="1">
        <v>3</v>
      </c>
      <c r="AM489" s="1">
        <v>2</v>
      </c>
      <c r="AN489" s="1">
        <v>3</v>
      </c>
      <c r="AO489" s="1">
        <v>2</v>
      </c>
      <c r="AP489" s="1">
        <v>4</v>
      </c>
      <c r="AQ489" s="1">
        <v>3</v>
      </c>
      <c r="AR489" s="1">
        <v>2</v>
      </c>
      <c r="AS489" s="1">
        <v>2</v>
      </c>
      <c r="AT489" s="1">
        <v>3</v>
      </c>
      <c r="AU489" s="1">
        <v>3</v>
      </c>
      <c r="AV489" s="1">
        <v>3</v>
      </c>
      <c r="AW489" s="1">
        <v>3</v>
      </c>
      <c r="AX489" s="1">
        <v>4</v>
      </c>
      <c r="AY489" s="1">
        <v>3</v>
      </c>
      <c r="AZ489" s="1">
        <v>4</v>
      </c>
      <c r="BA489" s="1">
        <v>3</v>
      </c>
      <c r="BB489" s="1">
        <v>3</v>
      </c>
      <c r="BC489" s="1">
        <v>3</v>
      </c>
    </row>
    <row r="490" spans="1:55">
      <c r="A490" s="1" t="s">
        <v>800</v>
      </c>
      <c r="B490" s="1" t="s">
        <v>489</v>
      </c>
      <c r="C490" s="1" t="s">
        <v>799</v>
      </c>
      <c r="D490" s="1">
        <v>3</v>
      </c>
      <c r="E490" s="1">
        <v>3</v>
      </c>
      <c r="F490" s="1">
        <v>3</v>
      </c>
      <c r="G490" s="1">
        <v>2</v>
      </c>
      <c r="H490" s="1">
        <v>3</v>
      </c>
      <c r="I490" s="1">
        <v>3</v>
      </c>
      <c r="J490" s="1">
        <v>2</v>
      </c>
      <c r="K490" s="1">
        <v>4</v>
      </c>
      <c r="L490" s="1">
        <v>3</v>
      </c>
      <c r="M490" s="1">
        <v>5</v>
      </c>
      <c r="N490" s="1">
        <v>3</v>
      </c>
      <c r="O490" s="1">
        <v>3</v>
      </c>
      <c r="P490" s="1">
        <v>4</v>
      </c>
      <c r="Q490" s="1">
        <v>4</v>
      </c>
      <c r="R490" s="1">
        <v>4</v>
      </c>
      <c r="S490" s="1">
        <v>3</v>
      </c>
      <c r="T490" s="1">
        <v>3</v>
      </c>
      <c r="U490" s="1">
        <v>3</v>
      </c>
      <c r="V490" s="1">
        <v>3</v>
      </c>
      <c r="W490" s="1">
        <v>3</v>
      </c>
      <c r="X490" s="1">
        <v>4</v>
      </c>
      <c r="Y490" s="1">
        <v>4</v>
      </c>
      <c r="Z490" s="1">
        <v>3</v>
      </c>
      <c r="AA490" s="1">
        <v>4</v>
      </c>
      <c r="AB490" s="1">
        <v>4</v>
      </c>
      <c r="AC490" s="1">
        <v>3</v>
      </c>
      <c r="AD490" s="1">
        <v>3</v>
      </c>
      <c r="AE490" s="1">
        <v>4</v>
      </c>
      <c r="AF490" s="1">
        <v>3</v>
      </c>
      <c r="AG490" s="1">
        <v>3</v>
      </c>
      <c r="AH490" s="1">
        <v>3</v>
      </c>
      <c r="AI490" s="1">
        <v>3</v>
      </c>
      <c r="AJ490" s="1">
        <v>3</v>
      </c>
      <c r="AK490" s="1">
        <v>3</v>
      </c>
      <c r="AL490" s="1">
        <v>5</v>
      </c>
      <c r="AM490" s="1">
        <v>3</v>
      </c>
      <c r="AN490" s="1">
        <v>3</v>
      </c>
      <c r="AO490" s="1">
        <v>4</v>
      </c>
      <c r="AP490" s="1">
        <v>3</v>
      </c>
      <c r="AQ490" s="1">
        <v>3</v>
      </c>
      <c r="AR490" s="1">
        <v>3</v>
      </c>
      <c r="AS490" s="1">
        <v>3</v>
      </c>
      <c r="AT490" s="1">
        <v>4</v>
      </c>
      <c r="AU490" s="1">
        <v>3</v>
      </c>
      <c r="AV490" s="1">
        <v>3</v>
      </c>
      <c r="AW490" s="1">
        <v>4</v>
      </c>
      <c r="AX490" s="1">
        <v>4</v>
      </c>
      <c r="AY490" s="1">
        <v>3</v>
      </c>
      <c r="AZ490" s="1">
        <v>5</v>
      </c>
      <c r="BA490" s="1">
        <v>4</v>
      </c>
      <c r="BB490" s="1">
        <v>4</v>
      </c>
      <c r="BC490" s="1">
        <v>2</v>
      </c>
    </row>
    <row r="491" spans="1:55">
      <c r="A491" s="1" t="s">
        <v>801</v>
      </c>
      <c r="B491" s="1" t="s">
        <v>489</v>
      </c>
      <c r="C491" s="1" t="s">
        <v>802</v>
      </c>
      <c r="D491" s="1">
        <v>3</v>
      </c>
      <c r="E491" s="1">
        <v>4</v>
      </c>
      <c r="F491" s="1">
        <v>3</v>
      </c>
      <c r="G491" s="1">
        <v>2</v>
      </c>
      <c r="H491" s="1">
        <v>3</v>
      </c>
      <c r="I491" s="1">
        <v>3</v>
      </c>
      <c r="J491" s="1">
        <v>3</v>
      </c>
      <c r="K491" s="1">
        <v>4</v>
      </c>
      <c r="L491" s="1">
        <v>3</v>
      </c>
      <c r="M491" s="1">
        <v>4</v>
      </c>
      <c r="N491" s="1">
        <v>3</v>
      </c>
      <c r="O491" s="1">
        <v>3</v>
      </c>
      <c r="P491" s="1">
        <v>3</v>
      </c>
      <c r="Q491" s="1">
        <v>3</v>
      </c>
      <c r="R491" s="1">
        <v>3</v>
      </c>
      <c r="S491" s="1">
        <v>2</v>
      </c>
      <c r="T491" s="1">
        <v>3</v>
      </c>
      <c r="U491" s="1">
        <v>3</v>
      </c>
      <c r="V491" s="1">
        <v>5</v>
      </c>
      <c r="W491" s="1">
        <v>1</v>
      </c>
      <c r="X491" s="1">
        <v>2</v>
      </c>
      <c r="Y491" s="1">
        <v>2</v>
      </c>
      <c r="Z491" s="1">
        <v>4</v>
      </c>
      <c r="AA491" s="1">
        <v>4</v>
      </c>
      <c r="AB491" s="1">
        <v>4</v>
      </c>
      <c r="AC491" s="1">
        <v>1</v>
      </c>
      <c r="AD491" s="1">
        <v>2</v>
      </c>
      <c r="AE491" s="1">
        <v>4</v>
      </c>
      <c r="AF491" s="1">
        <v>1</v>
      </c>
      <c r="AG491" s="1">
        <v>2</v>
      </c>
      <c r="AH491" s="1">
        <v>3</v>
      </c>
      <c r="AI491" s="1">
        <v>4</v>
      </c>
      <c r="AJ491" s="1">
        <v>3</v>
      </c>
      <c r="AK491" s="1">
        <v>3</v>
      </c>
      <c r="AL491" s="1">
        <v>3</v>
      </c>
      <c r="AM491" s="1">
        <v>3</v>
      </c>
      <c r="AN491" s="1">
        <v>4</v>
      </c>
      <c r="AO491" s="1">
        <v>3</v>
      </c>
      <c r="AP491" s="1">
        <v>4</v>
      </c>
      <c r="AQ491" s="1">
        <v>2</v>
      </c>
      <c r="AR491" s="1">
        <v>4</v>
      </c>
      <c r="AS491" s="1">
        <v>4</v>
      </c>
      <c r="AT491" s="1">
        <v>4</v>
      </c>
      <c r="AU491" s="1">
        <v>4</v>
      </c>
      <c r="AV491" s="1">
        <v>3</v>
      </c>
      <c r="AW491" s="1">
        <v>3</v>
      </c>
      <c r="AX491" s="1">
        <v>2</v>
      </c>
      <c r="AY491" s="1">
        <v>2</v>
      </c>
      <c r="AZ491" s="1">
        <v>3</v>
      </c>
      <c r="BA491" s="1">
        <v>3</v>
      </c>
      <c r="BB491" s="1">
        <v>3</v>
      </c>
      <c r="BC491" s="1">
        <v>3</v>
      </c>
    </row>
    <row r="492" spans="1:55">
      <c r="A492" s="1" t="s">
        <v>803</v>
      </c>
      <c r="B492" s="1" t="s">
        <v>489</v>
      </c>
      <c r="C492" s="1" t="s">
        <v>802</v>
      </c>
      <c r="D492" s="1">
        <v>3</v>
      </c>
      <c r="E492" s="1">
        <v>3</v>
      </c>
      <c r="F492" s="1">
        <v>3</v>
      </c>
      <c r="G492" s="1">
        <v>3</v>
      </c>
      <c r="H492" s="1">
        <v>4</v>
      </c>
      <c r="I492" s="1">
        <v>4</v>
      </c>
      <c r="J492" s="1">
        <v>4</v>
      </c>
      <c r="K492" s="1">
        <v>2</v>
      </c>
      <c r="L492" s="1">
        <v>3</v>
      </c>
      <c r="M492" s="1">
        <v>3</v>
      </c>
      <c r="N492" s="1">
        <v>4</v>
      </c>
      <c r="O492" s="1">
        <v>3</v>
      </c>
      <c r="P492" s="1">
        <v>2</v>
      </c>
      <c r="Q492" s="1">
        <v>3</v>
      </c>
      <c r="R492" s="1">
        <v>3</v>
      </c>
      <c r="S492" s="1">
        <v>3</v>
      </c>
      <c r="T492" s="1">
        <v>3</v>
      </c>
      <c r="U492" s="1">
        <v>3</v>
      </c>
      <c r="V492" s="1">
        <v>2</v>
      </c>
      <c r="W492" s="1">
        <v>4</v>
      </c>
      <c r="X492" s="1">
        <v>5</v>
      </c>
      <c r="Y492" s="1">
        <v>3</v>
      </c>
      <c r="Z492" s="1">
        <v>3</v>
      </c>
      <c r="AA492" s="1">
        <v>2</v>
      </c>
      <c r="AB492" s="1">
        <v>4</v>
      </c>
      <c r="AC492" s="1">
        <v>3</v>
      </c>
      <c r="AD492" s="1">
        <v>3</v>
      </c>
      <c r="AE492" s="1">
        <v>3</v>
      </c>
      <c r="AF492" s="1">
        <v>3</v>
      </c>
      <c r="AG492" s="1">
        <v>2</v>
      </c>
      <c r="AH492" s="1">
        <v>4</v>
      </c>
      <c r="AI492" s="1">
        <v>4</v>
      </c>
      <c r="AJ492" s="1">
        <v>3</v>
      </c>
      <c r="AK492" s="1">
        <v>1</v>
      </c>
      <c r="AL492" s="1">
        <v>2</v>
      </c>
      <c r="AM492" s="1">
        <v>4</v>
      </c>
      <c r="AN492" s="1">
        <v>4</v>
      </c>
      <c r="AO492" s="1">
        <v>3</v>
      </c>
      <c r="AP492" s="1">
        <v>3</v>
      </c>
      <c r="AQ492" s="1">
        <v>2</v>
      </c>
      <c r="AR492" s="1">
        <v>4</v>
      </c>
      <c r="AS492" s="1">
        <v>3</v>
      </c>
      <c r="AT492" s="1">
        <v>4</v>
      </c>
      <c r="AU492" s="1">
        <v>3</v>
      </c>
      <c r="AV492" s="1">
        <v>3</v>
      </c>
      <c r="AW492" s="1">
        <v>5</v>
      </c>
      <c r="AX492" s="1">
        <v>5</v>
      </c>
      <c r="AY492" s="1">
        <v>3</v>
      </c>
      <c r="AZ492" s="1">
        <v>2</v>
      </c>
      <c r="BA492" s="1">
        <v>2</v>
      </c>
      <c r="BB492" s="1">
        <v>3</v>
      </c>
      <c r="BC492" s="1">
        <v>3</v>
      </c>
    </row>
    <row r="493" spans="1:55">
      <c r="A493" s="1" t="s">
        <v>804</v>
      </c>
      <c r="B493" s="1" t="s">
        <v>489</v>
      </c>
      <c r="C493" s="1" t="s">
        <v>805</v>
      </c>
      <c r="D493" s="1">
        <v>3</v>
      </c>
      <c r="E493" s="1">
        <v>3</v>
      </c>
      <c r="F493" s="1">
        <v>3</v>
      </c>
      <c r="G493" s="1">
        <v>3</v>
      </c>
      <c r="H493" s="1">
        <v>2</v>
      </c>
      <c r="I493" s="1">
        <v>3</v>
      </c>
      <c r="J493" s="1">
        <v>3</v>
      </c>
      <c r="K493" s="1">
        <v>4</v>
      </c>
      <c r="L493" s="1">
        <v>3</v>
      </c>
      <c r="M493" s="1">
        <v>3</v>
      </c>
      <c r="N493" s="1">
        <v>3</v>
      </c>
      <c r="O493" s="1">
        <v>3</v>
      </c>
      <c r="P493" s="1">
        <v>3</v>
      </c>
      <c r="Q493" s="1">
        <v>5</v>
      </c>
      <c r="R493" s="1">
        <v>4</v>
      </c>
      <c r="S493" s="1">
        <v>2</v>
      </c>
      <c r="T493" s="1">
        <v>3</v>
      </c>
      <c r="U493" s="1">
        <v>4</v>
      </c>
      <c r="V493" s="1">
        <v>3</v>
      </c>
      <c r="W493" s="1">
        <v>3</v>
      </c>
      <c r="X493" s="1">
        <v>4</v>
      </c>
      <c r="Y493" s="1">
        <v>3</v>
      </c>
      <c r="Z493" s="1">
        <v>4</v>
      </c>
      <c r="AA493" s="1">
        <v>3</v>
      </c>
      <c r="AB493" s="1">
        <v>4</v>
      </c>
      <c r="AC493" s="1">
        <v>3</v>
      </c>
      <c r="AD493" s="1">
        <v>3</v>
      </c>
      <c r="AE493" s="1">
        <v>4</v>
      </c>
      <c r="AF493" s="1">
        <v>2</v>
      </c>
      <c r="AG493" s="1">
        <v>3</v>
      </c>
      <c r="AH493" s="1">
        <v>3</v>
      </c>
      <c r="AI493" s="1">
        <v>2</v>
      </c>
      <c r="AJ493" s="1">
        <v>2</v>
      </c>
      <c r="AK493" s="1">
        <v>3</v>
      </c>
      <c r="AL493" s="1">
        <v>2</v>
      </c>
      <c r="AM493" s="1">
        <v>3</v>
      </c>
      <c r="AN493" s="1">
        <v>4</v>
      </c>
      <c r="AO493" s="1">
        <v>3</v>
      </c>
      <c r="AP493" s="1">
        <v>3</v>
      </c>
      <c r="AQ493" s="1">
        <v>3</v>
      </c>
      <c r="AR493" s="1">
        <v>3</v>
      </c>
      <c r="AS493" s="1">
        <v>3</v>
      </c>
      <c r="AT493" s="1">
        <v>2</v>
      </c>
      <c r="AU493" s="1">
        <v>4</v>
      </c>
      <c r="AV493" s="1">
        <v>3</v>
      </c>
      <c r="AW493" s="1">
        <v>4</v>
      </c>
      <c r="AX493" s="1">
        <v>4</v>
      </c>
      <c r="AY493" s="1">
        <v>2</v>
      </c>
      <c r="AZ493" s="1">
        <v>3</v>
      </c>
      <c r="BA493" s="1">
        <v>2</v>
      </c>
      <c r="BB493" s="1">
        <v>3</v>
      </c>
      <c r="BC493" s="1">
        <v>2</v>
      </c>
    </row>
    <row r="494" spans="1:55">
      <c r="A494" s="1" t="s">
        <v>806</v>
      </c>
      <c r="B494" s="1" t="s">
        <v>489</v>
      </c>
      <c r="C494" s="1" t="s">
        <v>805</v>
      </c>
      <c r="D494" s="1">
        <v>3</v>
      </c>
      <c r="E494" s="1">
        <v>4</v>
      </c>
      <c r="F494" s="1">
        <v>2</v>
      </c>
      <c r="G494" s="1">
        <v>1</v>
      </c>
      <c r="H494" s="1">
        <v>4</v>
      </c>
      <c r="I494" s="1">
        <v>3</v>
      </c>
      <c r="J494" s="1">
        <v>2</v>
      </c>
      <c r="K494" s="1">
        <v>4</v>
      </c>
      <c r="L494" s="1">
        <v>4</v>
      </c>
      <c r="M494" s="1">
        <v>5</v>
      </c>
      <c r="N494" s="1">
        <v>3</v>
      </c>
      <c r="O494" s="1">
        <v>3</v>
      </c>
      <c r="P494" s="1">
        <v>2</v>
      </c>
      <c r="Q494" s="1">
        <v>3</v>
      </c>
      <c r="R494" s="1">
        <v>5</v>
      </c>
      <c r="S494" s="1">
        <v>5</v>
      </c>
      <c r="T494" s="1">
        <v>5</v>
      </c>
      <c r="U494" s="1">
        <v>5</v>
      </c>
      <c r="V494" s="1">
        <v>3</v>
      </c>
      <c r="W494" s="1">
        <v>2</v>
      </c>
      <c r="X494" s="1">
        <v>1</v>
      </c>
      <c r="Y494" s="1">
        <v>1</v>
      </c>
      <c r="Z494" s="1">
        <v>4</v>
      </c>
      <c r="AA494" s="1">
        <v>4</v>
      </c>
      <c r="AB494" s="1">
        <v>3</v>
      </c>
      <c r="AC494" s="1">
        <v>4</v>
      </c>
      <c r="AD494" s="1">
        <v>3</v>
      </c>
      <c r="AE494" s="1">
        <v>4</v>
      </c>
      <c r="AF494" s="1">
        <v>2</v>
      </c>
      <c r="AG494" s="1">
        <v>2</v>
      </c>
      <c r="AH494" s="1">
        <v>3</v>
      </c>
      <c r="AI494" s="1">
        <v>3</v>
      </c>
      <c r="AJ494" s="1">
        <v>3</v>
      </c>
      <c r="AK494" s="1">
        <v>4</v>
      </c>
      <c r="AL494" s="1">
        <v>4</v>
      </c>
      <c r="AM494" s="1">
        <v>5</v>
      </c>
      <c r="AN494" s="1">
        <v>3</v>
      </c>
      <c r="AO494" s="1">
        <v>3</v>
      </c>
      <c r="AP494" s="1">
        <v>3</v>
      </c>
      <c r="AQ494" s="1">
        <v>4</v>
      </c>
      <c r="AR494" s="1">
        <v>5</v>
      </c>
      <c r="AS494" s="1">
        <v>5</v>
      </c>
      <c r="AT494" s="1">
        <v>5</v>
      </c>
      <c r="AU494" s="1">
        <v>5</v>
      </c>
      <c r="AV494" s="1">
        <v>4</v>
      </c>
      <c r="AW494" s="1">
        <v>2</v>
      </c>
      <c r="AX494" s="1">
        <v>2</v>
      </c>
      <c r="AY494" s="1">
        <v>1</v>
      </c>
      <c r="AZ494" s="1">
        <v>5</v>
      </c>
      <c r="BA494" s="1">
        <v>3</v>
      </c>
      <c r="BB494" s="1">
        <v>3</v>
      </c>
      <c r="BC494" s="1">
        <v>3</v>
      </c>
    </row>
    <row r="495" spans="1:55">
      <c r="A495" s="1" t="s">
        <v>807</v>
      </c>
      <c r="B495" s="1" t="s">
        <v>489</v>
      </c>
      <c r="C495" s="1" t="s">
        <v>808</v>
      </c>
      <c r="D495" s="1">
        <v>2</v>
      </c>
      <c r="E495" s="1">
        <v>3</v>
      </c>
      <c r="F495" s="1">
        <v>2</v>
      </c>
      <c r="G495" s="1">
        <v>3</v>
      </c>
      <c r="H495" s="1">
        <v>4</v>
      </c>
      <c r="I495" s="1">
        <v>3</v>
      </c>
      <c r="J495" s="1">
        <v>3</v>
      </c>
      <c r="K495" s="1">
        <v>3</v>
      </c>
      <c r="L495" s="1">
        <v>4</v>
      </c>
      <c r="M495" s="1">
        <v>3</v>
      </c>
      <c r="N495" s="1">
        <v>3</v>
      </c>
      <c r="O495" s="1">
        <v>3</v>
      </c>
      <c r="P495" s="1">
        <v>4</v>
      </c>
      <c r="Q495" s="1">
        <v>2</v>
      </c>
      <c r="R495" s="1">
        <v>4</v>
      </c>
      <c r="S495" s="1">
        <v>3</v>
      </c>
      <c r="T495" s="1">
        <v>3</v>
      </c>
      <c r="U495" s="1">
        <v>4</v>
      </c>
      <c r="V495" s="1">
        <v>3</v>
      </c>
      <c r="W495" s="1">
        <v>2</v>
      </c>
      <c r="X495" s="1">
        <v>3</v>
      </c>
      <c r="Y495" s="1">
        <v>2</v>
      </c>
      <c r="Z495" s="1">
        <v>2</v>
      </c>
      <c r="AA495" s="1">
        <v>3</v>
      </c>
      <c r="AB495" s="1">
        <v>2</v>
      </c>
      <c r="AC495" s="1">
        <v>3</v>
      </c>
      <c r="AD495" s="1">
        <v>2</v>
      </c>
      <c r="AE495" s="1">
        <v>4</v>
      </c>
      <c r="AF495" s="1">
        <v>2</v>
      </c>
      <c r="AG495" s="1">
        <v>2</v>
      </c>
      <c r="AH495" s="1">
        <v>4</v>
      </c>
      <c r="AI495" s="1">
        <v>3</v>
      </c>
      <c r="AJ495" s="1">
        <v>2</v>
      </c>
      <c r="AK495" s="1">
        <v>2</v>
      </c>
      <c r="AL495" s="1">
        <v>3</v>
      </c>
      <c r="AM495" s="1">
        <v>4</v>
      </c>
      <c r="AN495" s="1">
        <v>3</v>
      </c>
      <c r="AO495" s="1">
        <v>2</v>
      </c>
      <c r="AP495" s="1">
        <v>2</v>
      </c>
      <c r="AQ495" s="1">
        <v>3</v>
      </c>
      <c r="AR495" s="1">
        <v>4</v>
      </c>
      <c r="AS495" s="1">
        <v>3</v>
      </c>
      <c r="AT495" s="1">
        <v>3</v>
      </c>
      <c r="AU495" s="1">
        <v>4</v>
      </c>
      <c r="AV495" s="1">
        <v>2</v>
      </c>
      <c r="AW495" s="1">
        <v>2</v>
      </c>
      <c r="AX495" s="1">
        <v>4</v>
      </c>
      <c r="AY495" s="1">
        <v>3</v>
      </c>
      <c r="AZ495" s="1">
        <v>2</v>
      </c>
      <c r="BA495" s="1">
        <v>4</v>
      </c>
      <c r="BB495" s="1">
        <v>3</v>
      </c>
      <c r="BC495" s="1">
        <v>3</v>
      </c>
    </row>
    <row r="496" spans="1:55">
      <c r="A496" s="1" t="s">
        <v>809</v>
      </c>
      <c r="B496" s="1" t="s">
        <v>489</v>
      </c>
      <c r="C496" s="1" t="s">
        <v>808</v>
      </c>
      <c r="D496" s="1">
        <v>3</v>
      </c>
      <c r="E496" s="1">
        <v>3</v>
      </c>
      <c r="F496" s="1">
        <v>4</v>
      </c>
      <c r="G496" s="1">
        <v>3</v>
      </c>
      <c r="H496" s="1">
        <v>2</v>
      </c>
      <c r="I496" s="1">
        <v>3</v>
      </c>
      <c r="J496" s="1">
        <v>3</v>
      </c>
      <c r="K496" s="1">
        <v>2</v>
      </c>
      <c r="L496" s="1">
        <v>2</v>
      </c>
      <c r="M496" s="1">
        <v>3</v>
      </c>
      <c r="N496" s="1">
        <v>2</v>
      </c>
      <c r="O496" s="1">
        <v>3</v>
      </c>
      <c r="P496" s="1">
        <v>3</v>
      </c>
      <c r="Q496" s="1">
        <v>2</v>
      </c>
      <c r="R496" s="1">
        <v>3</v>
      </c>
      <c r="S496" s="1">
        <v>3</v>
      </c>
      <c r="T496" s="1">
        <v>4</v>
      </c>
      <c r="U496" s="1">
        <v>3</v>
      </c>
      <c r="V496" s="1">
        <v>2</v>
      </c>
      <c r="W496" s="1">
        <v>2</v>
      </c>
      <c r="X496" s="1">
        <v>2</v>
      </c>
      <c r="Y496" s="1">
        <v>2</v>
      </c>
      <c r="Z496" s="1">
        <v>2</v>
      </c>
      <c r="AA496" s="1">
        <v>3</v>
      </c>
      <c r="AB496" s="1">
        <v>2</v>
      </c>
      <c r="AC496" s="1">
        <v>3</v>
      </c>
      <c r="AD496" s="1">
        <v>3</v>
      </c>
      <c r="AE496" s="1">
        <v>4</v>
      </c>
      <c r="AF496" s="1">
        <v>2</v>
      </c>
      <c r="AG496" s="1">
        <v>3</v>
      </c>
      <c r="AH496" s="1">
        <v>2</v>
      </c>
      <c r="AI496" s="1">
        <v>3</v>
      </c>
      <c r="AJ496" s="1">
        <v>3</v>
      </c>
      <c r="AK496" s="1">
        <v>3</v>
      </c>
      <c r="AL496" s="1">
        <v>3</v>
      </c>
      <c r="AM496" s="1">
        <v>4</v>
      </c>
      <c r="AN496" s="1">
        <v>2</v>
      </c>
      <c r="AO496" s="1">
        <v>2</v>
      </c>
      <c r="AP496" s="1">
        <v>3</v>
      </c>
      <c r="AQ496" s="1">
        <v>2</v>
      </c>
      <c r="AR496" s="1">
        <v>3</v>
      </c>
      <c r="AS496" s="1">
        <v>3</v>
      </c>
      <c r="AT496" s="1">
        <v>3</v>
      </c>
      <c r="AU496" s="1">
        <v>2</v>
      </c>
      <c r="AV496" s="1">
        <v>2</v>
      </c>
      <c r="AW496" s="1">
        <v>2</v>
      </c>
      <c r="AX496" s="1">
        <v>2</v>
      </c>
      <c r="AY496" s="1">
        <v>2</v>
      </c>
      <c r="AZ496" s="1">
        <v>3</v>
      </c>
      <c r="BA496" s="1">
        <v>2</v>
      </c>
      <c r="BB496" s="1">
        <v>2</v>
      </c>
      <c r="BC496" s="1">
        <v>3</v>
      </c>
    </row>
    <row r="497" spans="1:55">
      <c r="A497" s="1" t="s">
        <v>810</v>
      </c>
      <c r="B497" s="1" t="s">
        <v>489</v>
      </c>
      <c r="C497" s="1" t="s">
        <v>811</v>
      </c>
      <c r="D497" s="1">
        <v>3</v>
      </c>
      <c r="E497" s="1">
        <v>3</v>
      </c>
      <c r="F497" s="1">
        <v>4</v>
      </c>
      <c r="G497" s="1">
        <v>3</v>
      </c>
      <c r="H497" s="1">
        <v>2</v>
      </c>
      <c r="I497" s="1">
        <v>4</v>
      </c>
      <c r="J497" s="1">
        <v>2</v>
      </c>
      <c r="K497" s="1">
        <v>3</v>
      </c>
      <c r="L497" s="1">
        <v>3</v>
      </c>
      <c r="M497" s="1">
        <v>3</v>
      </c>
      <c r="N497" s="1">
        <v>4</v>
      </c>
      <c r="O497" s="1">
        <v>2</v>
      </c>
      <c r="P497" s="1">
        <v>3</v>
      </c>
      <c r="Q497" s="1">
        <v>3</v>
      </c>
      <c r="R497" s="1">
        <v>2</v>
      </c>
      <c r="S497" s="1">
        <v>2</v>
      </c>
      <c r="T497" s="1">
        <v>3</v>
      </c>
      <c r="U497" s="1">
        <v>3</v>
      </c>
      <c r="V497" s="1">
        <v>2</v>
      </c>
      <c r="W497" s="1">
        <v>3</v>
      </c>
      <c r="X497" s="1">
        <v>2</v>
      </c>
      <c r="Y497" s="1">
        <v>3</v>
      </c>
      <c r="Z497" s="1">
        <v>3</v>
      </c>
      <c r="AA497" s="1">
        <v>2</v>
      </c>
      <c r="AB497" s="1">
        <v>3</v>
      </c>
      <c r="AC497" s="1">
        <v>3</v>
      </c>
      <c r="AD497" s="1">
        <v>3</v>
      </c>
      <c r="AE497" s="1">
        <v>3</v>
      </c>
      <c r="AF497" s="1">
        <v>3</v>
      </c>
      <c r="AG497" s="1">
        <v>4</v>
      </c>
      <c r="AH497" s="1">
        <v>2</v>
      </c>
      <c r="AI497" s="1">
        <v>2</v>
      </c>
      <c r="AJ497" s="1">
        <v>3</v>
      </c>
      <c r="AK497" s="1">
        <v>3</v>
      </c>
      <c r="AL497" s="1">
        <v>2</v>
      </c>
      <c r="AM497" s="1">
        <v>4</v>
      </c>
      <c r="AN497" s="1">
        <v>4</v>
      </c>
      <c r="AO497" s="1">
        <v>2</v>
      </c>
      <c r="AP497" s="1">
        <v>3</v>
      </c>
      <c r="AQ497" s="1">
        <v>3</v>
      </c>
      <c r="AR497" s="1">
        <v>3</v>
      </c>
      <c r="AS497" s="1">
        <v>2</v>
      </c>
      <c r="AT497" s="1">
        <v>2</v>
      </c>
      <c r="AU497" s="1">
        <v>2</v>
      </c>
      <c r="AV497" s="1">
        <v>2</v>
      </c>
      <c r="AW497" s="1">
        <v>3</v>
      </c>
      <c r="AX497" s="1">
        <v>2</v>
      </c>
      <c r="AY497" s="1">
        <v>3</v>
      </c>
      <c r="AZ497" s="1">
        <v>3</v>
      </c>
      <c r="BA497" s="1">
        <v>2</v>
      </c>
      <c r="BB497" s="1">
        <v>2</v>
      </c>
      <c r="BC497" s="1">
        <v>3</v>
      </c>
    </row>
    <row r="498" spans="1:55">
      <c r="A498" s="1" t="s">
        <v>812</v>
      </c>
      <c r="B498" s="1" t="s">
        <v>489</v>
      </c>
      <c r="C498" s="1" t="s">
        <v>811</v>
      </c>
      <c r="D498" s="1">
        <v>2</v>
      </c>
      <c r="E498" s="1">
        <v>3</v>
      </c>
      <c r="F498" s="1">
        <v>3</v>
      </c>
      <c r="G498" s="1">
        <v>3</v>
      </c>
      <c r="H498" s="1">
        <v>2</v>
      </c>
      <c r="I498" s="1">
        <v>2</v>
      </c>
      <c r="J498" s="1">
        <v>3</v>
      </c>
      <c r="K498" s="1">
        <v>3</v>
      </c>
      <c r="L498" s="1">
        <v>2</v>
      </c>
      <c r="M498" s="1">
        <v>4</v>
      </c>
      <c r="N498" s="1">
        <v>3</v>
      </c>
      <c r="O498" s="1">
        <v>3</v>
      </c>
      <c r="P498" s="1">
        <v>2</v>
      </c>
      <c r="Q498" s="1">
        <v>2</v>
      </c>
      <c r="R498" s="1">
        <v>3</v>
      </c>
      <c r="S498" s="1">
        <v>3</v>
      </c>
      <c r="T498" s="1">
        <v>4</v>
      </c>
      <c r="U498" s="1">
        <v>3</v>
      </c>
      <c r="V498" s="1">
        <v>3</v>
      </c>
      <c r="W498" s="1">
        <v>2</v>
      </c>
      <c r="X498" s="1">
        <v>2</v>
      </c>
      <c r="Y498" s="1">
        <v>2</v>
      </c>
      <c r="Z498" s="1">
        <v>3</v>
      </c>
      <c r="AA498" s="1">
        <v>3</v>
      </c>
      <c r="AB498" s="1">
        <v>3</v>
      </c>
      <c r="AC498" s="1">
        <v>4</v>
      </c>
      <c r="AD498" s="1">
        <v>3</v>
      </c>
      <c r="AE498" s="1">
        <v>3</v>
      </c>
      <c r="AF498" s="1">
        <v>3</v>
      </c>
      <c r="AG498" s="1">
        <v>2</v>
      </c>
      <c r="AH498" s="1">
        <v>3</v>
      </c>
      <c r="AI498" s="1">
        <v>2</v>
      </c>
      <c r="AJ498" s="1">
        <v>3</v>
      </c>
      <c r="AK498" s="1">
        <v>2</v>
      </c>
      <c r="AL498" s="1">
        <v>3</v>
      </c>
      <c r="AM498" s="1">
        <v>4</v>
      </c>
      <c r="AN498" s="1">
        <v>4</v>
      </c>
      <c r="AO498" s="1">
        <v>2</v>
      </c>
      <c r="AP498" s="1">
        <v>3</v>
      </c>
      <c r="AQ498" s="1">
        <v>2</v>
      </c>
      <c r="AR498" s="1">
        <v>3</v>
      </c>
      <c r="AS498" s="1">
        <v>3</v>
      </c>
      <c r="AT498" s="1">
        <v>3</v>
      </c>
      <c r="AU498" s="1">
        <v>4</v>
      </c>
      <c r="AV498" s="1">
        <v>4</v>
      </c>
      <c r="AW498" s="1">
        <v>3</v>
      </c>
      <c r="AX498" s="1">
        <v>3</v>
      </c>
      <c r="AY498" s="1">
        <v>3</v>
      </c>
      <c r="AZ498" s="1">
        <v>2</v>
      </c>
      <c r="BA498" s="1">
        <v>1</v>
      </c>
      <c r="BB498" s="1">
        <v>3</v>
      </c>
      <c r="BC498" s="1">
        <v>4</v>
      </c>
    </row>
    <row r="499" spans="1:55">
      <c r="A499" s="1" t="s">
        <v>813</v>
      </c>
      <c r="B499" s="1" t="s">
        <v>489</v>
      </c>
      <c r="C499" s="1" t="s">
        <v>814</v>
      </c>
      <c r="D499" s="1">
        <v>3</v>
      </c>
      <c r="E499" s="1">
        <v>3</v>
      </c>
      <c r="F499" s="1">
        <v>3</v>
      </c>
      <c r="G499" s="1">
        <v>2</v>
      </c>
      <c r="H499" s="1">
        <v>2</v>
      </c>
      <c r="I499" s="1">
        <v>3</v>
      </c>
      <c r="J499" s="1">
        <v>4</v>
      </c>
      <c r="K499" s="1">
        <v>2</v>
      </c>
      <c r="L499" s="1">
        <v>2</v>
      </c>
      <c r="M499" s="1">
        <v>4</v>
      </c>
      <c r="N499" s="1">
        <v>3</v>
      </c>
      <c r="O499" s="1">
        <v>2</v>
      </c>
      <c r="P499" s="1">
        <v>4</v>
      </c>
      <c r="Q499" s="1">
        <v>2</v>
      </c>
      <c r="R499" s="1">
        <v>4</v>
      </c>
      <c r="S499" s="1">
        <v>3</v>
      </c>
      <c r="T499" s="1">
        <v>3</v>
      </c>
      <c r="U499" s="1">
        <v>4</v>
      </c>
      <c r="V499" s="1">
        <v>4</v>
      </c>
      <c r="W499" s="1">
        <v>3</v>
      </c>
      <c r="X499" s="1">
        <v>3</v>
      </c>
      <c r="Y499" s="1">
        <v>2</v>
      </c>
      <c r="Z499" s="1">
        <v>2</v>
      </c>
      <c r="AA499" s="1">
        <v>3</v>
      </c>
      <c r="AB499" s="1">
        <v>3</v>
      </c>
      <c r="AC499" s="1">
        <v>3</v>
      </c>
      <c r="AD499" s="1">
        <v>3</v>
      </c>
      <c r="AE499" s="1">
        <v>4</v>
      </c>
      <c r="AF499" s="1">
        <v>3</v>
      </c>
      <c r="AG499" s="1">
        <v>3</v>
      </c>
      <c r="AH499" s="1">
        <v>3</v>
      </c>
      <c r="AI499" s="1">
        <v>4</v>
      </c>
      <c r="AJ499" s="1">
        <v>3</v>
      </c>
      <c r="AK499" s="1">
        <v>1</v>
      </c>
      <c r="AL499" s="1">
        <v>3</v>
      </c>
      <c r="AM499" s="1">
        <v>3</v>
      </c>
      <c r="AN499" s="1">
        <v>3</v>
      </c>
      <c r="AO499" s="1">
        <v>3</v>
      </c>
      <c r="AP499" s="1">
        <v>2</v>
      </c>
      <c r="AQ499" s="1">
        <v>2</v>
      </c>
      <c r="AR499" s="1">
        <v>3</v>
      </c>
      <c r="AS499" s="1">
        <v>4</v>
      </c>
      <c r="AT499" s="1">
        <v>4</v>
      </c>
      <c r="AU499" s="1">
        <v>3</v>
      </c>
      <c r="AV499" s="1">
        <v>3</v>
      </c>
      <c r="AW499" s="1">
        <v>2</v>
      </c>
      <c r="AX499" s="1">
        <v>3</v>
      </c>
      <c r="AY499" s="1">
        <v>3</v>
      </c>
      <c r="AZ499" s="1">
        <v>2</v>
      </c>
      <c r="BA499" s="1">
        <v>2</v>
      </c>
      <c r="BB499" s="1">
        <v>3</v>
      </c>
      <c r="BC499" s="1">
        <v>2</v>
      </c>
    </row>
    <row r="500" spans="1:55">
      <c r="A500" s="1" t="s">
        <v>815</v>
      </c>
      <c r="B500" s="1" t="s">
        <v>489</v>
      </c>
      <c r="C500" s="1" t="s">
        <v>814</v>
      </c>
      <c r="D500" s="1">
        <v>4</v>
      </c>
      <c r="E500" s="1">
        <v>2</v>
      </c>
      <c r="F500" s="1">
        <v>4</v>
      </c>
      <c r="G500" s="1">
        <v>3</v>
      </c>
      <c r="H500" s="1">
        <v>3</v>
      </c>
      <c r="I500" s="1">
        <v>3</v>
      </c>
      <c r="J500" s="1">
        <v>4</v>
      </c>
      <c r="K500" s="1">
        <v>3</v>
      </c>
      <c r="L500" s="1">
        <v>3</v>
      </c>
      <c r="M500" s="1">
        <v>3</v>
      </c>
      <c r="N500" s="1">
        <v>4</v>
      </c>
      <c r="O500" s="1">
        <v>3</v>
      </c>
      <c r="P500" s="1">
        <v>4</v>
      </c>
      <c r="Q500" s="1">
        <v>3</v>
      </c>
      <c r="R500" s="1">
        <v>2</v>
      </c>
      <c r="S500" s="1">
        <v>3</v>
      </c>
      <c r="T500" s="1">
        <v>3</v>
      </c>
      <c r="U500" s="1">
        <v>2</v>
      </c>
      <c r="V500" s="1">
        <v>3</v>
      </c>
      <c r="W500" s="1">
        <v>3</v>
      </c>
      <c r="X500" s="1">
        <v>2</v>
      </c>
      <c r="Y500" s="1">
        <v>3</v>
      </c>
      <c r="Z500" s="1">
        <v>4</v>
      </c>
      <c r="AA500" s="1">
        <v>2</v>
      </c>
      <c r="AB500" s="1">
        <v>4</v>
      </c>
      <c r="AC500" s="1">
        <v>3</v>
      </c>
      <c r="AD500" s="1">
        <v>3</v>
      </c>
      <c r="AE500" s="1">
        <v>2</v>
      </c>
      <c r="AF500" s="1">
        <v>3</v>
      </c>
      <c r="AG500" s="1">
        <v>4</v>
      </c>
      <c r="AH500" s="1">
        <v>3</v>
      </c>
      <c r="AI500" s="1">
        <v>4</v>
      </c>
      <c r="AJ500" s="1">
        <v>4</v>
      </c>
      <c r="AK500" s="1">
        <v>3</v>
      </c>
      <c r="AL500" s="1">
        <v>3</v>
      </c>
      <c r="AM500" s="1">
        <v>3</v>
      </c>
      <c r="AN500" s="1">
        <v>4</v>
      </c>
      <c r="AO500" s="1">
        <v>3</v>
      </c>
      <c r="AP500" s="1">
        <v>4</v>
      </c>
      <c r="AQ500" s="1">
        <v>3</v>
      </c>
      <c r="AR500" s="1">
        <v>3</v>
      </c>
      <c r="AS500" s="1">
        <v>3</v>
      </c>
      <c r="AT500" s="1">
        <v>4</v>
      </c>
      <c r="AU500" s="1">
        <v>3</v>
      </c>
      <c r="AV500" s="1">
        <v>4</v>
      </c>
      <c r="AW500" s="1">
        <v>3</v>
      </c>
      <c r="AX500" s="1">
        <v>3</v>
      </c>
      <c r="AY500" s="1">
        <v>3</v>
      </c>
      <c r="AZ500" s="1">
        <v>3</v>
      </c>
      <c r="BA500" s="1">
        <v>2</v>
      </c>
      <c r="BB500" s="1">
        <v>4</v>
      </c>
      <c r="BC500" s="1">
        <v>2</v>
      </c>
    </row>
    <row r="501" spans="1:55">
      <c r="A501" s="1" t="s">
        <v>816</v>
      </c>
      <c r="B501" s="1" t="s">
        <v>489</v>
      </c>
      <c r="C501" s="1" t="s">
        <v>817</v>
      </c>
      <c r="D501" s="1">
        <v>3</v>
      </c>
      <c r="E501" s="1">
        <v>2</v>
      </c>
      <c r="F501" s="1">
        <v>4</v>
      </c>
      <c r="G501" s="1">
        <v>3</v>
      </c>
      <c r="H501" s="1">
        <v>4</v>
      </c>
      <c r="I501" s="1">
        <v>4</v>
      </c>
      <c r="J501" s="1">
        <v>3</v>
      </c>
      <c r="K501" s="1">
        <v>4</v>
      </c>
      <c r="L501" s="1">
        <v>4</v>
      </c>
      <c r="M501" s="1">
        <v>2</v>
      </c>
      <c r="N501" s="1">
        <v>4</v>
      </c>
      <c r="O501" s="1">
        <v>3</v>
      </c>
      <c r="P501" s="1">
        <v>4</v>
      </c>
      <c r="Q501" s="1">
        <v>3</v>
      </c>
      <c r="R501" s="1">
        <v>2</v>
      </c>
      <c r="S501" s="1">
        <v>3</v>
      </c>
      <c r="T501" s="1">
        <v>3</v>
      </c>
      <c r="U501" s="1">
        <v>3</v>
      </c>
      <c r="V501" s="1">
        <v>4</v>
      </c>
      <c r="W501" s="1">
        <v>3</v>
      </c>
      <c r="X501" s="1">
        <v>2</v>
      </c>
      <c r="Y501" s="1">
        <v>3</v>
      </c>
      <c r="Z501" s="1">
        <v>3</v>
      </c>
      <c r="AA501" s="1">
        <v>3</v>
      </c>
      <c r="AB501" s="1">
        <v>4</v>
      </c>
      <c r="AC501" s="1">
        <v>4</v>
      </c>
      <c r="AD501" s="1">
        <v>2</v>
      </c>
      <c r="AE501" s="1">
        <v>3</v>
      </c>
      <c r="AF501" s="1">
        <v>3</v>
      </c>
      <c r="AG501" s="1">
        <v>4</v>
      </c>
      <c r="AH501" s="1">
        <v>4</v>
      </c>
      <c r="AI501" s="1">
        <v>3</v>
      </c>
      <c r="AJ501" s="1">
        <v>3</v>
      </c>
      <c r="AK501" s="1">
        <v>3</v>
      </c>
      <c r="AL501" s="1">
        <v>3</v>
      </c>
      <c r="AM501" s="1">
        <v>4</v>
      </c>
      <c r="AN501" s="1">
        <v>3</v>
      </c>
      <c r="AO501" s="1">
        <v>4</v>
      </c>
      <c r="AP501" s="1">
        <v>3</v>
      </c>
      <c r="AQ501" s="1">
        <v>4</v>
      </c>
      <c r="AR501" s="1">
        <v>3</v>
      </c>
      <c r="AS501" s="1">
        <v>4</v>
      </c>
      <c r="AT501" s="1">
        <v>3</v>
      </c>
      <c r="AU501" s="1">
        <v>3</v>
      </c>
      <c r="AV501" s="1">
        <v>3</v>
      </c>
      <c r="AW501" s="1">
        <v>2</v>
      </c>
      <c r="AX501" s="1">
        <v>3</v>
      </c>
      <c r="AY501" s="1">
        <v>2</v>
      </c>
      <c r="AZ501" s="1">
        <v>4</v>
      </c>
      <c r="BA501" s="1">
        <v>2</v>
      </c>
      <c r="BB501" s="1">
        <v>4</v>
      </c>
      <c r="BC501" s="1">
        <v>3</v>
      </c>
    </row>
    <row r="502" spans="1:55">
      <c r="A502" s="1" t="s">
        <v>818</v>
      </c>
      <c r="B502" s="1" t="s">
        <v>489</v>
      </c>
      <c r="C502" s="1" t="s">
        <v>817</v>
      </c>
      <c r="D502" s="1">
        <v>3</v>
      </c>
      <c r="E502" s="1">
        <v>4</v>
      </c>
      <c r="F502" s="1">
        <v>3</v>
      </c>
      <c r="G502" s="1">
        <v>3</v>
      </c>
      <c r="H502" s="1">
        <v>3</v>
      </c>
      <c r="I502" s="1">
        <v>3</v>
      </c>
      <c r="J502" s="1">
        <v>3</v>
      </c>
      <c r="K502" s="1">
        <v>3</v>
      </c>
      <c r="L502" s="1">
        <v>3</v>
      </c>
      <c r="M502" s="1">
        <v>4</v>
      </c>
      <c r="N502" s="1">
        <v>3</v>
      </c>
      <c r="O502" s="1">
        <v>2</v>
      </c>
      <c r="P502" s="1">
        <v>3</v>
      </c>
      <c r="Q502" s="1">
        <v>4</v>
      </c>
      <c r="R502" s="1">
        <v>3</v>
      </c>
      <c r="S502" s="1">
        <v>4</v>
      </c>
      <c r="T502" s="1">
        <v>3</v>
      </c>
      <c r="U502" s="1">
        <v>5</v>
      </c>
      <c r="V502" s="1">
        <v>2</v>
      </c>
      <c r="W502" s="1">
        <v>4</v>
      </c>
      <c r="X502" s="1">
        <v>3</v>
      </c>
      <c r="Y502" s="1">
        <v>5</v>
      </c>
      <c r="Z502" s="1">
        <v>3</v>
      </c>
      <c r="AA502" s="1">
        <v>2</v>
      </c>
      <c r="AB502" s="1">
        <v>3</v>
      </c>
      <c r="AC502" s="1">
        <v>3</v>
      </c>
      <c r="AD502" s="1">
        <v>4</v>
      </c>
      <c r="AE502" s="1">
        <v>4</v>
      </c>
      <c r="AF502" s="1">
        <v>2</v>
      </c>
      <c r="AG502" s="1">
        <v>2</v>
      </c>
      <c r="AH502" s="1">
        <v>2</v>
      </c>
      <c r="AI502" s="1">
        <v>3</v>
      </c>
      <c r="AJ502" s="1">
        <v>2</v>
      </c>
      <c r="AK502" s="1">
        <v>3</v>
      </c>
      <c r="AL502" s="1">
        <v>2</v>
      </c>
      <c r="AM502" s="1">
        <v>4</v>
      </c>
      <c r="AN502" s="1">
        <v>3</v>
      </c>
      <c r="AO502" s="1">
        <v>3</v>
      </c>
      <c r="AP502" s="1">
        <v>3</v>
      </c>
      <c r="AQ502" s="1">
        <v>3</v>
      </c>
      <c r="AR502" s="1">
        <v>4</v>
      </c>
      <c r="AS502" s="1">
        <v>4</v>
      </c>
      <c r="AT502" s="1">
        <v>3</v>
      </c>
      <c r="AU502" s="1">
        <v>3</v>
      </c>
      <c r="AV502" s="1">
        <v>3</v>
      </c>
      <c r="AW502" s="1">
        <v>4</v>
      </c>
      <c r="AX502" s="1">
        <v>4</v>
      </c>
      <c r="AY502" s="1">
        <v>4</v>
      </c>
      <c r="AZ502" s="1">
        <v>4</v>
      </c>
      <c r="BA502" s="1">
        <v>4</v>
      </c>
      <c r="BB502" s="1">
        <v>3</v>
      </c>
      <c r="BC502" s="1">
        <v>4</v>
      </c>
    </row>
    <row r="503" spans="1:55">
      <c r="A503" s="1" t="s">
        <v>819</v>
      </c>
      <c r="B503" s="1" t="s">
        <v>489</v>
      </c>
      <c r="C503" s="1" t="s">
        <v>820</v>
      </c>
      <c r="D503" s="1">
        <v>3</v>
      </c>
      <c r="E503" s="1">
        <v>1</v>
      </c>
      <c r="F503" s="1">
        <v>4</v>
      </c>
      <c r="G503" s="1">
        <v>4</v>
      </c>
      <c r="H503" s="1">
        <v>3</v>
      </c>
      <c r="I503" s="1">
        <v>3</v>
      </c>
      <c r="J503" s="1">
        <v>3</v>
      </c>
      <c r="K503" s="1">
        <v>3</v>
      </c>
      <c r="L503" s="1">
        <v>3</v>
      </c>
      <c r="M503" s="1">
        <v>2</v>
      </c>
      <c r="N503" s="1">
        <v>3</v>
      </c>
      <c r="O503" s="1">
        <v>3</v>
      </c>
      <c r="P503" s="1">
        <v>2</v>
      </c>
      <c r="Q503" s="1">
        <v>2</v>
      </c>
      <c r="R503" s="1">
        <v>3</v>
      </c>
      <c r="S503" s="1">
        <v>3</v>
      </c>
      <c r="T503" s="1">
        <v>2</v>
      </c>
      <c r="U503" s="1">
        <v>3</v>
      </c>
      <c r="V503" s="1">
        <v>3</v>
      </c>
      <c r="W503" s="1">
        <v>4</v>
      </c>
      <c r="X503" s="1">
        <v>3</v>
      </c>
      <c r="Y503" s="1">
        <v>3</v>
      </c>
      <c r="Z503" s="1">
        <v>2</v>
      </c>
      <c r="AA503" s="1">
        <v>3</v>
      </c>
      <c r="AB503" s="1">
        <v>2</v>
      </c>
      <c r="AC503" s="1">
        <v>3</v>
      </c>
      <c r="AD503" s="1">
        <v>3</v>
      </c>
      <c r="AE503" s="1">
        <v>2</v>
      </c>
      <c r="AF503" s="1">
        <v>4</v>
      </c>
      <c r="AG503" s="1">
        <v>4</v>
      </c>
      <c r="AH503" s="1">
        <v>2</v>
      </c>
      <c r="AI503" s="1">
        <v>2</v>
      </c>
      <c r="AJ503" s="1">
        <v>3</v>
      </c>
      <c r="AK503" s="1">
        <v>3</v>
      </c>
      <c r="AL503" s="1">
        <v>2</v>
      </c>
      <c r="AM503" s="1">
        <v>2</v>
      </c>
      <c r="AN503" s="1">
        <v>3</v>
      </c>
      <c r="AO503" s="1">
        <v>3</v>
      </c>
      <c r="AP503" s="1">
        <v>3</v>
      </c>
      <c r="AQ503" s="1">
        <v>3</v>
      </c>
      <c r="AR503" s="1">
        <v>3</v>
      </c>
      <c r="AS503" s="1">
        <v>2</v>
      </c>
      <c r="AT503" s="1">
        <v>3</v>
      </c>
      <c r="AU503" s="1">
        <v>3</v>
      </c>
      <c r="AV503" s="1">
        <v>3</v>
      </c>
      <c r="AW503" s="1">
        <v>4</v>
      </c>
      <c r="AX503" s="1">
        <v>4</v>
      </c>
      <c r="AY503" s="1">
        <v>3</v>
      </c>
      <c r="AZ503" s="1">
        <v>3</v>
      </c>
      <c r="BA503" s="1">
        <v>3</v>
      </c>
      <c r="BB503" s="1">
        <v>2</v>
      </c>
      <c r="BC503" s="1">
        <v>3</v>
      </c>
    </row>
    <row r="504" spans="1:55">
      <c r="A504" s="1" t="s">
        <v>821</v>
      </c>
      <c r="B504" s="1" t="s">
        <v>489</v>
      </c>
      <c r="C504" s="1" t="s">
        <v>820</v>
      </c>
      <c r="D504" s="1">
        <v>2</v>
      </c>
      <c r="E504" s="1">
        <v>3</v>
      </c>
      <c r="F504" s="1">
        <v>2</v>
      </c>
      <c r="G504" s="1">
        <v>3</v>
      </c>
      <c r="H504" s="1">
        <v>4</v>
      </c>
      <c r="I504" s="1">
        <v>3</v>
      </c>
      <c r="J504" s="1">
        <v>2</v>
      </c>
      <c r="K504" s="1">
        <v>1</v>
      </c>
      <c r="L504" s="1">
        <v>1</v>
      </c>
      <c r="M504" s="1">
        <v>3</v>
      </c>
      <c r="N504" s="1">
        <v>3</v>
      </c>
      <c r="O504" s="1">
        <v>3</v>
      </c>
      <c r="P504" s="1">
        <v>3</v>
      </c>
      <c r="Q504" s="1">
        <v>1</v>
      </c>
      <c r="R504" s="1">
        <v>3</v>
      </c>
      <c r="S504" s="1">
        <v>3</v>
      </c>
      <c r="T504" s="1">
        <v>3</v>
      </c>
      <c r="U504" s="1">
        <v>3</v>
      </c>
      <c r="V504" s="1">
        <v>3</v>
      </c>
      <c r="W504" s="1">
        <v>3</v>
      </c>
      <c r="X504" s="1">
        <v>3</v>
      </c>
      <c r="Y504" s="1">
        <v>2</v>
      </c>
      <c r="Z504" s="1">
        <v>2</v>
      </c>
      <c r="AA504" s="1">
        <v>2</v>
      </c>
      <c r="AB504" s="1">
        <v>2</v>
      </c>
      <c r="AC504" s="1">
        <v>2</v>
      </c>
      <c r="AD504" s="1">
        <v>3</v>
      </c>
      <c r="AE504" s="1">
        <v>2</v>
      </c>
      <c r="AF504" s="1">
        <v>2</v>
      </c>
      <c r="AG504" s="1">
        <v>3</v>
      </c>
      <c r="AH504" s="1">
        <v>3</v>
      </c>
      <c r="AI504" s="1">
        <v>3</v>
      </c>
      <c r="AJ504" s="1">
        <v>3</v>
      </c>
      <c r="AK504" s="1">
        <v>2</v>
      </c>
      <c r="AL504" s="1">
        <v>4</v>
      </c>
      <c r="AM504" s="1">
        <v>3</v>
      </c>
      <c r="AN504" s="1">
        <v>3</v>
      </c>
      <c r="AO504" s="1">
        <v>2</v>
      </c>
      <c r="AP504" s="1">
        <v>2</v>
      </c>
      <c r="AQ504" s="1">
        <v>3</v>
      </c>
      <c r="AR504" s="1">
        <v>3</v>
      </c>
      <c r="AS504" s="1">
        <v>3</v>
      </c>
      <c r="AT504" s="1">
        <v>3</v>
      </c>
      <c r="AU504" s="1">
        <v>4</v>
      </c>
      <c r="AV504" s="1">
        <v>3</v>
      </c>
      <c r="AW504" s="1">
        <v>3</v>
      </c>
      <c r="AX504" s="1">
        <v>3</v>
      </c>
      <c r="AY504" s="1">
        <v>3</v>
      </c>
      <c r="AZ504" s="1">
        <v>3</v>
      </c>
      <c r="BA504" s="1">
        <v>2</v>
      </c>
      <c r="BB504" s="1">
        <v>3</v>
      </c>
      <c r="BC504" s="1">
        <v>3</v>
      </c>
    </row>
    <row r="505" spans="1:55">
      <c r="A505" s="1" t="s">
        <v>822</v>
      </c>
      <c r="B505" s="1" t="s">
        <v>489</v>
      </c>
      <c r="C505" s="1" t="s">
        <v>823</v>
      </c>
      <c r="D505" s="1">
        <v>4</v>
      </c>
      <c r="E505" s="1">
        <v>4</v>
      </c>
      <c r="F505" s="1">
        <v>3</v>
      </c>
      <c r="G505" s="1">
        <v>3</v>
      </c>
      <c r="H505" s="1">
        <v>3</v>
      </c>
      <c r="I505" s="1">
        <v>4</v>
      </c>
      <c r="J505" s="1">
        <v>4</v>
      </c>
      <c r="K505" s="1">
        <v>3</v>
      </c>
      <c r="L505" s="1">
        <v>3</v>
      </c>
      <c r="M505" s="1">
        <v>3</v>
      </c>
      <c r="N505" s="1">
        <v>3</v>
      </c>
      <c r="O505" s="1">
        <v>2</v>
      </c>
      <c r="P505" s="1">
        <v>4</v>
      </c>
      <c r="Q505" s="1">
        <v>4</v>
      </c>
      <c r="R505" s="1">
        <v>3</v>
      </c>
      <c r="S505" s="1">
        <v>3</v>
      </c>
      <c r="T505" s="1">
        <v>4</v>
      </c>
      <c r="U505" s="1">
        <v>4</v>
      </c>
      <c r="V505" s="1">
        <v>5</v>
      </c>
      <c r="W505" s="1">
        <v>3</v>
      </c>
      <c r="X505" s="1">
        <v>4</v>
      </c>
      <c r="Y505" s="1">
        <v>4</v>
      </c>
      <c r="Z505" s="1">
        <v>2</v>
      </c>
      <c r="AA505" s="1">
        <v>2</v>
      </c>
      <c r="AB505" s="1">
        <v>3</v>
      </c>
      <c r="AC505" s="1">
        <v>2</v>
      </c>
      <c r="AD505" s="1">
        <v>3</v>
      </c>
      <c r="AE505" s="1">
        <v>3</v>
      </c>
      <c r="AF505" s="1">
        <v>3</v>
      </c>
      <c r="AG505" s="1">
        <v>3</v>
      </c>
      <c r="AH505" s="1">
        <v>5</v>
      </c>
      <c r="AI505" s="1">
        <v>3</v>
      </c>
      <c r="AJ505" s="1">
        <v>3</v>
      </c>
      <c r="AK505" s="1">
        <v>3</v>
      </c>
      <c r="AL505" s="1">
        <v>4</v>
      </c>
      <c r="AM505" s="1">
        <v>3</v>
      </c>
      <c r="AN505" s="1">
        <v>4</v>
      </c>
      <c r="AO505" s="1">
        <v>4</v>
      </c>
      <c r="AP505" s="1">
        <v>3</v>
      </c>
      <c r="AQ505" s="1">
        <v>3</v>
      </c>
      <c r="AR505" s="1">
        <v>3</v>
      </c>
      <c r="AS505" s="1">
        <v>4</v>
      </c>
      <c r="AT505" s="1">
        <v>3</v>
      </c>
      <c r="AU505" s="1">
        <v>4</v>
      </c>
      <c r="AV505" s="1">
        <v>4</v>
      </c>
      <c r="AW505" s="1">
        <v>3</v>
      </c>
      <c r="AX505" s="1">
        <v>4</v>
      </c>
      <c r="AY505" s="1">
        <v>5</v>
      </c>
      <c r="AZ505" s="1">
        <v>4</v>
      </c>
      <c r="BA505" s="1">
        <v>4</v>
      </c>
      <c r="BB505" s="1">
        <v>3</v>
      </c>
      <c r="BC505" s="1">
        <v>2</v>
      </c>
    </row>
    <row r="506" spans="1:55">
      <c r="A506" s="1" t="s">
        <v>824</v>
      </c>
      <c r="B506" s="1" t="s">
        <v>489</v>
      </c>
      <c r="C506" s="1" t="s">
        <v>823</v>
      </c>
      <c r="D506" s="1">
        <v>2</v>
      </c>
      <c r="E506" s="1">
        <v>3</v>
      </c>
      <c r="F506" s="1">
        <v>3</v>
      </c>
      <c r="G506" s="1">
        <v>2</v>
      </c>
      <c r="H506" s="1">
        <v>3</v>
      </c>
      <c r="I506" s="1">
        <v>3</v>
      </c>
      <c r="J506" s="1">
        <v>3</v>
      </c>
      <c r="K506" s="1">
        <v>2</v>
      </c>
      <c r="L506" s="1">
        <v>4</v>
      </c>
      <c r="M506" s="1">
        <v>3</v>
      </c>
      <c r="N506" s="1">
        <v>3</v>
      </c>
      <c r="O506" s="1">
        <v>2</v>
      </c>
      <c r="P506" s="1">
        <v>2</v>
      </c>
      <c r="Q506" s="1">
        <v>2</v>
      </c>
      <c r="R506" s="1">
        <v>3</v>
      </c>
      <c r="S506" s="1">
        <v>3</v>
      </c>
      <c r="T506" s="1">
        <v>3</v>
      </c>
      <c r="U506" s="1">
        <v>3</v>
      </c>
      <c r="V506" s="1">
        <v>3</v>
      </c>
      <c r="W506" s="1">
        <v>2</v>
      </c>
      <c r="X506" s="1">
        <v>3</v>
      </c>
      <c r="Y506" s="1">
        <v>3</v>
      </c>
      <c r="Z506" s="1">
        <v>2</v>
      </c>
      <c r="AA506" s="1">
        <v>2</v>
      </c>
      <c r="AB506" s="1">
        <v>2</v>
      </c>
      <c r="AC506" s="1">
        <v>3</v>
      </c>
      <c r="AD506" s="1">
        <v>2</v>
      </c>
      <c r="AE506" s="1">
        <v>3</v>
      </c>
      <c r="AF506" s="1">
        <v>3</v>
      </c>
      <c r="AG506" s="1">
        <v>2</v>
      </c>
      <c r="AH506" s="1">
        <v>2</v>
      </c>
      <c r="AI506" s="1">
        <v>3</v>
      </c>
      <c r="AJ506" s="1">
        <v>3</v>
      </c>
      <c r="AK506" s="1">
        <v>2</v>
      </c>
      <c r="AL506" s="1">
        <v>2</v>
      </c>
      <c r="AM506" s="1">
        <v>3</v>
      </c>
      <c r="AN506" s="1">
        <v>3</v>
      </c>
      <c r="AO506" s="1">
        <v>2</v>
      </c>
      <c r="AP506" s="1">
        <v>3</v>
      </c>
      <c r="AQ506" s="1">
        <v>2</v>
      </c>
      <c r="AR506" s="1">
        <v>3</v>
      </c>
      <c r="AS506" s="1">
        <v>4</v>
      </c>
      <c r="AT506" s="1">
        <v>3</v>
      </c>
      <c r="AU506" s="1">
        <v>4</v>
      </c>
      <c r="AV506" s="1">
        <v>2</v>
      </c>
      <c r="AW506" s="1">
        <v>2</v>
      </c>
      <c r="AX506" s="1">
        <v>1</v>
      </c>
      <c r="AY506" s="1">
        <v>2</v>
      </c>
      <c r="AZ506" s="1">
        <v>2</v>
      </c>
      <c r="BA506" s="1">
        <v>2</v>
      </c>
      <c r="BB506" s="1">
        <v>2</v>
      </c>
      <c r="BC506" s="1">
        <v>3</v>
      </c>
    </row>
    <row r="507" spans="1:55">
      <c r="A507" s="1" t="s">
        <v>825</v>
      </c>
      <c r="B507" s="1" t="s">
        <v>489</v>
      </c>
      <c r="C507" s="1" t="s">
        <v>826</v>
      </c>
      <c r="D507" s="1">
        <v>3</v>
      </c>
      <c r="E507" s="1">
        <v>3</v>
      </c>
      <c r="F507" s="1">
        <v>3</v>
      </c>
      <c r="G507" s="1">
        <v>4</v>
      </c>
      <c r="H507" s="1">
        <v>3</v>
      </c>
      <c r="I507" s="1">
        <v>3</v>
      </c>
      <c r="J507" s="1">
        <v>2</v>
      </c>
      <c r="K507" s="1">
        <v>4</v>
      </c>
      <c r="L507" s="1">
        <v>3</v>
      </c>
      <c r="M507" s="1">
        <v>5</v>
      </c>
      <c r="N507" s="1">
        <v>4</v>
      </c>
      <c r="O507" s="1">
        <v>4</v>
      </c>
      <c r="P507" s="1">
        <v>3</v>
      </c>
      <c r="Q507" s="1">
        <v>5</v>
      </c>
      <c r="R507" s="1">
        <v>3</v>
      </c>
      <c r="S507" s="1">
        <v>2</v>
      </c>
      <c r="T507" s="1">
        <v>2</v>
      </c>
      <c r="U507" s="1">
        <v>3</v>
      </c>
      <c r="V507" s="1">
        <v>3</v>
      </c>
      <c r="W507" s="1">
        <v>3</v>
      </c>
      <c r="X507" s="1">
        <v>3</v>
      </c>
      <c r="Y507" s="1">
        <v>4</v>
      </c>
      <c r="Z507" s="1">
        <v>3</v>
      </c>
      <c r="AA507" s="1">
        <v>3</v>
      </c>
      <c r="AB507" s="1">
        <v>4</v>
      </c>
      <c r="AC507" s="1">
        <v>4</v>
      </c>
      <c r="AD507" s="1">
        <v>3</v>
      </c>
      <c r="AE507" s="1">
        <v>3</v>
      </c>
      <c r="AF507" s="1">
        <v>3</v>
      </c>
      <c r="AG507" s="1">
        <v>3</v>
      </c>
      <c r="AH507" s="1">
        <v>3</v>
      </c>
      <c r="AI507" s="1">
        <v>2</v>
      </c>
      <c r="AJ507" s="1">
        <v>3</v>
      </c>
      <c r="AK507" s="1">
        <v>4</v>
      </c>
      <c r="AL507" s="1">
        <v>4</v>
      </c>
      <c r="AM507" s="1">
        <v>3</v>
      </c>
      <c r="AN507" s="1">
        <v>2</v>
      </c>
      <c r="AO507" s="1">
        <v>3</v>
      </c>
      <c r="AP507" s="1">
        <v>4</v>
      </c>
      <c r="AQ507" s="1">
        <v>4</v>
      </c>
      <c r="AR507" s="1">
        <v>3</v>
      </c>
      <c r="AS507" s="1">
        <v>2</v>
      </c>
      <c r="AT507" s="1">
        <v>3</v>
      </c>
      <c r="AU507" s="1">
        <v>3</v>
      </c>
      <c r="AV507" s="1">
        <v>2</v>
      </c>
      <c r="AW507" s="1">
        <v>4</v>
      </c>
      <c r="AX507" s="1">
        <v>3</v>
      </c>
      <c r="AY507" s="1">
        <v>3</v>
      </c>
      <c r="AZ507" s="1">
        <v>4</v>
      </c>
      <c r="BA507" s="1">
        <v>4</v>
      </c>
      <c r="BB507" s="1">
        <v>3</v>
      </c>
      <c r="BC507" s="1">
        <v>4</v>
      </c>
    </row>
    <row r="508" spans="1:55">
      <c r="A508" s="1" t="s">
        <v>827</v>
      </c>
      <c r="B508" s="1" t="s">
        <v>489</v>
      </c>
      <c r="C508" s="1" t="s">
        <v>826</v>
      </c>
      <c r="D508" s="1">
        <v>2</v>
      </c>
      <c r="E508" s="1">
        <v>4</v>
      </c>
      <c r="F508" s="1">
        <v>3</v>
      </c>
      <c r="G508" s="1">
        <v>4</v>
      </c>
      <c r="H508" s="1">
        <v>2</v>
      </c>
      <c r="I508" s="1">
        <v>2</v>
      </c>
      <c r="J508" s="1">
        <v>3</v>
      </c>
      <c r="K508" s="1">
        <v>2</v>
      </c>
      <c r="L508" s="1">
        <v>1</v>
      </c>
      <c r="M508" s="1">
        <v>2</v>
      </c>
      <c r="N508" s="1">
        <v>3</v>
      </c>
      <c r="O508" s="1">
        <v>1</v>
      </c>
      <c r="P508" s="1">
        <v>2</v>
      </c>
      <c r="Q508" s="1">
        <v>3</v>
      </c>
      <c r="R508" s="1">
        <v>3</v>
      </c>
      <c r="S508" s="1">
        <v>2</v>
      </c>
      <c r="T508" s="1">
        <v>2</v>
      </c>
      <c r="U508" s="1">
        <v>2</v>
      </c>
      <c r="V508" s="1">
        <v>3</v>
      </c>
      <c r="W508" s="1">
        <v>3</v>
      </c>
      <c r="X508" s="1">
        <v>2</v>
      </c>
      <c r="Y508" s="1">
        <v>2</v>
      </c>
      <c r="Z508" s="1">
        <v>2</v>
      </c>
      <c r="AA508" s="1">
        <v>2</v>
      </c>
      <c r="AB508" s="1">
        <v>2</v>
      </c>
      <c r="AC508" s="1">
        <v>3</v>
      </c>
      <c r="AD508" s="1">
        <v>3</v>
      </c>
      <c r="AE508" s="1">
        <v>3</v>
      </c>
      <c r="AF508" s="1">
        <v>3</v>
      </c>
      <c r="AG508" s="1">
        <v>3</v>
      </c>
      <c r="AH508" s="1">
        <v>3</v>
      </c>
      <c r="AI508" s="1">
        <v>3</v>
      </c>
      <c r="AJ508" s="1">
        <v>3</v>
      </c>
      <c r="AK508" s="1">
        <v>3</v>
      </c>
      <c r="AL508" s="1">
        <v>1</v>
      </c>
      <c r="AM508" s="1">
        <v>2</v>
      </c>
      <c r="AN508" s="1">
        <v>3</v>
      </c>
      <c r="AO508" s="1">
        <v>3</v>
      </c>
      <c r="AP508" s="1">
        <v>2</v>
      </c>
      <c r="AQ508" s="1">
        <v>3</v>
      </c>
      <c r="AR508" s="1">
        <v>3</v>
      </c>
      <c r="AS508" s="1">
        <v>3</v>
      </c>
      <c r="AT508" s="1">
        <v>3</v>
      </c>
      <c r="AU508" s="1">
        <v>3</v>
      </c>
      <c r="AV508" s="1">
        <v>3</v>
      </c>
      <c r="AW508" s="1">
        <v>3</v>
      </c>
      <c r="AX508" s="1">
        <v>2</v>
      </c>
      <c r="AY508" s="1">
        <v>3</v>
      </c>
      <c r="AZ508" s="1">
        <v>2</v>
      </c>
      <c r="BA508" s="1">
        <v>3</v>
      </c>
      <c r="BB508" s="1">
        <v>2</v>
      </c>
      <c r="BC508" s="1">
        <v>3</v>
      </c>
    </row>
    <row r="509" spans="1:55">
      <c r="A509" s="1" t="s">
        <v>828</v>
      </c>
      <c r="B509" s="1" t="s">
        <v>489</v>
      </c>
      <c r="C509" s="1" t="s">
        <v>829</v>
      </c>
      <c r="D509" s="1">
        <v>4</v>
      </c>
      <c r="E509" s="1">
        <v>3</v>
      </c>
      <c r="F509" s="1">
        <v>3</v>
      </c>
      <c r="G509" s="1">
        <v>3</v>
      </c>
      <c r="H509" s="1">
        <v>3</v>
      </c>
      <c r="I509" s="1">
        <v>4</v>
      </c>
      <c r="J509" s="1">
        <v>3</v>
      </c>
      <c r="K509" s="1">
        <v>3</v>
      </c>
      <c r="L509" s="1">
        <v>4</v>
      </c>
      <c r="M509" s="1">
        <v>3</v>
      </c>
      <c r="N509" s="1">
        <v>3</v>
      </c>
      <c r="O509" s="1">
        <v>4</v>
      </c>
      <c r="P509" s="1">
        <v>4</v>
      </c>
      <c r="Q509" s="1">
        <v>3</v>
      </c>
      <c r="R509" s="1">
        <v>2</v>
      </c>
      <c r="S509" s="1">
        <v>3</v>
      </c>
      <c r="T509" s="1">
        <v>2</v>
      </c>
      <c r="U509" s="1">
        <v>3</v>
      </c>
      <c r="V509" s="1">
        <v>3</v>
      </c>
      <c r="W509" s="1">
        <v>4</v>
      </c>
      <c r="X509" s="1">
        <v>3</v>
      </c>
      <c r="Y509" s="1">
        <v>3</v>
      </c>
      <c r="Z509" s="1">
        <v>4</v>
      </c>
      <c r="AA509" s="1">
        <v>4</v>
      </c>
      <c r="AB509" s="1">
        <v>3</v>
      </c>
      <c r="AC509" s="1">
        <v>3</v>
      </c>
      <c r="AD509" s="1">
        <v>3</v>
      </c>
      <c r="AE509" s="1">
        <v>2</v>
      </c>
      <c r="AF509" s="1">
        <v>3</v>
      </c>
      <c r="AG509" s="1">
        <v>4</v>
      </c>
      <c r="AH509" s="1">
        <v>3</v>
      </c>
      <c r="AI509" s="1">
        <v>3</v>
      </c>
      <c r="AJ509" s="1">
        <v>3</v>
      </c>
      <c r="AK509" s="1">
        <v>4</v>
      </c>
      <c r="AL509" s="1">
        <v>3</v>
      </c>
      <c r="AM509" s="1">
        <v>3</v>
      </c>
      <c r="AN509" s="1">
        <v>3</v>
      </c>
      <c r="AO509" s="1">
        <v>4</v>
      </c>
      <c r="AP509" s="1">
        <v>4</v>
      </c>
      <c r="AQ509" s="1">
        <v>4</v>
      </c>
      <c r="AR509" s="1">
        <v>4</v>
      </c>
      <c r="AS509" s="1">
        <v>3</v>
      </c>
      <c r="AT509" s="1">
        <v>3</v>
      </c>
      <c r="AU509" s="1">
        <v>3</v>
      </c>
      <c r="AV509" s="1">
        <v>4</v>
      </c>
      <c r="AW509" s="1">
        <v>3</v>
      </c>
      <c r="AX509" s="1">
        <v>3</v>
      </c>
      <c r="AY509" s="1">
        <v>3</v>
      </c>
      <c r="AZ509" s="1">
        <v>4</v>
      </c>
      <c r="BA509" s="1">
        <v>4</v>
      </c>
      <c r="BB509" s="1">
        <v>4</v>
      </c>
      <c r="BC509" s="1">
        <v>2</v>
      </c>
    </row>
    <row r="510" spans="1:55">
      <c r="A510" s="1" t="s">
        <v>830</v>
      </c>
      <c r="B510" s="1" t="s">
        <v>489</v>
      </c>
      <c r="C510" s="1" t="s">
        <v>829</v>
      </c>
      <c r="D510" s="1">
        <v>3</v>
      </c>
      <c r="E510" s="1">
        <v>3</v>
      </c>
      <c r="F510" s="1">
        <v>2</v>
      </c>
      <c r="G510" s="1">
        <v>3</v>
      </c>
      <c r="H510" s="1">
        <v>3</v>
      </c>
      <c r="I510" s="1">
        <v>3</v>
      </c>
      <c r="J510" s="1">
        <v>3</v>
      </c>
      <c r="K510" s="1">
        <v>3</v>
      </c>
      <c r="L510" s="1">
        <v>2</v>
      </c>
      <c r="M510" s="1">
        <v>3</v>
      </c>
      <c r="N510" s="1">
        <v>2</v>
      </c>
      <c r="O510" s="1">
        <v>4</v>
      </c>
      <c r="P510" s="1">
        <v>3</v>
      </c>
      <c r="Q510" s="1">
        <v>3</v>
      </c>
      <c r="R510" s="1">
        <v>3</v>
      </c>
      <c r="S510" s="1">
        <v>3</v>
      </c>
      <c r="T510" s="1">
        <v>2</v>
      </c>
      <c r="U510" s="1">
        <v>3</v>
      </c>
      <c r="V510" s="1">
        <v>3</v>
      </c>
      <c r="W510" s="1">
        <v>4</v>
      </c>
      <c r="X510" s="1">
        <v>4</v>
      </c>
      <c r="Y510" s="1">
        <v>4</v>
      </c>
      <c r="Z510" s="1">
        <v>3</v>
      </c>
      <c r="AA510" s="1">
        <v>3</v>
      </c>
      <c r="AB510" s="1">
        <v>2</v>
      </c>
      <c r="AC510" s="1">
        <v>3</v>
      </c>
      <c r="AD510" s="1">
        <v>4</v>
      </c>
      <c r="AE510" s="1">
        <v>3</v>
      </c>
      <c r="AF510" s="1">
        <v>3</v>
      </c>
      <c r="AG510" s="1">
        <v>3</v>
      </c>
      <c r="AH510" s="1">
        <v>4</v>
      </c>
      <c r="AI510" s="1">
        <v>3</v>
      </c>
      <c r="AJ510" s="1">
        <v>2</v>
      </c>
      <c r="AK510" s="1">
        <v>4</v>
      </c>
      <c r="AL510" s="1">
        <v>5</v>
      </c>
      <c r="AM510" s="1">
        <v>3</v>
      </c>
      <c r="AN510" s="1">
        <v>3</v>
      </c>
      <c r="AO510" s="1">
        <v>4</v>
      </c>
      <c r="AP510" s="1">
        <v>4</v>
      </c>
      <c r="AQ510" s="1">
        <v>4</v>
      </c>
      <c r="AR510" s="1">
        <v>3</v>
      </c>
      <c r="AS510" s="1">
        <v>2</v>
      </c>
      <c r="AT510" s="1">
        <v>3</v>
      </c>
      <c r="AU510" s="1">
        <v>4</v>
      </c>
      <c r="AV510" s="1">
        <v>2</v>
      </c>
      <c r="AW510" s="1">
        <v>4</v>
      </c>
      <c r="AX510" s="1">
        <v>4</v>
      </c>
      <c r="AY510" s="1">
        <v>4</v>
      </c>
      <c r="AZ510" s="1">
        <v>4</v>
      </c>
      <c r="BA510" s="1">
        <v>3</v>
      </c>
      <c r="BB510" s="1">
        <v>4</v>
      </c>
      <c r="BC510" s="1">
        <v>3</v>
      </c>
    </row>
    <row r="511" spans="1:55">
      <c r="A511" s="1" t="s">
        <v>831</v>
      </c>
      <c r="B511" s="1" t="s">
        <v>489</v>
      </c>
      <c r="C511" s="1" t="s">
        <v>832</v>
      </c>
      <c r="D511" s="1">
        <v>3</v>
      </c>
      <c r="E511" s="1">
        <v>4</v>
      </c>
      <c r="F511" s="1">
        <v>3</v>
      </c>
      <c r="G511" s="1">
        <v>2</v>
      </c>
      <c r="H511" s="1">
        <v>2</v>
      </c>
      <c r="I511" s="1">
        <v>3</v>
      </c>
      <c r="J511" s="1">
        <v>3</v>
      </c>
      <c r="K511" s="1">
        <v>5</v>
      </c>
      <c r="L511" s="1">
        <v>4</v>
      </c>
      <c r="M511" s="1">
        <v>4</v>
      </c>
      <c r="N511" s="1">
        <v>3</v>
      </c>
      <c r="O511" s="1">
        <v>5</v>
      </c>
      <c r="P511" s="1">
        <v>4</v>
      </c>
      <c r="Q511" s="1">
        <v>5</v>
      </c>
      <c r="R511" s="1">
        <v>4</v>
      </c>
      <c r="S511" s="1">
        <v>3</v>
      </c>
      <c r="T511" s="1">
        <v>4</v>
      </c>
      <c r="U511" s="1">
        <v>4</v>
      </c>
      <c r="V511" s="1">
        <v>3</v>
      </c>
      <c r="W511" s="1">
        <v>3</v>
      </c>
      <c r="X511" s="1">
        <v>3</v>
      </c>
      <c r="Y511" s="1">
        <v>3</v>
      </c>
      <c r="Z511" s="1">
        <v>5</v>
      </c>
      <c r="AA511" s="1">
        <v>4</v>
      </c>
      <c r="AB511" s="1">
        <v>5</v>
      </c>
      <c r="AC511" s="1">
        <v>4</v>
      </c>
      <c r="AD511" s="1">
        <v>4</v>
      </c>
      <c r="AE511" s="1">
        <v>4</v>
      </c>
      <c r="AF511" s="1">
        <v>2</v>
      </c>
      <c r="AG511" s="1">
        <v>2</v>
      </c>
      <c r="AH511" s="1">
        <v>2</v>
      </c>
      <c r="AI511" s="1">
        <v>3</v>
      </c>
      <c r="AJ511" s="1">
        <v>3</v>
      </c>
      <c r="AK511" s="1">
        <v>3</v>
      </c>
      <c r="AL511" s="1">
        <v>4</v>
      </c>
      <c r="AM511" s="1">
        <v>4</v>
      </c>
      <c r="AN511" s="1">
        <v>2</v>
      </c>
      <c r="AO511" s="1">
        <v>3</v>
      </c>
      <c r="AP511" s="1">
        <v>5</v>
      </c>
      <c r="AQ511" s="1">
        <v>4</v>
      </c>
      <c r="AR511" s="1">
        <v>4</v>
      </c>
      <c r="AS511" s="1">
        <v>4</v>
      </c>
      <c r="AT511" s="1">
        <v>5</v>
      </c>
      <c r="AU511" s="1">
        <v>4</v>
      </c>
      <c r="AV511" s="1">
        <v>2</v>
      </c>
      <c r="AW511" s="1">
        <v>3</v>
      </c>
      <c r="AX511" s="1">
        <v>2</v>
      </c>
      <c r="AY511" s="1">
        <v>3</v>
      </c>
      <c r="AZ511" s="1">
        <v>5</v>
      </c>
      <c r="BA511" s="1">
        <v>5</v>
      </c>
      <c r="BB511" s="1">
        <v>5</v>
      </c>
      <c r="BC511" s="1">
        <v>3</v>
      </c>
    </row>
    <row r="512" spans="1:55">
      <c r="A512" s="1" t="s">
        <v>833</v>
      </c>
      <c r="B512" s="1" t="s">
        <v>489</v>
      </c>
      <c r="C512" s="1" t="s">
        <v>832</v>
      </c>
      <c r="D512" s="1">
        <v>2</v>
      </c>
      <c r="E512" s="1">
        <v>4</v>
      </c>
      <c r="F512" s="1">
        <v>2</v>
      </c>
      <c r="G512" s="1">
        <v>2</v>
      </c>
      <c r="H512" s="1">
        <v>3</v>
      </c>
      <c r="I512" s="1">
        <v>2</v>
      </c>
      <c r="J512" s="1">
        <v>4</v>
      </c>
      <c r="K512" s="1">
        <v>3</v>
      </c>
      <c r="L512" s="1">
        <v>3</v>
      </c>
      <c r="M512" s="1">
        <v>4</v>
      </c>
      <c r="N512" s="1">
        <v>3</v>
      </c>
      <c r="O512" s="1">
        <v>3</v>
      </c>
      <c r="P512" s="1">
        <v>2</v>
      </c>
      <c r="Q512" s="1">
        <v>3</v>
      </c>
      <c r="R512" s="1">
        <v>4</v>
      </c>
      <c r="S512" s="1">
        <v>3</v>
      </c>
      <c r="T512" s="1">
        <v>4</v>
      </c>
      <c r="U512" s="1">
        <v>4</v>
      </c>
      <c r="V512" s="1">
        <v>3</v>
      </c>
      <c r="W512" s="1">
        <v>4</v>
      </c>
      <c r="X512" s="1">
        <v>3</v>
      </c>
      <c r="Y512" s="1">
        <v>3</v>
      </c>
      <c r="Z512" s="1">
        <v>3</v>
      </c>
      <c r="AA512" s="1">
        <v>3</v>
      </c>
      <c r="AB512" s="1">
        <v>3</v>
      </c>
      <c r="AC512" s="1">
        <v>3</v>
      </c>
      <c r="AD512" s="1">
        <v>3</v>
      </c>
      <c r="AE512" s="1">
        <v>5</v>
      </c>
      <c r="AF512" s="1">
        <v>2</v>
      </c>
      <c r="AG512" s="1">
        <v>1</v>
      </c>
      <c r="AH512" s="1">
        <v>3</v>
      </c>
      <c r="AI512" s="1">
        <v>3</v>
      </c>
      <c r="AJ512" s="1">
        <v>3</v>
      </c>
      <c r="AK512" s="1">
        <v>2</v>
      </c>
      <c r="AL512" s="1">
        <v>3</v>
      </c>
      <c r="AM512" s="1">
        <v>4</v>
      </c>
      <c r="AN512" s="1">
        <v>3</v>
      </c>
      <c r="AO512" s="1">
        <v>3</v>
      </c>
      <c r="AP512" s="1">
        <v>3</v>
      </c>
      <c r="AQ512" s="1">
        <v>2</v>
      </c>
      <c r="AR512" s="1">
        <v>4</v>
      </c>
      <c r="AS512" s="1">
        <v>3</v>
      </c>
      <c r="AT512" s="1">
        <v>3</v>
      </c>
      <c r="AU512" s="1">
        <v>3</v>
      </c>
      <c r="AV512" s="1">
        <v>4</v>
      </c>
      <c r="AW512" s="1">
        <v>4</v>
      </c>
      <c r="AX512" s="1">
        <v>3</v>
      </c>
      <c r="AY512" s="1">
        <v>3</v>
      </c>
      <c r="AZ512" s="1">
        <v>2</v>
      </c>
      <c r="BA512" s="1">
        <v>3</v>
      </c>
      <c r="BB512" s="1">
        <v>3</v>
      </c>
      <c r="BC512" s="1">
        <v>3</v>
      </c>
    </row>
    <row r="513" spans="1:55">
      <c r="A513" s="1" t="s">
        <v>834</v>
      </c>
      <c r="B513" s="1" t="s">
        <v>489</v>
      </c>
      <c r="C513" s="1" t="s">
        <v>835</v>
      </c>
      <c r="D513" s="1">
        <v>4</v>
      </c>
      <c r="E513" s="1">
        <v>3</v>
      </c>
      <c r="F513" s="1">
        <v>3</v>
      </c>
      <c r="G513" s="1">
        <v>3</v>
      </c>
      <c r="H513" s="1">
        <v>4</v>
      </c>
      <c r="I513" s="1">
        <v>3</v>
      </c>
      <c r="J513" s="1">
        <v>4</v>
      </c>
      <c r="K513" s="1">
        <v>3</v>
      </c>
      <c r="L513" s="1">
        <v>3</v>
      </c>
      <c r="M513" s="1">
        <v>3</v>
      </c>
      <c r="N513" s="1">
        <v>3</v>
      </c>
      <c r="O513" s="1">
        <v>4</v>
      </c>
      <c r="P513" s="1">
        <v>4</v>
      </c>
      <c r="Q513" s="1">
        <v>3</v>
      </c>
      <c r="R513" s="1">
        <v>3</v>
      </c>
      <c r="S513" s="1">
        <v>3</v>
      </c>
      <c r="T513" s="1">
        <v>3</v>
      </c>
      <c r="U513" s="1">
        <v>4</v>
      </c>
      <c r="V513" s="1">
        <v>3</v>
      </c>
      <c r="W513" s="1">
        <v>4</v>
      </c>
      <c r="X513" s="1">
        <v>4</v>
      </c>
      <c r="Y513" s="1">
        <v>3</v>
      </c>
      <c r="Z513" s="1">
        <v>3</v>
      </c>
      <c r="AA513" s="1">
        <v>4</v>
      </c>
      <c r="AB513" s="1">
        <v>4</v>
      </c>
      <c r="AC513" s="1">
        <v>3</v>
      </c>
      <c r="AD513" s="1">
        <v>3</v>
      </c>
      <c r="AE513" s="1">
        <v>3</v>
      </c>
      <c r="AF513" s="1">
        <v>2</v>
      </c>
      <c r="AG513" s="1">
        <v>2</v>
      </c>
      <c r="AH513" s="1">
        <v>3</v>
      </c>
      <c r="AI513" s="1">
        <v>3</v>
      </c>
      <c r="AJ513" s="1">
        <v>4</v>
      </c>
      <c r="AK513" s="1">
        <v>4</v>
      </c>
      <c r="AL513" s="1">
        <v>3</v>
      </c>
      <c r="AM513" s="1">
        <v>4</v>
      </c>
      <c r="AN513" s="1">
        <v>4</v>
      </c>
      <c r="AO513" s="1">
        <v>5</v>
      </c>
      <c r="AP513" s="1">
        <v>3</v>
      </c>
      <c r="AQ513" s="1">
        <v>4</v>
      </c>
      <c r="AR513" s="1">
        <v>4</v>
      </c>
      <c r="AS513" s="1">
        <v>4</v>
      </c>
      <c r="AT513" s="1">
        <v>3</v>
      </c>
      <c r="AU513" s="1">
        <v>3</v>
      </c>
      <c r="AV513" s="1">
        <v>4</v>
      </c>
      <c r="AW513" s="1">
        <v>3</v>
      </c>
      <c r="AX513" s="1">
        <v>3</v>
      </c>
      <c r="AY513" s="1">
        <v>4</v>
      </c>
      <c r="AZ513" s="1">
        <v>3</v>
      </c>
      <c r="BA513" s="1">
        <v>3</v>
      </c>
      <c r="BB513" s="1">
        <v>3</v>
      </c>
      <c r="BC513" s="1">
        <v>3</v>
      </c>
    </row>
    <row r="514" spans="1:55">
      <c r="A514" s="1" t="s">
        <v>836</v>
      </c>
      <c r="B514" s="1" t="s">
        <v>489</v>
      </c>
      <c r="C514" s="1" t="s">
        <v>835</v>
      </c>
      <c r="D514" s="1">
        <v>3</v>
      </c>
      <c r="E514" s="1">
        <v>5</v>
      </c>
      <c r="F514" s="1">
        <v>2</v>
      </c>
      <c r="G514" s="1">
        <v>3</v>
      </c>
      <c r="H514" s="1">
        <v>3</v>
      </c>
      <c r="I514" s="1">
        <v>3</v>
      </c>
      <c r="J514" s="1">
        <v>2</v>
      </c>
      <c r="K514" s="1">
        <v>4</v>
      </c>
      <c r="L514" s="1">
        <v>4</v>
      </c>
      <c r="M514" s="1">
        <v>4</v>
      </c>
      <c r="N514" s="1">
        <v>3</v>
      </c>
      <c r="O514" s="1">
        <v>4</v>
      </c>
      <c r="P514" s="1">
        <v>5</v>
      </c>
      <c r="Q514" s="1">
        <v>5</v>
      </c>
      <c r="R514" s="1">
        <v>3</v>
      </c>
      <c r="S514" s="1">
        <v>3</v>
      </c>
      <c r="T514" s="1">
        <v>3</v>
      </c>
      <c r="U514" s="1">
        <v>4</v>
      </c>
      <c r="V514" s="1">
        <v>2</v>
      </c>
      <c r="W514" s="1">
        <v>3</v>
      </c>
      <c r="X514" s="1">
        <v>3</v>
      </c>
      <c r="Y514" s="1">
        <v>3</v>
      </c>
      <c r="Z514" s="1">
        <v>4</v>
      </c>
      <c r="AA514" s="1">
        <v>5</v>
      </c>
      <c r="AB514" s="1">
        <v>3</v>
      </c>
      <c r="AC514" s="1">
        <v>3</v>
      </c>
      <c r="AD514" s="1">
        <v>4</v>
      </c>
      <c r="AE514" s="1">
        <v>3</v>
      </c>
      <c r="AF514" s="1">
        <v>2</v>
      </c>
      <c r="AG514" s="1">
        <v>2</v>
      </c>
      <c r="AH514" s="1">
        <v>3</v>
      </c>
      <c r="AI514" s="1">
        <v>2</v>
      </c>
      <c r="AJ514" s="1">
        <v>2</v>
      </c>
      <c r="AK514" s="1">
        <v>5</v>
      </c>
      <c r="AL514" s="1">
        <v>5</v>
      </c>
      <c r="AM514" s="1">
        <v>3</v>
      </c>
      <c r="AN514" s="1">
        <v>3</v>
      </c>
      <c r="AO514" s="1">
        <v>4</v>
      </c>
      <c r="AP514" s="1">
        <v>5</v>
      </c>
      <c r="AQ514" s="1">
        <v>3</v>
      </c>
      <c r="AR514" s="1">
        <v>3</v>
      </c>
      <c r="AS514" s="1">
        <v>3</v>
      </c>
      <c r="AT514" s="1">
        <v>4</v>
      </c>
      <c r="AU514" s="1">
        <v>3</v>
      </c>
      <c r="AV514" s="1">
        <v>3</v>
      </c>
      <c r="AW514" s="1">
        <v>3</v>
      </c>
      <c r="AX514" s="1">
        <v>3</v>
      </c>
      <c r="AY514" s="1">
        <v>2</v>
      </c>
      <c r="AZ514" s="1">
        <v>5</v>
      </c>
      <c r="BA514" s="1">
        <v>5</v>
      </c>
      <c r="BB514" s="1">
        <v>4</v>
      </c>
      <c r="BC514" s="1">
        <v>3</v>
      </c>
    </row>
    <row r="515" spans="1:55">
      <c r="A515" s="1" t="s">
        <v>837</v>
      </c>
      <c r="B515" s="1" t="s">
        <v>489</v>
      </c>
      <c r="C515" s="1" t="s">
        <v>838</v>
      </c>
      <c r="D515" s="1">
        <v>4</v>
      </c>
      <c r="E515" s="1">
        <v>3</v>
      </c>
      <c r="F515" s="1">
        <v>2</v>
      </c>
      <c r="G515" s="1">
        <v>3</v>
      </c>
      <c r="H515" s="1">
        <v>3</v>
      </c>
      <c r="I515" s="1">
        <v>4</v>
      </c>
      <c r="J515" s="1">
        <v>4</v>
      </c>
      <c r="K515" s="1">
        <v>2</v>
      </c>
      <c r="L515" s="1">
        <v>4</v>
      </c>
      <c r="M515" s="1">
        <v>4</v>
      </c>
      <c r="N515" s="1">
        <v>4</v>
      </c>
      <c r="O515" s="1">
        <v>3</v>
      </c>
      <c r="P515" s="1">
        <v>3</v>
      </c>
      <c r="Q515" s="1">
        <v>3</v>
      </c>
      <c r="R515" s="1">
        <v>3</v>
      </c>
      <c r="S515" s="1">
        <v>2</v>
      </c>
      <c r="T515" s="1">
        <v>4</v>
      </c>
      <c r="U515" s="1">
        <v>3</v>
      </c>
      <c r="V515" s="1">
        <v>3</v>
      </c>
      <c r="W515" s="1">
        <v>2</v>
      </c>
      <c r="X515" s="1">
        <v>2</v>
      </c>
      <c r="Y515" s="1">
        <v>3</v>
      </c>
      <c r="Z515" s="1">
        <v>2</v>
      </c>
      <c r="AA515" s="1">
        <v>3</v>
      </c>
      <c r="AB515" s="1">
        <v>3</v>
      </c>
      <c r="AC515" s="1">
        <v>3</v>
      </c>
      <c r="AD515" s="1">
        <v>4</v>
      </c>
      <c r="AE515" s="1">
        <v>3</v>
      </c>
      <c r="AF515" s="1">
        <v>3</v>
      </c>
      <c r="AG515" s="1">
        <v>3</v>
      </c>
      <c r="AH515" s="1">
        <v>3</v>
      </c>
      <c r="AI515" s="1">
        <v>4</v>
      </c>
      <c r="AJ515" s="1">
        <v>3</v>
      </c>
      <c r="AK515" s="1">
        <v>4</v>
      </c>
      <c r="AL515" s="1">
        <v>3</v>
      </c>
      <c r="AM515" s="1">
        <v>3</v>
      </c>
      <c r="AN515" s="1">
        <v>3</v>
      </c>
      <c r="AO515" s="1">
        <v>3</v>
      </c>
      <c r="AP515" s="1">
        <v>4</v>
      </c>
      <c r="AQ515" s="1">
        <v>4</v>
      </c>
      <c r="AR515" s="1">
        <v>4</v>
      </c>
      <c r="AS515" s="1">
        <v>3</v>
      </c>
      <c r="AT515" s="1">
        <v>4</v>
      </c>
      <c r="AU515" s="1">
        <v>2</v>
      </c>
      <c r="AV515" s="1">
        <v>4</v>
      </c>
      <c r="AW515" s="1">
        <v>3</v>
      </c>
      <c r="AX515" s="1">
        <v>3</v>
      </c>
      <c r="AY515" s="1">
        <v>3</v>
      </c>
      <c r="AZ515" s="1">
        <v>4</v>
      </c>
      <c r="BA515" s="1">
        <v>3</v>
      </c>
      <c r="BB515" s="1">
        <v>3</v>
      </c>
      <c r="BC515" s="1">
        <v>2</v>
      </c>
    </row>
    <row r="516" spans="1:55">
      <c r="A516" s="1" t="s">
        <v>839</v>
      </c>
      <c r="B516" s="1" t="s">
        <v>489</v>
      </c>
      <c r="C516" s="1" t="s">
        <v>838</v>
      </c>
      <c r="D516" s="1">
        <v>4</v>
      </c>
      <c r="E516" s="1">
        <v>2</v>
      </c>
      <c r="F516" s="1">
        <v>2</v>
      </c>
      <c r="G516" s="1">
        <v>2</v>
      </c>
      <c r="H516" s="1">
        <v>2</v>
      </c>
      <c r="I516" s="1">
        <v>2</v>
      </c>
      <c r="J516" s="1">
        <v>3</v>
      </c>
      <c r="K516" s="1">
        <v>4</v>
      </c>
      <c r="L516" s="1">
        <v>3</v>
      </c>
      <c r="M516" s="1">
        <v>3</v>
      </c>
      <c r="N516" s="1">
        <v>2</v>
      </c>
      <c r="O516" s="1">
        <v>3</v>
      </c>
      <c r="P516" s="1">
        <v>3</v>
      </c>
      <c r="Q516" s="1">
        <v>3</v>
      </c>
      <c r="R516" s="1">
        <v>3</v>
      </c>
      <c r="S516" s="1">
        <v>3</v>
      </c>
      <c r="T516" s="1">
        <v>3</v>
      </c>
      <c r="U516" s="1">
        <v>4</v>
      </c>
      <c r="V516" s="1">
        <v>2</v>
      </c>
      <c r="W516" s="1">
        <v>4</v>
      </c>
      <c r="X516" s="1">
        <v>5</v>
      </c>
      <c r="Y516" s="1">
        <v>2</v>
      </c>
      <c r="Z516" s="1">
        <v>4</v>
      </c>
      <c r="AA516" s="1">
        <v>4</v>
      </c>
      <c r="AB516" s="1">
        <v>3</v>
      </c>
      <c r="AC516" s="1">
        <v>3</v>
      </c>
      <c r="AD516" s="1">
        <v>3</v>
      </c>
      <c r="AE516" s="1">
        <v>4</v>
      </c>
      <c r="AF516" s="1">
        <v>2</v>
      </c>
      <c r="AG516" s="1">
        <v>2</v>
      </c>
      <c r="AH516" s="1">
        <v>3</v>
      </c>
      <c r="AI516" s="1">
        <v>3</v>
      </c>
      <c r="AJ516" s="1">
        <v>3</v>
      </c>
      <c r="AK516" s="1">
        <v>4</v>
      </c>
      <c r="AL516" s="1">
        <v>4</v>
      </c>
      <c r="AM516" s="1">
        <v>3</v>
      </c>
      <c r="AN516" s="1">
        <v>3</v>
      </c>
      <c r="AO516" s="1">
        <v>3</v>
      </c>
      <c r="AP516" s="1">
        <v>4</v>
      </c>
      <c r="AQ516" s="1">
        <v>4</v>
      </c>
      <c r="AR516" s="1">
        <v>3</v>
      </c>
      <c r="AS516" s="1">
        <v>2</v>
      </c>
      <c r="AT516" s="1">
        <v>3</v>
      </c>
      <c r="AU516" s="1">
        <v>3</v>
      </c>
      <c r="AV516" s="1">
        <v>3</v>
      </c>
      <c r="AW516" s="1">
        <v>3</v>
      </c>
      <c r="AX516" s="1">
        <v>4</v>
      </c>
      <c r="AY516" s="1">
        <v>4</v>
      </c>
      <c r="AZ516" s="1">
        <v>4</v>
      </c>
      <c r="BA516" s="1">
        <v>4</v>
      </c>
      <c r="BB516" s="1">
        <v>4</v>
      </c>
      <c r="BC516" s="1">
        <v>3</v>
      </c>
    </row>
    <row r="517" spans="1:55">
      <c r="A517" s="1" t="s">
        <v>840</v>
      </c>
      <c r="B517" s="1" t="s">
        <v>489</v>
      </c>
      <c r="C517" s="1" t="s">
        <v>841</v>
      </c>
      <c r="D517" s="1">
        <v>4</v>
      </c>
      <c r="E517" s="1">
        <v>2</v>
      </c>
      <c r="F517" s="1">
        <v>4</v>
      </c>
      <c r="G517" s="1">
        <v>4</v>
      </c>
      <c r="H517" s="1">
        <v>3</v>
      </c>
      <c r="I517" s="1">
        <v>3</v>
      </c>
      <c r="J517" s="1">
        <v>3</v>
      </c>
      <c r="K517" s="1">
        <v>3</v>
      </c>
      <c r="L517" s="1">
        <v>4</v>
      </c>
      <c r="M517" s="1">
        <v>3</v>
      </c>
      <c r="N517" s="1">
        <v>3</v>
      </c>
      <c r="O517" s="1">
        <v>3</v>
      </c>
      <c r="P517" s="1">
        <v>4</v>
      </c>
      <c r="Q517" s="1">
        <v>4</v>
      </c>
      <c r="R517" s="1">
        <v>3</v>
      </c>
      <c r="S517" s="1">
        <v>2</v>
      </c>
      <c r="T517" s="1">
        <v>4</v>
      </c>
      <c r="U517" s="1">
        <v>3</v>
      </c>
      <c r="V517" s="1">
        <v>3</v>
      </c>
      <c r="W517" s="1">
        <v>2</v>
      </c>
      <c r="X517" s="1">
        <v>3</v>
      </c>
      <c r="Y517" s="1">
        <v>3</v>
      </c>
      <c r="Z517" s="1">
        <v>3</v>
      </c>
      <c r="AA517" s="1">
        <v>3</v>
      </c>
      <c r="AB517" s="1">
        <v>3</v>
      </c>
      <c r="AC517" s="1">
        <v>2</v>
      </c>
      <c r="AD517" s="1">
        <v>4</v>
      </c>
      <c r="AE517" s="1">
        <v>3</v>
      </c>
      <c r="AF517" s="1">
        <v>2</v>
      </c>
      <c r="AG517" s="1">
        <v>2</v>
      </c>
      <c r="AH517" s="1">
        <v>3</v>
      </c>
      <c r="AI517" s="1">
        <v>3</v>
      </c>
      <c r="AJ517" s="1">
        <v>2</v>
      </c>
      <c r="AK517" s="1">
        <v>5</v>
      </c>
      <c r="AL517" s="1">
        <v>3</v>
      </c>
      <c r="AM517" s="1">
        <v>4</v>
      </c>
      <c r="AN517" s="1">
        <v>3</v>
      </c>
      <c r="AO517" s="1">
        <v>4</v>
      </c>
      <c r="AP517" s="1">
        <v>4</v>
      </c>
      <c r="AQ517" s="1">
        <v>3</v>
      </c>
      <c r="AR517" s="1">
        <v>3</v>
      </c>
      <c r="AS517" s="1">
        <v>3</v>
      </c>
      <c r="AT517" s="1">
        <v>4</v>
      </c>
      <c r="AU517" s="1">
        <v>3</v>
      </c>
      <c r="AV517" s="1">
        <v>4</v>
      </c>
      <c r="AW517" s="1">
        <v>4</v>
      </c>
      <c r="AX517" s="1">
        <v>2</v>
      </c>
      <c r="AY517" s="1">
        <v>3</v>
      </c>
      <c r="AZ517" s="1">
        <v>4</v>
      </c>
      <c r="BA517" s="1">
        <v>3</v>
      </c>
      <c r="BB517" s="1">
        <v>3</v>
      </c>
      <c r="BC517" s="1">
        <v>3</v>
      </c>
    </row>
    <row r="518" spans="1:55">
      <c r="A518" s="1" t="s">
        <v>842</v>
      </c>
      <c r="B518" s="1" t="s">
        <v>489</v>
      </c>
      <c r="C518" s="1" t="s">
        <v>841</v>
      </c>
      <c r="D518" s="1">
        <v>3</v>
      </c>
      <c r="E518" s="1">
        <v>5</v>
      </c>
      <c r="F518" s="1">
        <v>1</v>
      </c>
      <c r="G518" s="1">
        <v>2</v>
      </c>
      <c r="H518" s="1">
        <v>3</v>
      </c>
      <c r="I518" s="1">
        <v>2</v>
      </c>
      <c r="J518" s="1">
        <v>2</v>
      </c>
      <c r="K518" s="1">
        <v>3</v>
      </c>
      <c r="L518" s="1">
        <v>4</v>
      </c>
      <c r="M518" s="1">
        <v>5</v>
      </c>
      <c r="N518" s="1">
        <v>3</v>
      </c>
      <c r="O518" s="1">
        <v>3</v>
      </c>
      <c r="P518" s="1">
        <v>3</v>
      </c>
      <c r="Q518" s="1">
        <v>4</v>
      </c>
      <c r="R518" s="1">
        <v>5</v>
      </c>
      <c r="S518" s="1">
        <v>5</v>
      </c>
      <c r="T518" s="1">
        <v>5</v>
      </c>
      <c r="U518" s="1">
        <v>5</v>
      </c>
      <c r="V518" s="1">
        <v>2</v>
      </c>
      <c r="W518" s="1">
        <v>2</v>
      </c>
      <c r="X518" s="1">
        <v>3</v>
      </c>
      <c r="Y518" s="1">
        <v>2</v>
      </c>
      <c r="Z518" s="1">
        <v>3</v>
      </c>
      <c r="AA518" s="1">
        <v>4</v>
      </c>
      <c r="AB518" s="1">
        <v>4</v>
      </c>
      <c r="AC518" s="1">
        <v>3</v>
      </c>
      <c r="AD518" s="1">
        <v>3</v>
      </c>
      <c r="AE518" s="1">
        <v>4</v>
      </c>
      <c r="AF518" s="1">
        <v>2</v>
      </c>
      <c r="AG518" s="1">
        <v>3</v>
      </c>
      <c r="AH518" s="1">
        <v>3</v>
      </c>
      <c r="AI518" s="1">
        <v>3</v>
      </c>
      <c r="AJ518" s="1">
        <v>2</v>
      </c>
      <c r="AK518" s="1">
        <v>3</v>
      </c>
      <c r="AL518" s="1">
        <v>3</v>
      </c>
      <c r="AM518" s="1">
        <v>5</v>
      </c>
      <c r="AN518" s="1">
        <v>3</v>
      </c>
      <c r="AO518" s="1">
        <v>3</v>
      </c>
      <c r="AP518" s="1">
        <v>4</v>
      </c>
      <c r="AQ518" s="1">
        <v>4</v>
      </c>
      <c r="AR518" s="1">
        <v>4</v>
      </c>
      <c r="AS518" s="1">
        <v>3</v>
      </c>
      <c r="AT518" s="1">
        <v>4</v>
      </c>
      <c r="AU518" s="1">
        <v>4</v>
      </c>
      <c r="AV518" s="1">
        <v>3</v>
      </c>
      <c r="AW518" s="1">
        <v>2</v>
      </c>
      <c r="AX518" s="1">
        <v>3</v>
      </c>
      <c r="AY518" s="1">
        <v>2</v>
      </c>
      <c r="AZ518" s="1">
        <v>3</v>
      </c>
      <c r="BA518" s="1">
        <v>3</v>
      </c>
      <c r="BB518" s="1">
        <v>3</v>
      </c>
      <c r="BC518" s="1">
        <v>4</v>
      </c>
    </row>
    <row r="519" spans="1:55">
      <c r="A519" s="1" t="s">
        <v>843</v>
      </c>
      <c r="B519" s="1" t="s">
        <v>489</v>
      </c>
      <c r="C519" s="1" t="s">
        <v>844</v>
      </c>
      <c r="D519" s="1">
        <v>3</v>
      </c>
      <c r="E519" s="1">
        <v>2</v>
      </c>
      <c r="F519" s="1">
        <v>3</v>
      </c>
      <c r="G519" s="1">
        <v>3</v>
      </c>
      <c r="H519" s="1">
        <v>4</v>
      </c>
      <c r="I519" s="1">
        <v>4</v>
      </c>
      <c r="J519" s="1">
        <v>4</v>
      </c>
      <c r="K519" s="1">
        <v>3</v>
      </c>
      <c r="L519" s="1">
        <v>3</v>
      </c>
      <c r="M519" s="1">
        <v>3</v>
      </c>
      <c r="N519" s="1">
        <v>4</v>
      </c>
      <c r="O519" s="1">
        <v>5</v>
      </c>
      <c r="P519" s="1">
        <v>4</v>
      </c>
      <c r="Q519" s="1">
        <v>2</v>
      </c>
      <c r="R519" s="1">
        <v>3</v>
      </c>
      <c r="S519" s="1">
        <v>3</v>
      </c>
      <c r="T519" s="1">
        <v>3</v>
      </c>
      <c r="U519" s="1">
        <v>4</v>
      </c>
      <c r="V519" s="1">
        <v>4</v>
      </c>
      <c r="W519" s="1">
        <v>3</v>
      </c>
      <c r="X519" s="1">
        <v>3</v>
      </c>
      <c r="Y519" s="1">
        <v>2</v>
      </c>
      <c r="Z519" s="1">
        <v>3</v>
      </c>
      <c r="AA519" s="1">
        <v>2</v>
      </c>
      <c r="AB519" s="1">
        <v>2</v>
      </c>
      <c r="AC519" s="1">
        <v>3</v>
      </c>
      <c r="AD519" s="1">
        <v>3</v>
      </c>
      <c r="AE519" s="1">
        <v>3</v>
      </c>
      <c r="AF519" s="1">
        <v>3</v>
      </c>
      <c r="AG519" s="1">
        <v>3</v>
      </c>
      <c r="AH519" s="1">
        <v>3</v>
      </c>
      <c r="AI519" s="1">
        <v>4</v>
      </c>
      <c r="AJ519" s="1">
        <v>3</v>
      </c>
      <c r="AK519" s="1">
        <v>2</v>
      </c>
      <c r="AL519" s="1">
        <v>3</v>
      </c>
      <c r="AM519" s="1">
        <v>3</v>
      </c>
      <c r="AN519" s="1">
        <v>3</v>
      </c>
      <c r="AO519" s="1">
        <v>2</v>
      </c>
      <c r="AP519" s="1">
        <v>3</v>
      </c>
      <c r="AQ519" s="1">
        <v>2</v>
      </c>
      <c r="AR519" s="1">
        <v>3</v>
      </c>
      <c r="AS519" s="1">
        <v>3</v>
      </c>
      <c r="AT519" s="1">
        <v>2</v>
      </c>
      <c r="AU519" s="1">
        <v>3</v>
      </c>
      <c r="AV519" s="1">
        <v>4</v>
      </c>
      <c r="AW519" s="1">
        <v>3</v>
      </c>
      <c r="AX519" s="1">
        <v>3</v>
      </c>
      <c r="AY519" s="1">
        <v>3</v>
      </c>
      <c r="AZ519" s="1">
        <v>2</v>
      </c>
      <c r="BA519" s="1">
        <v>3</v>
      </c>
      <c r="BB519" s="1">
        <v>3</v>
      </c>
      <c r="BC519" s="1">
        <v>2</v>
      </c>
    </row>
    <row r="520" spans="1:55">
      <c r="A520" s="1" t="s">
        <v>845</v>
      </c>
      <c r="B520" s="1" t="s">
        <v>489</v>
      </c>
      <c r="C520" s="1" t="s">
        <v>844</v>
      </c>
      <c r="D520" s="1">
        <v>3</v>
      </c>
      <c r="E520" s="1">
        <v>3</v>
      </c>
      <c r="F520" s="1">
        <v>3</v>
      </c>
      <c r="G520" s="1">
        <v>4</v>
      </c>
      <c r="H520" s="1">
        <v>2</v>
      </c>
      <c r="I520" s="1">
        <v>3</v>
      </c>
      <c r="J520" s="1">
        <v>3</v>
      </c>
      <c r="K520" s="1">
        <v>3</v>
      </c>
      <c r="L520" s="1">
        <v>4</v>
      </c>
      <c r="M520" s="1">
        <v>2</v>
      </c>
      <c r="N520" s="1">
        <v>2</v>
      </c>
      <c r="O520" s="1">
        <v>4</v>
      </c>
      <c r="P520" s="1">
        <v>3</v>
      </c>
      <c r="Q520" s="1">
        <v>4</v>
      </c>
      <c r="R520" s="1">
        <v>2</v>
      </c>
      <c r="S520" s="1">
        <v>2</v>
      </c>
      <c r="T520" s="1">
        <v>2</v>
      </c>
      <c r="U520" s="1">
        <v>2</v>
      </c>
      <c r="V520" s="1">
        <v>2</v>
      </c>
      <c r="W520" s="1">
        <v>2</v>
      </c>
      <c r="X520" s="1">
        <v>3</v>
      </c>
      <c r="Y520" s="1">
        <v>2</v>
      </c>
      <c r="Z520" s="1">
        <v>3</v>
      </c>
      <c r="AA520" s="1">
        <v>5</v>
      </c>
      <c r="AB520" s="1">
        <v>4</v>
      </c>
      <c r="AC520" s="1">
        <v>3</v>
      </c>
      <c r="AD520" s="1">
        <v>2</v>
      </c>
      <c r="AE520" s="1">
        <v>2</v>
      </c>
      <c r="AF520" s="1">
        <v>3</v>
      </c>
      <c r="AG520" s="1">
        <v>4</v>
      </c>
      <c r="AH520" s="1">
        <v>3</v>
      </c>
      <c r="AI520" s="1">
        <v>2</v>
      </c>
      <c r="AJ520" s="1">
        <v>3</v>
      </c>
      <c r="AK520" s="1">
        <v>3</v>
      </c>
      <c r="AL520" s="1">
        <v>4</v>
      </c>
      <c r="AM520" s="1">
        <v>3</v>
      </c>
      <c r="AN520" s="1">
        <v>3</v>
      </c>
      <c r="AO520" s="1">
        <v>4</v>
      </c>
      <c r="AP520" s="1">
        <v>3</v>
      </c>
      <c r="AQ520" s="1">
        <v>3</v>
      </c>
      <c r="AR520" s="1">
        <v>2</v>
      </c>
      <c r="AS520" s="1">
        <v>3</v>
      </c>
      <c r="AT520" s="1">
        <v>2</v>
      </c>
      <c r="AU520" s="1">
        <v>2</v>
      </c>
      <c r="AV520" s="1">
        <v>3</v>
      </c>
      <c r="AW520" s="1">
        <v>2</v>
      </c>
      <c r="AX520" s="1">
        <v>2</v>
      </c>
      <c r="AY520" s="1">
        <v>1</v>
      </c>
      <c r="AZ520" s="1">
        <v>3</v>
      </c>
      <c r="BA520" s="1">
        <v>4</v>
      </c>
      <c r="BB520" s="1">
        <v>4</v>
      </c>
      <c r="BC520" s="1">
        <v>4</v>
      </c>
    </row>
    <row r="521" spans="1:55">
      <c r="A521" s="1" t="s">
        <v>846</v>
      </c>
      <c r="B521" s="1" t="s">
        <v>489</v>
      </c>
      <c r="C521" s="1" t="s">
        <v>847</v>
      </c>
      <c r="D521" s="1">
        <v>3</v>
      </c>
      <c r="E521" s="1">
        <v>3</v>
      </c>
      <c r="F521" s="1">
        <v>3</v>
      </c>
      <c r="G521" s="1">
        <v>3</v>
      </c>
      <c r="H521" s="1">
        <v>4</v>
      </c>
      <c r="I521" s="1">
        <v>4</v>
      </c>
      <c r="J521" s="1">
        <v>2</v>
      </c>
      <c r="K521" s="1">
        <v>3</v>
      </c>
      <c r="L521" s="1">
        <v>3</v>
      </c>
      <c r="M521" s="1">
        <v>3</v>
      </c>
      <c r="N521" s="1">
        <v>4</v>
      </c>
      <c r="O521" s="1">
        <v>3</v>
      </c>
      <c r="P521" s="1">
        <v>3</v>
      </c>
      <c r="Q521" s="1">
        <v>3</v>
      </c>
      <c r="R521" s="1">
        <v>3</v>
      </c>
      <c r="S521" s="1">
        <v>2</v>
      </c>
      <c r="T521" s="1">
        <v>4</v>
      </c>
      <c r="U521" s="1">
        <v>4</v>
      </c>
      <c r="V521" s="1">
        <v>3</v>
      </c>
      <c r="W521" s="1">
        <v>3</v>
      </c>
      <c r="X521" s="1">
        <v>2</v>
      </c>
      <c r="Y521" s="1">
        <v>3</v>
      </c>
      <c r="Z521" s="1">
        <v>3</v>
      </c>
      <c r="AA521" s="1">
        <v>3</v>
      </c>
      <c r="AB521" s="1">
        <v>3</v>
      </c>
      <c r="AC521" s="1">
        <v>3</v>
      </c>
      <c r="AD521" s="1">
        <v>4</v>
      </c>
      <c r="AE521" s="1">
        <v>4</v>
      </c>
      <c r="AF521" s="1">
        <v>3</v>
      </c>
      <c r="AG521" s="1">
        <v>3</v>
      </c>
      <c r="AH521" s="1">
        <v>3</v>
      </c>
      <c r="AI521" s="1">
        <v>4</v>
      </c>
      <c r="AJ521" s="1">
        <v>4</v>
      </c>
      <c r="AK521" s="1">
        <v>2</v>
      </c>
      <c r="AL521" s="1">
        <v>3</v>
      </c>
      <c r="AM521" s="1">
        <v>4</v>
      </c>
      <c r="AN521" s="1">
        <v>4</v>
      </c>
      <c r="AO521" s="1">
        <v>3</v>
      </c>
      <c r="AP521" s="1">
        <v>3</v>
      </c>
      <c r="AQ521" s="1">
        <v>3</v>
      </c>
      <c r="AR521" s="1">
        <v>2</v>
      </c>
      <c r="AS521" s="1">
        <v>3</v>
      </c>
      <c r="AT521" s="1">
        <v>3</v>
      </c>
      <c r="AU521" s="1">
        <v>4</v>
      </c>
      <c r="AV521" s="1">
        <v>2</v>
      </c>
      <c r="AW521" s="1">
        <v>3</v>
      </c>
      <c r="AX521" s="1">
        <v>2</v>
      </c>
      <c r="AY521" s="1">
        <v>3</v>
      </c>
      <c r="AZ521" s="1">
        <v>3</v>
      </c>
      <c r="BA521" s="1">
        <v>3</v>
      </c>
      <c r="BB521" s="1">
        <v>3</v>
      </c>
      <c r="BC521" s="1">
        <v>2</v>
      </c>
    </row>
    <row r="522" spans="1:55">
      <c r="A522" s="1" t="s">
        <v>848</v>
      </c>
      <c r="B522" s="1" t="s">
        <v>489</v>
      </c>
      <c r="C522" s="1" t="s">
        <v>847</v>
      </c>
      <c r="D522" s="1">
        <v>2</v>
      </c>
      <c r="E522" s="1">
        <v>3</v>
      </c>
      <c r="F522" s="1">
        <v>3</v>
      </c>
      <c r="G522" s="1">
        <v>4</v>
      </c>
      <c r="H522" s="1">
        <v>2</v>
      </c>
      <c r="I522" s="1">
        <v>3</v>
      </c>
      <c r="J522" s="1">
        <v>3</v>
      </c>
      <c r="K522" s="1">
        <v>3</v>
      </c>
      <c r="L522" s="1">
        <v>2</v>
      </c>
      <c r="M522" s="1">
        <v>3</v>
      </c>
      <c r="N522" s="1">
        <v>3</v>
      </c>
      <c r="O522" s="1">
        <v>4</v>
      </c>
      <c r="P522" s="1">
        <v>4</v>
      </c>
      <c r="Q522" s="1">
        <v>4</v>
      </c>
      <c r="R522" s="1">
        <v>3</v>
      </c>
      <c r="S522" s="1">
        <v>3</v>
      </c>
      <c r="T522" s="1">
        <v>3</v>
      </c>
      <c r="U522" s="1">
        <v>3</v>
      </c>
      <c r="V522" s="1">
        <v>3</v>
      </c>
      <c r="W522" s="1">
        <v>2</v>
      </c>
      <c r="X522" s="1">
        <v>3</v>
      </c>
      <c r="Y522" s="1">
        <v>3</v>
      </c>
      <c r="Z522" s="1">
        <v>3</v>
      </c>
      <c r="AA522" s="1">
        <v>3</v>
      </c>
      <c r="AB522" s="1">
        <v>5</v>
      </c>
      <c r="AC522" s="1">
        <v>2</v>
      </c>
      <c r="AD522" s="1">
        <v>3</v>
      </c>
      <c r="AE522" s="1">
        <v>3</v>
      </c>
      <c r="AF522" s="1">
        <v>4</v>
      </c>
      <c r="AG522" s="1">
        <v>4</v>
      </c>
      <c r="AH522" s="1">
        <v>4</v>
      </c>
      <c r="AI522" s="1">
        <v>4</v>
      </c>
      <c r="AJ522" s="1">
        <v>3</v>
      </c>
      <c r="AK522" s="1">
        <v>4</v>
      </c>
      <c r="AL522" s="1">
        <v>4</v>
      </c>
      <c r="AM522" s="1">
        <v>3</v>
      </c>
      <c r="AN522" s="1">
        <v>3</v>
      </c>
      <c r="AO522" s="1">
        <v>3</v>
      </c>
      <c r="AP522" s="1">
        <v>4</v>
      </c>
      <c r="AQ522" s="1">
        <v>4</v>
      </c>
      <c r="AR522" s="1">
        <v>3</v>
      </c>
      <c r="AS522" s="1">
        <v>3</v>
      </c>
      <c r="AT522" s="1">
        <v>3</v>
      </c>
      <c r="AU522" s="1">
        <v>3</v>
      </c>
      <c r="AV522" s="1">
        <v>3</v>
      </c>
      <c r="AW522" s="1">
        <v>3</v>
      </c>
      <c r="AX522" s="1">
        <v>2</v>
      </c>
      <c r="AY522" s="1">
        <v>3</v>
      </c>
      <c r="AZ522" s="1">
        <v>4</v>
      </c>
      <c r="BA522" s="1">
        <v>3</v>
      </c>
      <c r="BB522" s="1">
        <v>4</v>
      </c>
      <c r="BC522" s="1">
        <v>2</v>
      </c>
    </row>
    <row r="523" spans="1:55">
      <c r="A523" s="1" t="s">
        <v>849</v>
      </c>
      <c r="B523" s="1" t="s">
        <v>489</v>
      </c>
      <c r="C523" s="1" t="s">
        <v>850</v>
      </c>
      <c r="D523" s="1">
        <v>3</v>
      </c>
      <c r="E523" s="1">
        <v>4</v>
      </c>
      <c r="F523" s="1">
        <v>2</v>
      </c>
      <c r="G523" s="1">
        <v>2</v>
      </c>
      <c r="H523" s="1">
        <v>4</v>
      </c>
      <c r="I523" s="1">
        <v>3</v>
      </c>
      <c r="J523" s="1">
        <v>4</v>
      </c>
      <c r="K523" s="1">
        <v>3</v>
      </c>
      <c r="L523" s="1">
        <v>2</v>
      </c>
      <c r="M523" s="1">
        <v>4</v>
      </c>
      <c r="N523" s="1">
        <v>4</v>
      </c>
      <c r="O523" s="1">
        <v>3</v>
      </c>
      <c r="P523" s="1">
        <v>4</v>
      </c>
      <c r="Q523" s="1">
        <v>3</v>
      </c>
      <c r="R523" s="1">
        <v>4</v>
      </c>
      <c r="S523" s="1">
        <v>4</v>
      </c>
      <c r="T523" s="1">
        <v>4</v>
      </c>
      <c r="U523" s="1">
        <v>4</v>
      </c>
      <c r="V523" s="1">
        <v>4</v>
      </c>
      <c r="W523" s="1">
        <v>3</v>
      </c>
      <c r="X523" s="1">
        <v>4</v>
      </c>
      <c r="Y523" s="1">
        <v>3</v>
      </c>
      <c r="Z523" s="1">
        <v>3</v>
      </c>
      <c r="AA523" s="1">
        <v>3</v>
      </c>
      <c r="AB523" s="1">
        <v>3</v>
      </c>
      <c r="AC523" s="1">
        <v>2</v>
      </c>
      <c r="AD523" s="1">
        <v>4</v>
      </c>
      <c r="AE523" s="1">
        <v>5</v>
      </c>
      <c r="AF523" s="1">
        <v>2</v>
      </c>
      <c r="AG523" s="1">
        <v>2</v>
      </c>
      <c r="AH523" s="1">
        <v>4</v>
      </c>
      <c r="AI523" s="1">
        <v>4</v>
      </c>
      <c r="AJ523" s="1">
        <v>3</v>
      </c>
      <c r="AK523" s="1">
        <v>3</v>
      </c>
      <c r="AL523" s="1">
        <v>3</v>
      </c>
      <c r="AM523" s="1">
        <v>4</v>
      </c>
      <c r="AN523" s="1">
        <v>4</v>
      </c>
      <c r="AO523" s="1">
        <v>3</v>
      </c>
      <c r="AP523" s="1">
        <v>3</v>
      </c>
      <c r="AQ523" s="1">
        <v>3</v>
      </c>
      <c r="AR523" s="1">
        <v>4</v>
      </c>
      <c r="AS523" s="1">
        <v>5</v>
      </c>
      <c r="AT523" s="1">
        <v>5</v>
      </c>
      <c r="AU523" s="1">
        <v>4</v>
      </c>
      <c r="AV523" s="1">
        <v>3</v>
      </c>
      <c r="AW523" s="1">
        <v>3</v>
      </c>
      <c r="AX523" s="1">
        <v>4</v>
      </c>
      <c r="AY523" s="1">
        <v>4</v>
      </c>
      <c r="AZ523" s="1">
        <v>2</v>
      </c>
      <c r="BA523" s="1">
        <v>3</v>
      </c>
      <c r="BB523" s="1">
        <v>3</v>
      </c>
      <c r="BC523" s="1">
        <v>2</v>
      </c>
    </row>
    <row r="524" spans="1:55">
      <c r="A524" s="1" t="s">
        <v>851</v>
      </c>
      <c r="B524" s="1" t="s">
        <v>489</v>
      </c>
      <c r="C524" s="1" t="s">
        <v>850</v>
      </c>
      <c r="D524" s="1">
        <v>4</v>
      </c>
      <c r="E524" s="1">
        <v>3</v>
      </c>
      <c r="F524" s="1">
        <v>3</v>
      </c>
      <c r="G524" s="1">
        <v>3</v>
      </c>
      <c r="H524" s="1">
        <v>3</v>
      </c>
      <c r="I524" s="1">
        <v>2</v>
      </c>
      <c r="J524" s="1">
        <v>2</v>
      </c>
      <c r="K524" s="1">
        <v>2</v>
      </c>
      <c r="L524" s="1">
        <v>3</v>
      </c>
      <c r="M524" s="1">
        <v>4</v>
      </c>
      <c r="N524" s="1">
        <v>3</v>
      </c>
      <c r="O524" s="1">
        <v>3</v>
      </c>
      <c r="P524" s="1">
        <v>2</v>
      </c>
      <c r="Q524" s="1">
        <v>3</v>
      </c>
      <c r="R524" s="1">
        <v>4</v>
      </c>
      <c r="S524" s="1">
        <v>4</v>
      </c>
      <c r="T524" s="1">
        <v>3</v>
      </c>
      <c r="U524" s="1">
        <v>3</v>
      </c>
      <c r="V524" s="1">
        <v>2</v>
      </c>
      <c r="W524" s="1">
        <v>3</v>
      </c>
      <c r="X524" s="1">
        <v>3</v>
      </c>
      <c r="Y524" s="1">
        <v>3</v>
      </c>
      <c r="Z524" s="1">
        <v>4</v>
      </c>
      <c r="AA524" s="1">
        <v>3</v>
      </c>
      <c r="AB524" s="1">
        <v>3</v>
      </c>
      <c r="AC524" s="1">
        <v>4</v>
      </c>
      <c r="AD524" s="1">
        <v>3</v>
      </c>
      <c r="AE524" s="1">
        <v>4</v>
      </c>
      <c r="AF524" s="1">
        <v>2</v>
      </c>
      <c r="AG524" s="1">
        <v>2</v>
      </c>
      <c r="AH524" s="1">
        <v>2</v>
      </c>
      <c r="AI524" s="1">
        <v>2</v>
      </c>
      <c r="AJ524" s="1">
        <v>2</v>
      </c>
      <c r="AK524" s="1">
        <v>3</v>
      </c>
      <c r="AL524" s="1">
        <v>3</v>
      </c>
      <c r="AM524" s="1">
        <v>4</v>
      </c>
      <c r="AN524" s="1">
        <v>2</v>
      </c>
      <c r="AO524" s="1">
        <v>4</v>
      </c>
      <c r="AP524" s="1">
        <v>3</v>
      </c>
      <c r="AQ524" s="1">
        <v>3</v>
      </c>
      <c r="AR524" s="1">
        <v>4</v>
      </c>
      <c r="AS524" s="1">
        <v>4</v>
      </c>
      <c r="AT524" s="1">
        <v>3</v>
      </c>
      <c r="AU524" s="1">
        <v>2</v>
      </c>
      <c r="AV524" s="1">
        <v>2</v>
      </c>
      <c r="AW524" s="1">
        <v>4</v>
      </c>
      <c r="AX524" s="1">
        <v>4</v>
      </c>
      <c r="AY524" s="1">
        <v>4</v>
      </c>
      <c r="AZ524" s="1">
        <v>4</v>
      </c>
      <c r="BA524" s="1">
        <v>4</v>
      </c>
      <c r="BB524" s="1">
        <v>3</v>
      </c>
      <c r="BC524" s="1">
        <v>5</v>
      </c>
    </row>
    <row r="525" spans="1:55">
      <c r="A525" s="1" t="s">
        <v>852</v>
      </c>
      <c r="B525" s="1" t="s">
        <v>489</v>
      </c>
      <c r="C525" s="1" t="s">
        <v>853</v>
      </c>
      <c r="D525" s="1">
        <v>3</v>
      </c>
      <c r="E525" s="1">
        <v>4</v>
      </c>
      <c r="F525" s="1">
        <v>2</v>
      </c>
      <c r="G525" s="1">
        <v>3</v>
      </c>
      <c r="H525" s="1">
        <v>3</v>
      </c>
      <c r="I525" s="1">
        <v>2</v>
      </c>
      <c r="J525" s="1">
        <v>3</v>
      </c>
      <c r="K525" s="1">
        <v>3</v>
      </c>
      <c r="L525" s="1">
        <v>4</v>
      </c>
      <c r="M525" s="1">
        <v>3</v>
      </c>
      <c r="N525" s="1">
        <v>2</v>
      </c>
      <c r="O525" s="1">
        <v>5</v>
      </c>
      <c r="P525" s="1">
        <v>3</v>
      </c>
      <c r="Q525" s="1">
        <v>3</v>
      </c>
      <c r="R525" s="1">
        <v>4</v>
      </c>
      <c r="S525" s="1">
        <v>3</v>
      </c>
      <c r="T525" s="1">
        <v>4</v>
      </c>
      <c r="U525" s="1">
        <v>3</v>
      </c>
      <c r="V525" s="1">
        <v>2</v>
      </c>
      <c r="W525" s="1">
        <v>2</v>
      </c>
      <c r="X525" s="1">
        <v>4</v>
      </c>
      <c r="Y525" s="1">
        <v>3</v>
      </c>
      <c r="Z525" s="1">
        <v>4</v>
      </c>
      <c r="AA525" s="1">
        <v>2</v>
      </c>
      <c r="AB525" s="1">
        <v>3</v>
      </c>
      <c r="AC525" s="1">
        <v>3</v>
      </c>
      <c r="AD525" s="1">
        <v>3</v>
      </c>
      <c r="AE525" s="1">
        <v>3</v>
      </c>
      <c r="AF525" s="1">
        <v>3</v>
      </c>
      <c r="AG525" s="1">
        <v>2</v>
      </c>
      <c r="AH525" s="1">
        <v>2</v>
      </c>
      <c r="AI525" s="1">
        <v>2</v>
      </c>
      <c r="AJ525" s="1">
        <v>2</v>
      </c>
      <c r="AK525" s="1">
        <v>4</v>
      </c>
      <c r="AL525" s="1">
        <v>4</v>
      </c>
      <c r="AM525" s="1">
        <v>4</v>
      </c>
      <c r="AN525" s="1">
        <v>2</v>
      </c>
      <c r="AO525" s="1">
        <v>4</v>
      </c>
      <c r="AP525" s="1">
        <v>3</v>
      </c>
      <c r="AQ525" s="1">
        <v>4</v>
      </c>
      <c r="AR525" s="1">
        <v>3</v>
      </c>
      <c r="AS525" s="1">
        <v>4</v>
      </c>
      <c r="AT525" s="1">
        <v>3</v>
      </c>
      <c r="AU525" s="1">
        <v>3</v>
      </c>
      <c r="AV525" s="1">
        <v>2</v>
      </c>
      <c r="AW525" s="1">
        <v>3</v>
      </c>
      <c r="AX525" s="1">
        <v>3</v>
      </c>
      <c r="AY525" s="1">
        <v>2</v>
      </c>
      <c r="AZ525" s="1">
        <v>3</v>
      </c>
      <c r="BA525" s="1">
        <v>3</v>
      </c>
      <c r="BB525" s="1">
        <v>4</v>
      </c>
      <c r="BC525" s="1">
        <v>4</v>
      </c>
    </row>
    <row r="526" spans="1:55">
      <c r="A526" s="1" t="s">
        <v>854</v>
      </c>
      <c r="B526" s="1" t="s">
        <v>489</v>
      </c>
      <c r="C526" s="1" t="s">
        <v>853</v>
      </c>
      <c r="D526" s="1">
        <v>4</v>
      </c>
      <c r="E526" s="1">
        <v>3</v>
      </c>
      <c r="F526" s="1">
        <v>3</v>
      </c>
      <c r="G526" s="1">
        <v>3</v>
      </c>
      <c r="H526" s="1">
        <v>4</v>
      </c>
      <c r="I526" s="1">
        <v>4</v>
      </c>
      <c r="J526" s="1">
        <v>3</v>
      </c>
      <c r="K526" s="1">
        <v>5</v>
      </c>
      <c r="L526" s="1">
        <v>5</v>
      </c>
      <c r="M526" s="1">
        <v>3</v>
      </c>
      <c r="N526" s="1">
        <v>3</v>
      </c>
      <c r="O526" s="1">
        <v>4</v>
      </c>
      <c r="P526" s="1">
        <v>5</v>
      </c>
      <c r="Q526" s="1">
        <v>4</v>
      </c>
      <c r="R526" s="1">
        <v>3</v>
      </c>
      <c r="S526" s="1">
        <v>4</v>
      </c>
      <c r="T526" s="1">
        <v>3</v>
      </c>
      <c r="U526" s="1">
        <v>3</v>
      </c>
      <c r="V526" s="1">
        <v>3</v>
      </c>
      <c r="W526" s="1">
        <v>2</v>
      </c>
      <c r="X526" s="1">
        <v>3</v>
      </c>
      <c r="Y526" s="1">
        <v>3</v>
      </c>
      <c r="Z526" s="1">
        <v>5</v>
      </c>
      <c r="AA526" s="1">
        <v>4</v>
      </c>
      <c r="AB526" s="1">
        <v>4</v>
      </c>
      <c r="AC526" s="1">
        <v>3</v>
      </c>
      <c r="AD526" s="1">
        <v>3</v>
      </c>
      <c r="AE526" s="1">
        <v>3</v>
      </c>
      <c r="AF526" s="1">
        <v>3</v>
      </c>
      <c r="AG526" s="1">
        <v>3</v>
      </c>
      <c r="AH526" s="1">
        <v>3</v>
      </c>
      <c r="AI526" s="1">
        <v>3</v>
      </c>
      <c r="AJ526" s="1">
        <v>3</v>
      </c>
      <c r="AK526" s="1">
        <v>4</v>
      </c>
      <c r="AL526" s="1">
        <v>4</v>
      </c>
      <c r="AM526" s="1">
        <v>4</v>
      </c>
      <c r="AN526" s="1">
        <v>3</v>
      </c>
      <c r="AO526" s="1">
        <v>4</v>
      </c>
      <c r="AP526" s="1">
        <v>4</v>
      </c>
      <c r="AQ526" s="1">
        <v>3</v>
      </c>
      <c r="AR526" s="1">
        <v>4</v>
      </c>
      <c r="AS526" s="1">
        <v>3</v>
      </c>
      <c r="AT526" s="1">
        <v>2</v>
      </c>
      <c r="AU526" s="1">
        <v>4</v>
      </c>
      <c r="AV526" s="1">
        <v>4</v>
      </c>
      <c r="AW526" s="1">
        <v>3</v>
      </c>
      <c r="AX526" s="1">
        <v>2</v>
      </c>
      <c r="AY526" s="1">
        <v>2</v>
      </c>
      <c r="AZ526" s="1">
        <v>3</v>
      </c>
      <c r="BA526" s="1">
        <v>4</v>
      </c>
      <c r="BB526" s="1">
        <v>4</v>
      </c>
      <c r="BC526" s="1">
        <v>2</v>
      </c>
    </row>
    <row r="527" spans="1:55">
      <c r="A527" s="1" t="s">
        <v>855</v>
      </c>
      <c r="B527" s="1" t="s">
        <v>489</v>
      </c>
      <c r="C527" s="1" t="s">
        <v>856</v>
      </c>
      <c r="D527" s="1">
        <v>3</v>
      </c>
      <c r="E527" s="1">
        <v>3</v>
      </c>
      <c r="F527" s="1">
        <v>2</v>
      </c>
      <c r="G527" s="1">
        <v>2</v>
      </c>
      <c r="H527" s="1">
        <v>2</v>
      </c>
      <c r="I527" s="1">
        <v>3</v>
      </c>
      <c r="J527" s="1">
        <v>2</v>
      </c>
      <c r="K527" s="1">
        <v>4</v>
      </c>
      <c r="L527" s="1">
        <v>4</v>
      </c>
      <c r="M527" s="1">
        <v>4</v>
      </c>
      <c r="N527" s="1">
        <v>2</v>
      </c>
      <c r="O527" s="1">
        <v>3</v>
      </c>
      <c r="P527" s="1">
        <v>3</v>
      </c>
      <c r="Q527" s="1">
        <v>3</v>
      </c>
      <c r="R527" s="1">
        <v>4</v>
      </c>
      <c r="S527" s="1">
        <v>4</v>
      </c>
      <c r="T527" s="1">
        <v>4</v>
      </c>
      <c r="U527" s="1">
        <v>4</v>
      </c>
      <c r="V527" s="1">
        <v>2</v>
      </c>
      <c r="W527" s="1">
        <v>2</v>
      </c>
      <c r="X527" s="1">
        <v>3</v>
      </c>
      <c r="Y527" s="1">
        <v>2</v>
      </c>
      <c r="Z527" s="1">
        <v>2</v>
      </c>
      <c r="AA527" s="1">
        <v>4</v>
      </c>
      <c r="AB527" s="1">
        <v>3</v>
      </c>
      <c r="AC527" s="1">
        <v>4</v>
      </c>
      <c r="AD527" s="1">
        <v>4</v>
      </c>
      <c r="AE527" s="1">
        <v>4</v>
      </c>
      <c r="AF527" s="1">
        <v>2</v>
      </c>
      <c r="AG527" s="1">
        <v>2</v>
      </c>
      <c r="AH527" s="1">
        <v>2</v>
      </c>
      <c r="AI527" s="1">
        <v>2</v>
      </c>
      <c r="AJ527" s="1">
        <v>3</v>
      </c>
      <c r="AK527" s="1">
        <v>4</v>
      </c>
      <c r="AL527" s="1">
        <v>3</v>
      </c>
      <c r="AM527" s="1">
        <v>4</v>
      </c>
      <c r="AN527" s="1">
        <v>2</v>
      </c>
      <c r="AO527" s="1">
        <v>4</v>
      </c>
      <c r="AP527" s="1">
        <v>3</v>
      </c>
      <c r="AQ527" s="1">
        <v>4</v>
      </c>
      <c r="AR527" s="1">
        <v>3</v>
      </c>
      <c r="AS527" s="1">
        <v>3</v>
      </c>
      <c r="AT527" s="1">
        <v>4</v>
      </c>
      <c r="AU527" s="1">
        <v>4</v>
      </c>
      <c r="AV527" s="1">
        <v>2</v>
      </c>
      <c r="AW527" s="1">
        <v>3</v>
      </c>
      <c r="AX527" s="1">
        <v>3</v>
      </c>
      <c r="AY527" s="1">
        <v>2</v>
      </c>
      <c r="AZ527" s="1">
        <v>4</v>
      </c>
      <c r="BA527" s="1">
        <v>3</v>
      </c>
      <c r="BB527" s="1">
        <v>3</v>
      </c>
      <c r="BC527" s="1">
        <v>4</v>
      </c>
    </row>
    <row r="528" spans="1:55">
      <c r="A528" s="1" t="s">
        <v>857</v>
      </c>
      <c r="B528" s="1" t="s">
        <v>489</v>
      </c>
      <c r="C528" s="1" t="s">
        <v>856</v>
      </c>
      <c r="D528" s="1">
        <v>2</v>
      </c>
      <c r="E528" s="1">
        <v>4</v>
      </c>
      <c r="F528" s="1">
        <v>2</v>
      </c>
      <c r="G528" s="1">
        <v>2</v>
      </c>
      <c r="H528" s="1">
        <v>4</v>
      </c>
      <c r="I528" s="1">
        <v>3</v>
      </c>
      <c r="J528" s="1">
        <v>3</v>
      </c>
      <c r="K528" s="1">
        <v>2</v>
      </c>
      <c r="L528" s="1">
        <v>2</v>
      </c>
      <c r="M528" s="1">
        <v>4</v>
      </c>
      <c r="N528" s="1">
        <v>4</v>
      </c>
      <c r="O528" s="1">
        <v>2</v>
      </c>
      <c r="P528" s="1">
        <v>3</v>
      </c>
      <c r="Q528" s="1">
        <v>3</v>
      </c>
      <c r="R528" s="1">
        <v>4</v>
      </c>
      <c r="S528" s="1">
        <v>3</v>
      </c>
      <c r="T528" s="1">
        <v>3</v>
      </c>
      <c r="U528" s="1">
        <v>3</v>
      </c>
      <c r="V528" s="1">
        <v>4</v>
      </c>
      <c r="W528" s="1">
        <v>2</v>
      </c>
      <c r="X528" s="1">
        <v>2</v>
      </c>
      <c r="Y528" s="1">
        <v>2</v>
      </c>
      <c r="Z528" s="1">
        <v>2</v>
      </c>
      <c r="AA528" s="1">
        <v>1</v>
      </c>
      <c r="AB528" s="1">
        <v>3</v>
      </c>
      <c r="AC528" s="1">
        <v>3</v>
      </c>
      <c r="AD528" s="1">
        <v>4</v>
      </c>
      <c r="AE528" s="1">
        <v>3</v>
      </c>
      <c r="AF528" s="1">
        <v>2</v>
      </c>
      <c r="AG528" s="1">
        <v>3</v>
      </c>
      <c r="AH528" s="1">
        <v>3</v>
      </c>
      <c r="AI528" s="1">
        <v>4</v>
      </c>
      <c r="AJ528" s="1">
        <v>4</v>
      </c>
      <c r="AK528" s="1">
        <v>2</v>
      </c>
      <c r="AL528" s="1">
        <v>3</v>
      </c>
      <c r="AM528" s="1">
        <v>5</v>
      </c>
      <c r="AN528" s="1">
        <v>4</v>
      </c>
      <c r="AO528" s="1">
        <v>2</v>
      </c>
      <c r="AP528" s="1">
        <v>2</v>
      </c>
      <c r="AQ528" s="1">
        <v>2</v>
      </c>
      <c r="AR528" s="1">
        <v>4</v>
      </c>
      <c r="AS528" s="1">
        <v>3</v>
      </c>
      <c r="AT528" s="1">
        <v>4</v>
      </c>
      <c r="AU528" s="1">
        <v>4</v>
      </c>
      <c r="AV528" s="1">
        <v>3</v>
      </c>
      <c r="AW528" s="1">
        <v>2</v>
      </c>
      <c r="AX528" s="1">
        <v>3</v>
      </c>
      <c r="AY528" s="1">
        <v>3</v>
      </c>
      <c r="AZ528" s="1">
        <v>1</v>
      </c>
      <c r="BA528" s="1">
        <v>3</v>
      </c>
      <c r="BB528" s="1">
        <v>2</v>
      </c>
      <c r="BC528" s="1">
        <v>4</v>
      </c>
    </row>
    <row r="529" spans="1:55">
      <c r="A529" s="1" t="s">
        <v>858</v>
      </c>
      <c r="B529" s="1" t="s">
        <v>489</v>
      </c>
      <c r="C529" s="1" t="s">
        <v>859</v>
      </c>
      <c r="D529" s="1">
        <v>3</v>
      </c>
      <c r="E529" s="1">
        <v>3</v>
      </c>
      <c r="F529" s="1">
        <v>3</v>
      </c>
      <c r="G529" s="1">
        <v>3</v>
      </c>
      <c r="H529" s="1">
        <v>3</v>
      </c>
      <c r="I529" s="1">
        <v>2</v>
      </c>
      <c r="J529" s="1">
        <v>2</v>
      </c>
      <c r="K529" s="1">
        <v>3</v>
      </c>
      <c r="L529" s="1">
        <v>4</v>
      </c>
      <c r="M529" s="1">
        <v>2</v>
      </c>
      <c r="N529" s="1">
        <v>3</v>
      </c>
      <c r="O529" s="1">
        <v>3</v>
      </c>
      <c r="P529" s="1">
        <v>4</v>
      </c>
      <c r="Q529" s="1">
        <v>4</v>
      </c>
      <c r="R529" s="1">
        <v>2</v>
      </c>
      <c r="S529" s="1">
        <v>3</v>
      </c>
      <c r="T529" s="1">
        <v>3</v>
      </c>
      <c r="U529" s="1">
        <v>3</v>
      </c>
      <c r="V529" s="1">
        <v>4</v>
      </c>
      <c r="W529" s="1">
        <v>3</v>
      </c>
      <c r="X529" s="1">
        <v>2</v>
      </c>
      <c r="Y529" s="1">
        <v>2</v>
      </c>
      <c r="Z529" s="1">
        <v>3</v>
      </c>
      <c r="AA529" s="1">
        <v>4</v>
      </c>
      <c r="AB529" s="1">
        <v>3</v>
      </c>
      <c r="AC529" s="1">
        <v>3</v>
      </c>
      <c r="AD529" s="1">
        <v>3</v>
      </c>
      <c r="AE529" s="1">
        <v>3</v>
      </c>
      <c r="AF529" s="1">
        <v>3</v>
      </c>
      <c r="AG529" s="1">
        <v>3</v>
      </c>
      <c r="AH529" s="1">
        <v>3</v>
      </c>
      <c r="AI529" s="1">
        <v>2</v>
      </c>
      <c r="AJ529" s="1">
        <v>2</v>
      </c>
      <c r="AK529" s="1">
        <v>4</v>
      </c>
      <c r="AL529" s="1">
        <v>3</v>
      </c>
      <c r="AM529" s="1">
        <v>3</v>
      </c>
      <c r="AN529" s="1">
        <v>2</v>
      </c>
      <c r="AO529" s="1">
        <v>4</v>
      </c>
      <c r="AP529" s="1">
        <v>3</v>
      </c>
      <c r="AQ529" s="1">
        <v>4</v>
      </c>
      <c r="AR529" s="1">
        <v>3</v>
      </c>
      <c r="AS529" s="1">
        <v>3</v>
      </c>
      <c r="AT529" s="1">
        <v>3</v>
      </c>
      <c r="AU529" s="1">
        <v>2</v>
      </c>
      <c r="AV529" s="1">
        <v>3</v>
      </c>
      <c r="AW529" s="1">
        <v>3</v>
      </c>
      <c r="AX529" s="1">
        <v>3</v>
      </c>
      <c r="AY529" s="1">
        <v>2</v>
      </c>
      <c r="AZ529" s="1">
        <v>4</v>
      </c>
      <c r="BA529" s="1">
        <v>4</v>
      </c>
      <c r="BB529" s="1">
        <v>3</v>
      </c>
      <c r="BC529" s="1">
        <v>3</v>
      </c>
    </row>
    <row r="530" spans="1:55">
      <c r="A530" s="1" t="s">
        <v>860</v>
      </c>
      <c r="B530" s="1" t="s">
        <v>489</v>
      </c>
      <c r="C530" s="1" t="s">
        <v>859</v>
      </c>
      <c r="D530" s="1">
        <v>3</v>
      </c>
      <c r="E530" s="1">
        <v>3</v>
      </c>
      <c r="F530" s="1">
        <v>2</v>
      </c>
      <c r="G530" s="1">
        <v>2</v>
      </c>
      <c r="H530" s="1">
        <v>4</v>
      </c>
      <c r="I530" s="1">
        <v>3</v>
      </c>
      <c r="J530" s="1">
        <v>3</v>
      </c>
      <c r="K530" s="1">
        <v>3</v>
      </c>
      <c r="L530" s="1">
        <v>4</v>
      </c>
      <c r="M530" s="1">
        <v>3</v>
      </c>
      <c r="N530" s="1">
        <v>4</v>
      </c>
      <c r="O530" s="1">
        <v>4</v>
      </c>
      <c r="P530" s="1">
        <v>4</v>
      </c>
      <c r="Q530" s="1">
        <v>2</v>
      </c>
      <c r="R530" s="1">
        <v>4</v>
      </c>
      <c r="S530" s="1">
        <v>3</v>
      </c>
      <c r="T530" s="1">
        <v>3</v>
      </c>
      <c r="U530" s="1">
        <v>4</v>
      </c>
      <c r="V530" s="1">
        <v>3</v>
      </c>
      <c r="W530" s="1">
        <v>2</v>
      </c>
      <c r="X530" s="1">
        <v>2</v>
      </c>
      <c r="Y530" s="1">
        <v>2</v>
      </c>
      <c r="Z530" s="1">
        <v>4</v>
      </c>
      <c r="AA530" s="1">
        <v>3</v>
      </c>
      <c r="AB530" s="1">
        <v>4</v>
      </c>
      <c r="AC530" s="1">
        <v>1</v>
      </c>
      <c r="AD530" s="1">
        <v>4</v>
      </c>
      <c r="AE530" s="1">
        <v>3</v>
      </c>
      <c r="AF530" s="1">
        <v>2</v>
      </c>
      <c r="AG530" s="1">
        <v>2</v>
      </c>
      <c r="AH530" s="1">
        <v>3</v>
      </c>
      <c r="AI530" s="1">
        <v>3</v>
      </c>
      <c r="AJ530" s="1">
        <v>4</v>
      </c>
      <c r="AK530" s="1">
        <v>4</v>
      </c>
      <c r="AL530" s="1">
        <v>4</v>
      </c>
      <c r="AM530" s="1">
        <v>4</v>
      </c>
      <c r="AN530" s="1">
        <v>3</v>
      </c>
      <c r="AO530" s="1">
        <v>3</v>
      </c>
      <c r="AP530" s="1">
        <v>3</v>
      </c>
      <c r="AQ530" s="1">
        <v>3</v>
      </c>
      <c r="AR530" s="1">
        <v>3</v>
      </c>
      <c r="AS530" s="1">
        <v>4</v>
      </c>
      <c r="AT530" s="1">
        <v>4</v>
      </c>
      <c r="AU530" s="1">
        <v>5</v>
      </c>
      <c r="AV530" s="1">
        <v>3</v>
      </c>
      <c r="AW530" s="1">
        <v>2</v>
      </c>
      <c r="AX530" s="1">
        <v>2</v>
      </c>
      <c r="AY530" s="1">
        <v>3</v>
      </c>
      <c r="AZ530" s="1">
        <v>4</v>
      </c>
      <c r="BA530" s="1">
        <v>4</v>
      </c>
      <c r="BB530" s="1">
        <v>3</v>
      </c>
      <c r="BC530" s="1">
        <v>2</v>
      </c>
    </row>
    <row r="531" spans="1:55">
      <c r="A531" s="1" t="s">
        <v>861</v>
      </c>
      <c r="B531" s="1" t="s">
        <v>489</v>
      </c>
      <c r="C531" s="1" t="s">
        <v>862</v>
      </c>
      <c r="D531" s="1">
        <v>3</v>
      </c>
      <c r="E531" s="1">
        <v>3</v>
      </c>
      <c r="F531" s="1">
        <v>2</v>
      </c>
      <c r="G531" s="1">
        <v>2</v>
      </c>
      <c r="H531" s="1">
        <v>3</v>
      </c>
      <c r="I531" s="1">
        <v>3</v>
      </c>
      <c r="J531" s="1">
        <v>3</v>
      </c>
      <c r="K531" s="1">
        <v>3</v>
      </c>
      <c r="L531" s="1">
        <v>3</v>
      </c>
      <c r="M531" s="1">
        <v>3</v>
      </c>
      <c r="N531" s="1">
        <v>4</v>
      </c>
      <c r="O531" s="1">
        <v>3</v>
      </c>
      <c r="P531" s="1">
        <v>4</v>
      </c>
      <c r="Q531" s="1">
        <v>2</v>
      </c>
      <c r="R531" s="1">
        <v>3</v>
      </c>
      <c r="S531" s="1">
        <v>3</v>
      </c>
      <c r="T531" s="1">
        <v>4</v>
      </c>
      <c r="U531" s="1">
        <v>3</v>
      </c>
      <c r="V531" s="1">
        <v>3</v>
      </c>
      <c r="W531" s="1">
        <v>3</v>
      </c>
      <c r="X531" s="1">
        <v>3</v>
      </c>
      <c r="Y531" s="1">
        <v>4</v>
      </c>
      <c r="Z531" s="1">
        <v>3</v>
      </c>
      <c r="AA531" s="1">
        <v>3</v>
      </c>
      <c r="AB531" s="1">
        <v>3</v>
      </c>
      <c r="AC531" s="1">
        <v>3</v>
      </c>
      <c r="AD531" s="1">
        <v>3</v>
      </c>
      <c r="AE531" s="1">
        <v>4</v>
      </c>
      <c r="AF531" s="1">
        <v>2</v>
      </c>
      <c r="AG531" s="1">
        <v>2</v>
      </c>
      <c r="AH531" s="1">
        <v>3</v>
      </c>
      <c r="AI531" s="1">
        <v>4</v>
      </c>
      <c r="AJ531" s="1">
        <v>3</v>
      </c>
      <c r="AK531" s="1">
        <v>4</v>
      </c>
      <c r="AL531" s="1">
        <v>4</v>
      </c>
      <c r="AM531" s="1">
        <v>4</v>
      </c>
      <c r="AN531" s="1">
        <v>4</v>
      </c>
      <c r="AO531" s="1">
        <v>4</v>
      </c>
      <c r="AP531" s="1">
        <v>3</v>
      </c>
      <c r="AQ531" s="1">
        <v>3</v>
      </c>
      <c r="AR531" s="1">
        <v>4</v>
      </c>
      <c r="AS531" s="1">
        <v>4</v>
      </c>
      <c r="AT531" s="1">
        <v>4</v>
      </c>
      <c r="AU531" s="1">
        <v>3</v>
      </c>
      <c r="AV531" s="1">
        <v>4</v>
      </c>
      <c r="AW531" s="1">
        <v>4</v>
      </c>
      <c r="AX531" s="1">
        <v>3</v>
      </c>
      <c r="AY531" s="1">
        <v>4</v>
      </c>
      <c r="AZ531" s="1">
        <v>4</v>
      </c>
      <c r="BA531" s="1">
        <v>4</v>
      </c>
      <c r="BB531" s="1">
        <v>3</v>
      </c>
      <c r="BC531" s="1">
        <v>3</v>
      </c>
    </row>
    <row r="532" spans="1:55">
      <c r="A532" s="1" t="s">
        <v>863</v>
      </c>
      <c r="B532" s="1" t="s">
        <v>489</v>
      </c>
      <c r="C532" s="1" t="s">
        <v>862</v>
      </c>
      <c r="D532" s="1">
        <v>4</v>
      </c>
      <c r="E532" s="1">
        <v>4</v>
      </c>
      <c r="F532" s="1">
        <v>2</v>
      </c>
      <c r="G532" s="1">
        <v>1</v>
      </c>
      <c r="H532" s="1">
        <v>3</v>
      </c>
      <c r="I532" s="1">
        <v>3</v>
      </c>
      <c r="J532" s="1">
        <v>3</v>
      </c>
      <c r="K532" s="1">
        <v>2</v>
      </c>
      <c r="L532" s="1">
        <v>3</v>
      </c>
      <c r="M532" s="1">
        <v>4</v>
      </c>
      <c r="N532" s="1">
        <v>3</v>
      </c>
      <c r="O532" s="1">
        <v>2</v>
      </c>
      <c r="P532" s="1">
        <v>3</v>
      </c>
      <c r="Q532" s="1">
        <v>3</v>
      </c>
      <c r="R532" s="1">
        <v>4</v>
      </c>
      <c r="S532" s="1">
        <v>4</v>
      </c>
      <c r="T532" s="1">
        <v>4</v>
      </c>
      <c r="U532" s="1">
        <v>4</v>
      </c>
      <c r="V532" s="1">
        <v>3</v>
      </c>
      <c r="W532" s="1">
        <v>3</v>
      </c>
      <c r="X532" s="1">
        <v>2</v>
      </c>
      <c r="Y532" s="1">
        <v>4</v>
      </c>
      <c r="Z532" s="1">
        <v>2</v>
      </c>
      <c r="AA532" s="1">
        <v>2</v>
      </c>
      <c r="AB532" s="1">
        <v>2</v>
      </c>
      <c r="AC532" s="1">
        <v>3</v>
      </c>
      <c r="AD532" s="1">
        <v>4</v>
      </c>
      <c r="AE532" s="1">
        <v>4</v>
      </c>
      <c r="AF532" s="1">
        <v>2</v>
      </c>
      <c r="AG532" s="1">
        <v>2</v>
      </c>
      <c r="AH532" s="1">
        <v>2</v>
      </c>
      <c r="AI532" s="1">
        <v>3</v>
      </c>
      <c r="AJ532" s="1">
        <v>3</v>
      </c>
      <c r="AK532" s="1">
        <v>3</v>
      </c>
      <c r="AL532" s="1">
        <v>2</v>
      </c>
      <c r="AM532" s="1">
        <v>5</v>
      </c>
      <c r="AN532" s="1">
        <v>2</v>
      </c>
      <c r="AO532" s="1">
        <v>2</v>
      </c>
      <c r="AP532" s="1">
        <v>2</v>
      </c>
      <c r="AQ532" s="1">
        <v>2</v>
      </c>
      <c r="AR532" s="1">
        <v>5</v>
      </c>
      <c r="AS532" s="1">
        <v>3</v>
      </c>
      <c r="AT532" s="1">
        <v>5</v>
      </c>
      <c r="AU532" s="1">
        <v>4</v>
      </c>
      <c r="AV532" s="1">
        <v>3</v>
      </c>
      <c r="AW532" s="1">
        <v>4</v>
      </c>
      <c r="AX532" s="1">
        <v>3</v>
      </c>
      <c r="AY532" s="1">
        <v>3</v>
      </c>
      <c r="AZ532" s="1">
        <v>3</v>
      </c>
      <c r="BA532" s="1">
        <v>3</v>
      </c>
      <c r="BB532" s="1">
        <v>2</v>
      </c>
      <c r="BC532" s="1">
        <v>3</v>
      </c>
    </row>
    <row r="533" spans="1:55">
      <c r="A533" s="1" t="s">
        <v>864</v>
      </c>
      <c r="B533" s="1" t="s">
        <v>489</v>
      </c>
      <c r="C533" s="1" t="s">
        <v>865</v>
      </c>
      <c r="D533" s="1">
        <v>3</v>
      </c>
      <c r="E533" s="1">
        <v>3</v>
      </c>
      <c r="F533" s="1">
        <v>3</v>
      </c>
      <c r="G533" s="1">
        <v>3</v>
      </c>
      <c r="H533" s="1">
        <v>4</v>
      </c>
      <c r="I533" s="1">
        <v>4</v>
      </c>
      <c r="J533" s="1">
        <v>4</v>
      </c>
      <c r="K533" s="1">
        <v>4</v>
      </c>
      <c r="L533" s="1">
        <v>4</v>
      </c>
      <c r="M533" s="1">
        <v>3</v>
      </c>
      <c r="N533" s="1">
        <v>3</v>
      </c>
      <c r="O533" s="1">
        <v>3</v>
      </c>
      <c r="P533" s="1">
        <v>3</v>
      </c>
      <c r="Q533" s="1">
        <v>3</v>
      </c>
      <c r="R533" s="1">
        <v>1</v>
      </c>
      <c r="S533" s="1">
        <v>2</v>
      </c>
      <c r="T533" s="1">
        <v>2</v>
      </c>
      <c r="U533" s="1">
        <v>3</v>
      </c>
      <c r="V533" s="1">
        <v>4</v>
      </c>
      <c r="W533" s="1">
        <v>2</v>
      </c>
      <c r="X533" s="1">
        <v>4</v>
      </c>
      <c r="Y533" s="1">
        <v>3</v>
      </c>
      <c r="Z533" s="1">
        <v>4</v>
      </c>
      <c r="AA533" s="1">
        <v>3</v>
      </c>
      <c r="AB533" s="1">
        <v>4</v>
      </c>
      <c r="AC533" s="1">
        <v>3</v>
      </c>
      <c r="AD533" s="1">
        <v>3</v>
      </c>
      <c r="AE533" s="1">
        <v>2</v>
      </c>
      <c r="AF533" s="1">
        <v>4</v>
      </c>
      <c r="AG533" s="1">
        <v>4</v>
      </c>
      <c r="AH533" s="1">
        <v>3</v>
      </c>
      <c r="AI533" s="1">
        <v>2</v>
      </c>
      <c r="AJ533" s="1">
        <v>2</v>
      </c>
      <c r="AK533" s="1">
        <v>4</v>
      </c>
      <c r="AL533" s="1">
        <v>3</v>
      </c>
      <c r="AM533" s="1">
        <v>2</v>
      </c>
      <c r="AN533" s="1">
        <v>3</v>
      </c>
      <c r="AO533" s="1">
        <v>3</v>
      </c>
      <c r="AP533" s="1">
        <v>3</v>
      </c>
      <c r="AQ533" s="1">
        <v>3</v>
      </c>
      <c r="AR533" s="1">
        <v>3</v>
      </c>
      <c r="AS533" s="1">
        <v>2</v>
      </c>
      <c r="AT533" s="1">
        <v>4</v>
      </c>
      <c r="AU533" s="1">
        <v>2</v>
      </c>
      <c r="AV533" s="1">
        <v>3</v>
      </c>
      <c r="AW533" s="1">
        <v>3</v>
      </c>
      <c r="AX533" s="1">
        <v>3</v>
      </c>
      <c r="AY533" s="1">
        <v>3</v>
      </c>
      <c r="AZ533" s="1">
        <v>3</v>
      </c>
      <c r="BA533" s="1">
        <v>3</v>
      </c>
      <c r="BB533" s="1">
        <v>4</v>
      </c>
      <c r="BC533" s="1">
        <v>2</v>
      </c>
    </row>
    <row r="534" spans="1:55">
      <c r="A534" s="1" t="s">
        <v>866</v>
      </c>
      <c r="B534" s="1" t="s">
        <v>489</v>
      </c>
      <c r="C534" s="1" t="s">
        <v>865</v>
      </c>
      <c r="D534" s="1">
        <v>4</v>
      </c>
      <c r="E534" s="1">
        <v>4</v>
      </c>
      <c r="F534" s="1">
        <v>3</v>
      </c>
      <c r="G534" s="1">
        <v>3</v>
      </c>
      <c r="H534" s="1">
        <v>3</v>
      </c>
      <c r="I534" s="1">
        <v>3</v>
      </c>
      <c r="J534" s="1">
        <v>3</v>
      </c>
      <c r="K534" s="1">
        <v>4</v>
      </c>
      <c r="L534" s="1">
        <v>3</v>
      </c>
      <c r="M534" s="1">
        <v>4</v>
      </c>
      <c r="N534" s="1">
        <v>2</v>
      </c>
      <c r="O534" s="1">
        <v>3</v>
      </c>
      <c r="P534" s="1">
        <v>3</v>
      </c>
      <c r="Q534" s="1">
        <v>2</v>
      </c>
      <c r="R534" s="1">
        <v>4</v>
      </c>
      <c r="S534" s="1">
        <v>4</v>
      </c>
      <c r="T534" s="1">
        <v>3</v>
      </c>
      <c r="U534" s="1">
        <v>4</v>
      </c>
      <c r="V534" s="1">
        <v>3</v>
      </c>
      <c r="W534" s="1">
        <v>3</v>
      </c>
      <c r="X534" s="1">
        <v>3</v>
      </c>
      <c r="Y534" s="1">
        <v>3</v>
      </c>
      <c r="Z534" s="1">
        <v>3</v>
      </c>
      <c r="AA534" s="1">
        <v>3</v>
      </c>
      <c r="AB534" s="1">
        <v>3</v>
      </c>
      <c r="AC534" s="1">
        <v>3</v>
      </c>
      <c r="AD534" s="1">
        <v>4</v>
      </c>
      <c r="AE534" s="1">
        <v>3</v>
      </c>
      <c r="AF534" s="1">
        <v>3</v>
      </c>
      <c r="AG534" s="1">
        <v>3</v>
      </c>
      <c r="AH534" s="1">
        <v>3</v>
      </c>
      <c r="AI534" s="1">
        <v>3</v>
      </c>
      <c r="AJ534" s="1">
        <v>3</v>
      </c>
      <c r="AK534" s="1">
        <v>4</v>
      </c>
      <c r="AL534" s="1">
        <v>4</v>
      </c>
      <c r="AM534" s="1">
        <v>4</v>
      </c>
      <c r="AN534" s="1">
        <v>2</v>
      </c>
      <c r="AO534" s="1">
        <v>4</v>
      </c>
      <c r="AP534" s="1">
        <v>3</v>
      </c>
      <c r="AQ534" s="1">
        <v>4</v>
      </c>
      <c r="AR534" s="1">
        <v>4</v>
      </c>
      <c r="AS534" s="1">
        <v>3</v>
      </c>
      <c r="AT534" s="1">
        <v>4</v>
      </c>
      <c r="AU534" s="1">
        <v>4</v>
      </c>
      <c r="AV534" s="1">
        <v>2</v>
      </c>
      <c r="AW534" s="1">
        <v>3</v>
      </c>
      <c r="AX534" s="1">
        <v>3</v>
      </c>
      <c r="AY534" s="1">
        <v>2</v>
      </c>
      <c r="AZ534" s="1">
        <v>3</v>
      </c>
      <c r="BA534" s="1">
        <v>3</v>
      </c>
      <c r="BB534" s="1">
        <v>4</v>
      </c>
      <c r="BC534" s="1">
        <v>2</v>
      </c>
    </row>
    <row r="535" spans="1:55">
      <c r="A535" s="1" t="s">
        <v>867</v>
      </c>
      <c r="B535" s="1" t="s">
        <v>489</v>
      </c>
      <c r="C535" s="1" t="s">
        <v>868</v>
      </c>
      <c r="D535" s="1">
        <v>3</v>
      </c>
      <c r="E535" s="1">
        <v>4</v>
      </c>
      <c r="F535" s="1">
        <v>2</v>
      </c>
      <c r="G535" s="1">
        <v>1</v>
      </c>
      <c r="H535" s="1">
        <v>2</v>
      </c>
      <c r="I535" s="1">
        <v>3</v>
      </c>
      <c r="J535" s="1">
        <v>4</v>
      </c>
      <c r="K535" s="1">
        <v>3</v>
      </c>
      <c r="L535" s="1">
        <v>4</v>
      </c>
      <c r="M535" s="1">
        <v>4</v>
      </c>
      <c r="N535" s="1">
        <v>3</v>
      </c>
      <c r="O535" s="1">
        <v>4</v>
      </c>
      <c r="P535" s="1">
        <v>4</v>
      </c>
      <c r="Q535" s="1">
        <v>4</v>
      </c>
      <c r="R535" s="1">
        <v>4</v>
      </c>
      <c r="S535" s="1">
        <v>3</v>
      </c>
      <c r="T535" s="1">
        <v>4</v>
      </c>
      <c r="U535" s="1">
        <v>5</v>
      </c>
      <c r="V535" s="1">
        <v>3</v>
      </c>
      <c r="W535" s="1">
        <v>3</v>
      </c>
      <c r="X535" s="1">
        <v>3</v>
      </c>
      <c r="Y535" s="1">
        <v>2</v>
      </c>
      <c r="Z535" s="1">
        <v>4</v>
      </c>
      <c r="AA535" s="1">
        <v>4</v>
      </c>
      <c r="AB535" s="1">
        <v>4</v>
      </c>
      <c r="AC535" s="1">
        <v>3</v>
      </c>
      <c r="AD535" s="1">
        <v>3</v>
      </c>
      <c r="AE535" s="1">
        <v>4</v>
      </c>
      <c r="AF535" s="1">
        <v>2</v>
      </c>
      <c r="AG535" s="1">
        <v>1</v>
      </c>
      <c r="AH535" s="1">
        <v>3</v>
      </c>
      <c r="AI535" s="1">
        <v>3</v>
      </c>
      <c r="AJ535" s="1">
        <v>4</v>
      </c>
      <c r="AK535" s="1">
        <v>4</v>
      </c>
      <c r="AL535" s="1">
        <v>4</v>
      </c>
      <c r="AM535" s="1">
        <v>3</v>
      </c>
      <c r="AN535" s="1">
        <v>3</v>
      </c>
      <c r="AO535" s="1">
        <v>4</v>
      </c>
      <c r="AP535" s="1">
        <v>4</v>
      </c>
      <c r="AQ535" s="1">
        <v>4</v>
      </c>
      <c r="AR535" s="1">
        <v>3</v>
      </c>
      <c r="AS535" s="1">
        <v>4</v>
      </c>
      <c r="AT535" s="1">
        <v>4</v>
      </c>
      <c r="AU535" s="1">
        <v>4</v>
      </c>
      <c r="AV535" s="1">
        <v>4</v>
      </c>
      <c r="AW535" s="1">
        <v>1</v>
      </c>
      <c r="AX535" s="1">
        <v>2</v>
      </c>
      <c r="AY535" s="1">
        <v>1</v>
      </c>
      <c r="AZ535" s="1">
        <v>4</v>
      </c>
      <c r="BA535" s="1">
        <v>3</v>
      </c>
      <c r="BB535" s="1">
        <v>3</v>
      </c>
      <c r="BC535" s="1">
        <v>3</v>
      </c>
    </row>
    <row r="536" spans="1:55">
      <c r="A536" s="1" t="s">
        <v>869</v>
      </c>
      <c r="B536" s="1" t="s">
        <v>489</v>
      </c>
      <c r="C536" s="1" t="s">
        <v>868</v>
      </c>
      <c r="D536" s="1">
        <v>3</v>
      </c>
      <c r="E536" s="1">
        <v>4</v>
      </c>
      <c r="F536" s="1">
        <v>3</v>
      </c>
      <c r="G536" s="1">
        <v>3</v>
      </c>
      <c r="H536" s="1">
        <v>3</v>
      </c>
      <c r="I536" s="1">
        <v>3</v>
      </c>
      <c r="J536" s="1">
        <v>3</v>
      </c>
      <c r="K536" s="1">
        <v>3</v>
      </c>
      <c r="L536" s="1">
        <v>3</v>
      </c>
      <c r="M536" s="1">
        <v>3</v>
      </c>
      <c r="N536" s="1">
        <v>3</v>
      </c>
      <c r="O536" s="1">
        <v>3</v>
      </c>
      <c r="P536" s="1">
        <v>2</v>
      </c>
      <c r="Q536" s="1">
        <v>3</v>
      </c>
      <c r="R536" s="1">
        <v>4</v>
      </c>
      <c r="S536" s="1">
        <v>4</v>
      </c>
      <c r="T536" s="1">
        <v>2</v>
      </c>
      <c r="U536" s="1">
        <v>3</v>
      </c>
      <c r="V536" s="1">
        <v>2</v>
      </c>
      <c r="W536" s="1">
        <v>4</v>
      </c>
      <c r="X536" s="1">
        <v>4</v>
      </c>
      <c r="Y536" s="1">
        <v>4</v>
      </c>
      <c r="Z536" s="1">
        <v>2</v>
      </c>
      <c r="AA536" s="1">
        <v>3</v>
      </c>
      <c r="AB536" s="1">
        <v>3</v>
      </c>
      <c r="AC536" s="1">
        <v>3</v>
      </c>
      <c r="AD536" s="1">
        <v>3</v>
      </c>
      <c r="AE536" s="1">
        <v>4</v>
      </c>
      <c r="AF536" s="1">
        <v>2</v>
      </c>
      <c r="AG536" s="1">
        <v>3</v>
      </c>
      <c r="AH536" s="1">
        <v>3</v>
      </c>
      <c r="AI536" s="1">
        <v>4</v>
      </c>
      <c r="AJ536" s="1">
        <v>3</v>
      </c>
      <c r="AK536" s="1">
        <v>3</v>
      </c>
      <c r="AL536" s="1">
        <v>3</v>
      </c>
      <c r="AM536" s="1">
        <v>3</v>
      </c>
      <c r="AN536" s="1">
        <v>3</v>
      </c>
      <c r="AO536" s="1">
        <v>2</v>
      </c>
      <c r="AP536" s="1">
        <v>2</v>
      </c>
      <c r="AQ536" s="1">
        <v>3</v>
      </c>
      <c r="AR536" s="1">
        <v>3</v>
      </c>
      <c r="AS536" s="1">
        <v>5</v>
      </c>
      <c r="AT536" s="1">
        <v>4</v>
      </c>
      <c r="AU536" s="1">
        <v>3</v>
      </c>
      <c r="AV536" s="1">
        <v>3</v>
      </c>
      <c r="AW536" s="1">
        <v>3</v>
      </c>
      <c r="AX536" s="1">
        <v>5</v>
      </c>
      <c r="AY536" s="1">
        <v>4</v>
      </c>
      <c r="AZ536" s="1">
        <v>3</v>
      </c>
      <c r="BA536" s="1">
        <v>3</v>
      </c>
      <c r="BB536" s="1">
        <v>3</v>
      </c>
      <c r="BC536" s="1">
        <v>3</v>
      </c>
    </row>
    <row r="537" spans="1:55">
      <c r="A537" s="1" t="s">
        <v>870</v>
      </c>
      <c r="B537" s="1" t="s">
        <v>489</v>
      </c>
      <c r="C537" s="1" t="s">
        <v>871</v>
      </c>
      <c r="D537" s="1">
        <v>3</v>
      </c>
      <c r="E537" s="1">
        <v>2</v>
      </c>
      <c r="F537" s="1">
        <v>3</v>
      </c>
      <c r="G537" s="1">
        <v>3</v>
      </c>
      <c r="H537" s="1">
        <v>3</v>
      </c>
      <c r="I537" s="1">
        <v>3</v>
      </c>
      <c r="J537" s="1">
        <v>3</v>
      </c>
      <c r="K537" s="1">
        <v>5</v>
      </c>
      <c r="L537" s="1">
        <v>4</v>
      </c>
      <c r="M537" s="1">
        <v>3</v>
      </c>
      <c r="N537" s="1">
        <v>2</v>
      </c>
      <c r="O537" s="1">
        <v>3</v>
      </c>
      <c r="P537" s="1">
        <v>3</v>
      </c>
      <c r="Q537" s="1">
        <v>3</v>
      </c>
      <c r="R537" s="1">
        <v>3</v>
      </c>
      <c r="S537" s="1">
        <v>3</v>
      </c>
      <c r="T537" s="1">
        <v>3</v>
      </c>
      <c r="U537" s="1">
        <v>4</v>
      </c>
      <c r="V537" s="1">
        <v>3</v>
      </c>
      <c r="W537" s="1">
        <v>3</v>
      </c>
      <c r="X537" s="1">
        <v>3</v>
      </c>
      <c r="Y537" s="1">
        <v>3</v>
      </c>
      <c r="Z537" s="1">
        <v>3</v>
      </c>
      <c r="AA537" s="1">
        <v>3</v>
      </c>
      <c r="AB537" s="1">
        <v>3</v>
      </c>
      <c r="AC537" s="1">
        <v>3</v>
      </c>
      <c r="AD537" s="1">
        <v>3</v>
      </c>
      <c r="AE537" s="1">
        <v>3</v>
      </c>
      <c r="AF537" s="1">
        <v>3</v>
      </c>
      <c r="AG537" s="1">
        <v>4</v>
      </c>
      <c r="AH537" s="1">
        <v>3</v>
      </c>
      <c r="AI537" s="1">
        <v>2</v>
      </c>
      <c r="AJ537" s="1">
        <v>2</v>
      </c>
      <c r="AK537" s="1">
        <v>5</v>
      </c>
      <c r="AL537" s="1">
        <v>4</v>
      </c>
      <c r="AM537" s="1">
        <v>2</v>
      </c>
      <c r="AN537" s="1">
        <v>3</v>
      </c>
      <c r="AO537" s="1">
        <v>4</v>
      </c>
      <c r="AP537" s="1">
        <v>3</v>
      </c>
      <c r="AQ537" s="1">
        <v>4</v>
      </c>
      <c r="AR537" s="1">
        <v>3</v>
      </c>
      <c r="AS537" s="1">
        <v>3</v>
      </c>
      <c r="AT537" s="1">
        <v>2</v>
      </c>
      <c r="AU537" s="1">
        <v>4</v>
      </c>
      <c r="AV537" s="1">
        <v>3</v>
      </c>
      <c r="AW537" s="1">
        <v>4</v>
      </c>
      <c r="AX537" s="1">
        <v>3</v>
      </c>
      <c r="AY537" s="1">
        <v>5</v>
      </c>
      <c r="AZ537" s="1">
        <v>4</v>
      </c>
      <c r="BA537" s="1">
        <v>4</v>
      </c>
      <c r="BB537" s="1">
        <v>4</v>
      </c>
      <c r="BC537" s="1">
        <v>2</v>
      </c>
    </row>
    <row r="538" spans="1:55">
      <c r="A538" s="1" t="s">
        <v>872</v>
      </c>
      <c r="B538" s="1" t="s">
        <v>489</v>
      </c>
      <c r="C538" s="1" t="s">
        <v>871</v>
      </c>
      <c r="D538" s="1">
        <v>3</v>
      </c>
      <c r="E538" s="1">
        <v>3</v>
      </c>
      <c r="F538" s="1">
        <v>4</v>
      </c>
      <c r="G538" s="1">
        <v>2</v>
      </c>
      <c r="H538" s="1">
        <v>2</v>
      </c>
      <c r="I538" s="1">
        <v>2</v>
      </c>
      <c r="J538" s="1">
        <v>2</v>
      </c>
      <c r="K538" s="1">
        <v>3</v>
      </c>
      <c r="L538" s="1">
        <v>3</v>
      </c>
      <c r="M538" s="1">
        <v>3</v>
      </c>
      <c r="N538" s="1">
        <v>3</v>
      </c>
      <c r="O538" s="1">
        <v>3</v>
      </c>
      <c r="P538" s="1">
        <v>3</v>
      </c>
      <c r="Q538" s="1">
        <v>2</v>
      </c>
      <c r="R538" s="1">
        <v>2</v>
      </c>
      <c r="S538" s="1">
        <v>3</v>
      </c>
      <c r="T538" s="1">
        <v>3</v>
      </c>
      <c r="U538" s="1">
        <v>2</v>
      </c>
      <c r="V538" s="1">
        <v>2</v>
      </c>
      <c r="W538" s="1">
        <v>3</v>
      </c>
      <c r="X538" s="1">
        <v>4</v>
      </c>
      <c r="Y538" s="1">
        <v>4</v>
      </c>
      <c r="Z538" s="1">
        <v>3</v>
      </c>
      <c r="AA538" s="1">
        <v>3</v>
      </c>
      <c r="AB538" s="1">
        <v>2</v>
      </c>
      <c r="AC538" s="1">
        <v>5</v>
      </c>
      <c r="AD538" s="1">
        <v>2</v>
      </c>
      <c r="AE538" s="1">
        <v>3</v>
      </c>
      <c r="AF538" s="1">
        <v>3</v>
      </c>
      <c r="AG538" s="1">
        <v>3</v>
      </c>
      <c r="AH538" s="1">
        <v>3</v>
      </c>
      <c r="AI538" s="1">
        <v>3</v>
      </c>
      <c r="AJ538" s="1">
        <v>2</v>
      </c>
      <c r="AK538" s="1">
        <v>3</v>
      </c>
      <c r="AL538" s="1">
        <v>3</v>
      </c>
      <c r="AM538" s="1">
        <v>2</v>
      </c>
      <c r="AN538" s="1">
        <v>2</v>
      </c>
      <c r="AO538" s="1">
        <v>3</v>
      </c>
      <c r="AP538" s="1">
        <v>3</v>
      </c>
      <c r="AQ538" s="1">
        <v>2</v>
      </c>
      <c r="AR538" s="1">
        <v>3</v>
      </c>
      <c r="AS538" s="1">
        <v>2</v>
      </c>
      <c r="AT538" s="1">
        <v>3</v>
      </c>
      <c r="AU538" s="1">
        <v>4</v>
      </c>
      <c r="AV538" s="1">
        <v>1</v>
      </c>
      <c r="AW538" s="1">
        <v>3</v>
      </c>
      <c r="AX538" s="1">
        <v>3</v>
      </c>
      <c r="AY538" s="1">
        <v>3</v>
      </c>
      <c r="AZ538" s="1">
        <v>2</v>
      </c>
      <c r="BA538" s="1">
        <v>3</v>
      </c>
      <c r="BB538" s="1">
        <v>2</v>
      </c>
      <c r="BC538" s="1">
        <v>4</v>
      </c>
    </row>
    <row r="539" spans="1:55">
      <c r="A539" s="1" t="s">
        <v>873</v>
      </c>
      <c r="B539" s="1" t="s">
        <v>489</v>
      </c>
      <c r="C539" s="1" t="s">
        <v>874</v>
      </c>
      <c r="D539" s="1">
        <v>3</v>
      </c>
      <c r="E539" s="1">
        <v>4</v>
      </c>
      <c r="F539" s="1">
        <v>2</v>
      </c>
      <c r="G539" s="1">
        <v>2</v>
      </c>
      <c r="H539" s="1">
        <v>3</v>
      </c>
      <c r="I539" s="1">
        <v>3</v>
      </c>
      <c r="J539" s="1">
        <v>3</v>
      </c>
      <c r="K539" s="1">
        <v>3</v>
      </c>
      <c r="L539" s="1">
        <v>4</v>
      </c>
      <c r="M539" s="1">
        <v>3</v>
      </c>
      <c r="N539" s="1">
        <v>2</v>
      </c>
      <c r="O539" s="1">
        <v>4</v>
      </c>
      <c r="P539" s="1">
        <v>4</v>
      </c>
      <c r="Q539" s="1">
        <v>3</v>
      </c>
      <c r="R539" s="1">
        <v>5</v>
      </c>
      <c r="S539" s="1">
        <v>3</v>
      </c>
      <c r="T539" s="1">
        <v>3</v>
      </c>
      <c r="U539" s="1">
        <v>4</v>
      </c>
      <c r="V539" s="1">
        <v>3</v>
      </c>
      <c r="W539" s="1">
        <v>2</v>
      </c>
      <c r="X539" s="1">
        <v>3</v>
      </c>
      <c r="Y539" s="1">
        <v>3</v>
      </c>
      <c r="Z539" s="1">
        <v>3</v>
      </c>
      <c r="AA539" s="1">
        <v>3</v>
      </c>
      <c r="AB539" s="1">
        <v>4</v>
      </c>
      <c r="AC539" s="1">
        <v>4</v>
      </c>
      <c r="AD539" s="1">
        <v>3</v>
      </c>
      <c r="AE539" s="1">
        <v>3</v>
      </c>
      <c r="AF539" s="1">
        <v>3</v>
      </c>
      <c r="AG539" s="1">
        <v>3</v>
      </c>
      <c r="AH539" s="1">
        <v>3</v>
      </c>
      <c r="AI539" s="1">
        <v>2</v>
      </c>
      <c r="AJ539" s="1">
        <v>2</v>
      </c>
      <c r="AK539" s="1">
        <v>2</v>
      </c>
      <c r="AL539" s="1">
        <v>2</v>
      </c>
      <c r="AM539" s="1">
        <v>4</v>
      </c>
      <c r="AN539" s="1">
        <v>2</v>
      </c>
      <c r="AO539" s="1">
        <v>3</v>
      </c>
      <c r="AP539" s="1">
        <v>2</v>
      </c>
      <c r="AQ539" s="1">
        <v>2</v>
      </c>
      <c r="AR539" s="1">
        <v>3</v>
      </c>
      <c r="AS539" s="1">
        <v>3</v>
      </c>
      <c r="AT539" s="1">
        <v>4</v>
      </c>
      <c r="AU539" s="1">
        <v>5</v>
      </c>
      <c r="AV539" s="1">
        <v>2</v>
      </c>
      <c r="AW539" s="1">
        <v>3</v>
      </c>
      <c r="AX539" s="1">
        <v>4</v>
      </c>
      <c r="AY539" s="1">
        <v>3</v>
      </c>
      <c r="AZ539" s="1">
        <v>3</v>
      </c>
      <c r="BA539" s="1">
        <v>4</v>
      </c>
      <c r="BB539" s="1">
        <v>3</v>
      </c>
      <c r="BC539" s="1">
        <v>3</v>
      </c>
    </row>
    <row r="540" spans="1:55">
      <c r="A540" s="1" t="s">
        <v>875</v>
      </c>
      <c r="B540" s="1" t="s">
        <v>489</v>
      </c>
      <c r="C540" s="1" t="s">
        <v>874</v>
      </c>
      <c r="D540" s="1">
        <v>3</v>
      </c>
      <c r="E540" s="1">
        <v>3</v>
      </c>
      <c r="F540" s="1">
        <v>1</v>
      </c>
      <c r="G540" s="1">
        <v>3</v>
      </c>
      <c r="H540" s="1">
        <v>2</v>
      </c>
      <c r="I540" s="1">
        <v>3</v>
      </c>
      <c r="J540" s="1">
        <v>1</v>
      </c>
      <c r="K540" s="1">
        <v>2</v>
      </c>
      <c r="L540" s="1">
        <v>3</v>
      </c>
      <c r="M540" s="1">
        <v>4</v>
      </c>
      <c r="N540" s="1">
        <v>2</v>
      </c>
      <c r="O540" s="1">
        <v>3</v>
      </c>
      <c r="P540" s="1">
        <v>3</v>
      </c>
      <c r="Q540" s="1">
        <v>2</v>
      </c>
      <c r="R540" s="1">
        <v>3</v>
      </c>
      <c r="S540" s="1">
        <v>4</v>
      </c>
      <c r="T540" s="1">
        <v>3</v>
      </c>
      <c r="U540" s="1">
        <v>4</v>
      </c>
      <c r="V540" s="1">
        <v>1</v>
      </c>
      <c r="W540" s="1">
        <v>3</v>
      </c>
      <c r="X540" s="1">
        <v>4</v>
      </c>
      <c r="Y540" s="1">
        <v>3</v>
      </c>
      <c r="Z540" s="1">
        <v>3</v>
      </c>
      <c r="AA540" s="1">
        <v>3</v>
      </c>
      <c r="AB540" s="1">
        <v>3</v>
      </c>
      <c r="AC540" s="1">
        <v>3</v>
      </c>
      <c r="AD540" s="1">
        <v>3</v>
      </c>
      <c r="AE540" s="1">
        <v>3</v>
      </c>
      <c r="AF540" s="1">
        <v>1</v>
      </c>
      <c r="AG540" s="1">
        <v>2</v>
      </c>
      <c r="AH540" s="1">
        <v>1</v>
      </c>
      <c r="AI540" s="1">
        <v>1</v>
      </c>
      <c r="AJ540" s="1">
        <v>2</v>
      </c>
      <c r="AK540" s="1">
        <v>3</v>
      </c>
      <c r="AL540" s="1">
        <v>4</v>
      </c>
      <c r="AM540" s="1">
        <v>3</v>
      </c>
      <c r="AN540" s="1">
        <v>1</v>
      </c>
      <c r="AO540" s="1">
        <v>4</v>
      </c>
      <c r="AP540" s="1">
        <v>4</v>
      </c>
      <c r="AQ540" s="1">
        <v>3</v>
      </c>
      <c r="AR540" s="1">
        <v>3</v>
      </c>
      <c r="AS540" s="1">
        <v>2</v>
      </c>
      <c r="AT540" s="1">
        <v>4</v>
      </c>
      <c r="AU540" s="1">
        <v>4</v>
      </c>
      <c r="AV540" s="1">
        <v>1</v>
      </c>
      <c r="AW540" s="1">
        <v>3</v>
      </c>
      <c r="AX540" s="1">
        <v>3</v>
      </c>
      <c r="AY540" s="1">
        <v>4</v>
      </c>
      <c r="AZ540" s="1">
        <v>4</v>
      </c>
      <c r="BA540" s="1">
        <v>3</v>
      </c>
      <c r="BB540" s="1">
        <v>4</v>
      </c>
      <c r="BC540" s="1">
        <v>4</v>
      </c>
    </row>
    <row r="541" spans="1:55">
      <c r="A541" s="1" t="s">
        <v>876</v>
      </c>
      <c r="B541" s="1" t="s">
        <v>489</v>
      </c>
      <c r="C541" s="1" t="s">
        <v>877</v>
      </c>
      <c r="D541" s="1">
        <v>3</v>
      </c>
      <c r="E541" s="1">
        <v>3</v>
      </c>
      <c r="F541" s="1">
        <v>3</v>
      </c>
      <c r="G541" s="1">
        <v>4</v>
      </c>
      <c r="H541" s="1">
        <v>2</v>
      </c>
      <c r="I541" s="1">
        <v>3</v>
      </c>
      <c r="J541" s="1">
        <v>3</v>
      </c>
      <c r="K541" s="1">
        <v>3</v>
      </c>
      <c r="L541" s="1">
        <v>3</v>
      </c>
      <c r="M541" s="1">
        <v>2</v>
      </c>
      <c r="N541" s="1">
        <v>3</v>
      </c>
      <c r="O541" s="1">
        <v>3</v>
      </c>
      <c r="P541" s="1">
        <v>4</v>
      </c>
      <c r="Q541" s="1">
        <v>3</v>
      </c>
      <c r="R541" s="1">
        <v>3</v>
      </c>
      <c r="S541" s="1">
        <v>3</v>
      </c>
      <c r="T541" s="1">
        <v>2</v>
      </c>
      <c r="U541" s="1">
        <v>3</v>
      </c>
      <c r="V541" s="1">
        <v>2</v>
      </c>
      <c r="W541" s="1">
        <v>3</v>
      </c>
      <c r="X541" s="1">
        <v>3</v>
      </c>
      <c r="Y541" s="1">
        <v>2</v>
      </c>
      <c r="Z541" s="1">
        <v>3</v>
      </c>
      <c r="AA541" s="1">
        <v>3</v>
      </c>
      <c r="AB541" s="1">
        <v>3</v>
      </c>
      <c r="AC541" s="1">
        <v>3</v>
      </c>
      <c r="AD541" s="1">
        <v>3</v>
      </c>
      <c r="AE541" s="1">
        <v>4</v>
      </c>
      <c r="AF541" s="1">
        <v>4</v>
      </c>
      <c r="AG541" s="1">
        <v>4</v>
      </c>
      <c r="AH541" s="1">
        <v>2</v>
      </c>
      <c r="AI541" s="1">
        <v>3</v>
      </c>
      <c r="AJ541" s="1">
        <v>2</v>
      </c>
      <c r="AK541" s="1">
        <v>3</v>
      </c>
      <c r="AL541" s="1">
        <v>4</v>
      </c>
      <c r="AM541" s="1">
        <v>2</v>
      </c>
      <c r="AN541" s="1">
        <v>1</v>
      </c>
      <c r="AO541" s="1">
        <v>3</v>
      </c>
      <c r="AP541" s="1">
        <v>3</v>
      </c>
      <c r="AQ541" s="1">
        <v>4</v>
      </c>
      <c r="AR541" s="1">
        <v>3</v>
      </c>
      <c r="AS541" s="1">
        <v>3</v>
      </c>
      <c r="AT541" s="1">
        <v>2</v>
      </c>
      <c r="AU541" s="1">
        <v>3</v>
      </c>
      <c r="AV541" s="1">
        <v>2</v>
      </c>
      <c r="AW541" s="1">
        <v>3</v>
      </c>
      <c r="AX541" s="1">
        <v>2</v>
      </c>
      <c r="AY541" s="1">
        <v>2</v>
      </c>
      <c r="AZ541" s="1">
        <v>3</v>
      </c>
      <c r="BA541" s="1">
        <v>2</v>
      </c>
      <c r="BB541" s="1">
        <v>3</v>
      </c>
      <c r="BC541" s="1">
        <v>4</v>
      </c>
    </row>
    <row r="542" spans="1:55">
      <c r="A542" s="1" t="s">
        <v>878</v>
      </c>
      <c r="B542" s="1" t="s">
        <v>489</v>
      </c>
      <c r="C542" s="1" t="s">
        <v>877</v>
      </c>
      <c r="D542" s="1">
        <v>3</v>
      </c>
      <c r="E542" s="1">
        <v>2</v>
      </c>
      <c r="F542" s="1">
        <v>3</v>
      </c>
      <c r="G542" s="1">
        <v>3</v>
      </c>
      <c r="H542" s="1">
        <v>3</v>
      </c>
      <c r="I542" s="1">
        <v>3</v>
      </c>
      <c r="J542" s="1">
        <v>3</v>
      </c>
      <c r="K542" s="1">
        <v>2</v>
      </c>
      <c r="L542" s="1">
        <v>2</v>
      </c>
      <c r="M542" s="1">
        <v>2</v>
      </c>
      <c r="N542" s="1">
        <v>2</v>
      </c>
      <c r="O542" s="1">
        <v>3</v>
      </c>
      <c r="P542" s="1">
        <v>4</v>
      </c>
      <c r="Q542" s="1">
        <v>3</v>
      </c>
      <c r="R542" s="1">
        <v>2</v>
      </c>
      <c r="S542" s="1">
        <v>2</v>
      </c>
      <c r="T542" s="1">
        <v>3</v>
      </c>
      <c r="U542" s="1">
        <v>4</v>
      </c>
      <c r="V542" s="1">
        <v>3</v>
      </c>
      <c r="W542" s="1">
        <v>2</v>
      </c>
      <c r="X542" s="1">
        <v>3</v>
      </c>
      <c r="Y542" s="1">
        <v>3</v>
      </c>
      <c r="Z542" s="1">
        <v>2</v>
      </c>
      <c r="AA542" s="1">
        <v>3</v>
      </c>
      <c r="AB542" s="1">
        <v>3</v>
      </c>
      <c r="AC542" s="1">
        <v>3</v>
      </c>
      <c r="AD542" s="1">
        <v>3</v>
      </c>
      <c r="AE542" s="1">
        <v>3</v>
      </c>
      <c r="AF542" s="1">
        <v>3</v>
      </c>
      <c r="AG542" s="1">
        <v>4</v>
      </c>
      <c r="AH542" s="1">
        <v>3</v>
      </c>
      <c r="AI542" s="1">
        <v>3</v>
      </c>
      <c r="AJ542" s="1">
        <v>3</v>
      </c>
      <c r="AK542" s="1">
        <v>3</v>
      </c>
      <c r="AL542" s="1">
        <v>3</v>
      </c>
      <c r="AM542" s="1">
        <v>3</v>
      </c>
      <c r="AN542" s="1">
        <v>3</v>
      </c>
      <c r="AO542" s="1">
        <v>4</v>
      </c>
      <c r="AP542" s="1">
        <v>2</v>
      </c>
      <c r="AQ542" s="1">
        <v>4</v>
      </c>
      <c r="AR542" s="1">
        <v>3</v>
      </c>
      <c r="AS542" s="1">
        <v>4</v>
      </c>
      <c r="AT542" s="1">
        <v>3</v>
      </c>
      <c r="AU542" s="1">
        <v>2</v>
      </c>
      <c r="AV542" s="1">
        <v>3</v>
      </c>
      <c r="AW542" s="1">
        <v>2</v>
      </c>
      <c r="AX542" s="1">
        <v>3</v>
      </c>
      <c r="AY542" s="1">
        <v>3</v>
      </c>
      <c r="AZ542" s="1">
        <v>3</v>
      </c>
      <c r="BA542" s="1">
        <v>2</v>
      </c>
      <c r="BB542" s="1">
        <v>2</v>
      </c>
      <c r="BC542" s="1">
        <v>3</v>
      </c>
    </row>
    <row r="543" spans="1:55">
      <c r="A543" s="1" t="s">
        <v>879</v>
      </c>
      <c r="B543" s="1" t="s">
        <v>489</v>
      </c>
      <c r="C543" s="1" t="s">
        <v>880</v>
      </c>
      <c r="D543" s="1">
        <v>2</v>
      </c>
      <c r="E543" s="1">
        <v>3</v>
      </c>
      <c r="F543" s="1">
        <v>4</v>
      </c>
      <c r="G543" s="1">
        <v>4</v>
      </c>
      <c r="H543" s="1">
        <v>2</v>
      </c>
      <c r="I543" s="1">
        <v>2</v>
      </c>
      <c r="J543" s="1">
        <v>2</v>
      </c>
      <c r="K543" s="1">
        <v>4</v>
      </c>
      <c r="L543" s="1">
        <v>3</v>
      </c>
      <c r="M543" s="1">
        <v>3</v>
      </c>
      <c r="N543" s="1">
        <v>3</v>
      </c>
      <c r="O543" s="1">
        <v>3</v>
      </c>
      <c r="P543" s="1">
        <v>3</v>
      </c>
      <c r="Q543" s="1">
        <v>3</v>
      </c>
      <c r="R543" s="1">
        <v>2</v>
      </c>
      <c r="S543" s="1">
        <v>2</v>
      </c>
      <c r="T543" s="1">
        <v>2</v>
      </c>
      <c r="U543" s="1">
        <v>3</v>
      </c>
      <c r="V543" s="1">
        <v>2</v>
      </c>
      <c r="W543" s="1">
        <v>3</v>
      </c>
      <c r="X543" s="1">
        <v>4</v>
      </c>
      <c r="Y543" s="1">
        <v>2</v>
      </c>
      <c r="Z543" s="1">
        <v>4</v>
      </c>
      <c r="AA543" s="1">
        <v>4</v>
      </c>
      <c r="AB543" s="1">
        <v>3</v>
      </c>
      <c r="AC543" s="1">
        <v>3</v>
      </c>
      <c r="AD543" s="1">
        <v>2</v>
      </c>
      <c r="AE543" s="1">
        <v>3</v>
      </c>
      <c r="AF543" s="1">
        <v>3</v>
      </c>
      <c r="AG543" s="1">
        <v>3</v>
      </c>
      <c r="AH543" s="1">
        <v>2</v>
      </c>
      <c r="AI543" s="1">
        <v>3</v>
      </c>
      <c r="AJ543" s="1">
        <v>1</v>
      </c>
      <c r="AK543" s="1">
        <v>3</v>
      </c>
      <c r="AL543" s="1">
        <v>3</v>
      </c>
      <c r="AM543" s="1">
        <v>2</v>
      </c>
      <c r="AN543" s="1">
        <v>3</v>
      </c>
      <c r="AO543" s="1">
        <v>3</v>
      </c>
      <c r="AP543" s="1">
        <v>3</v>
      </c>
      <c r="AQ543" s="1">
        <v>3</v>
      </c>
      <c r="AR543" s="1">
        <v>2</v>
      </c>
      <c r="AS543" s="1">
        <v>2</v>
      </c>
      <c r="AT543" s="1">
        <v>3</v>
      </c>
      <c r="AU543" s="1">
        <v>2</v>
      </c>
      <c r="AV543" s="1">
        <v>2</v>
      </c>
      <c r="AW543" s="1">
        <v>3</v>
      </c>
      <c r="AX543" s="1">
        <v>3</v>
      </c>
      <c r="AY543" s="1">
        <v>3</v>
      </c>
      <c r="AZ543" s="1">
        <v>4</v>
      </c>
      <c r="BA543" s="1">
        <v>4</v>
      </c>
      <c r="BB543" s="1">
        <v>4</v>
      </c>
      <c r="BC543" s="1">
        <v>4</v>
      </c>
    </row>
    <row r="544" spans="1:55">
      <c r="A544" s="1" t="s">
        <v>881</v>
      </c>
      <c r="B544" s="1" t="s">
        <v>489</v>
      </c>
      <c r="C544" s="1" t="s">
        <v>880</v>
      </c>
      <c r="D544" s="1">
        <v>3</v>
      </c>
      <c r="E544" s="1">
        <v>4</v>
      </c>
      <c r="F544" s="1">
        <v>3</v>
      </c>
      <c r="G544" s="1">
        <v>3</v>
      </c>
      <c r="H544" s="1">
        <v>4</v>
      </c>
      <c r="I544" s="1">
        <v>4</v>
      </c>
      <c r="J544" s="1">
        <v>3</v>
      </c>
      <c r="K544" s="1">
        <v>4</v>
      </c>
      <c r="L544" s="1">
        <v>4</v>
      </c>
      <c r="M544" s="1">
        <v>4</v>
      </c>
      <c r="N544" s="1">
        <v>3</v>
      </c>
      <c r="O544" s="1">
        <v>4</v>
      </c>
      <c r="P544" s="1">
        <v>3</v>
      </c>
      <c r="Q544" s="1">
        <v>3</v>
      </c>
      <c r="R544" s="1">
        <v>3</v>
      </c>
      <c r="S544" s="1">
        <v>3</v>
      </c>
      <c r="T544" s="1">
        <v>4</v>
      </c>
      <c r="U544" s="1">
        <v>3</v>
      </c>
      <c r="V544" s="1">
        <v>4</v>
      </c>
      <c r="W544" s="1">
        <v>3</v>
      </c>
      <c r="X544" s="1">
        <v>2</v>
      </c>
      <c r="Y544" s="1">
        <v>4</v>
      </c>
      <c r="Z544" s="1">
        <v>3</v>
      </c>
      <c r="AA544" s="1">
        <v>4</v>
      </c>
      <c r="AB544" s="1">
        <v>3</v>
      </c>
      <c r="AC544" s="1">
        <v>2</v>
      </c>
      <c r="AD544" s="1">
        <v>3</v>
      </c>
      <c r="AE544" s="1">
        <v>4</v>
      </c>
      <c r="AF544" s="1">
        <v>3</v>
      </c>
      <c r="AG544" s="1">
        <v>3</v>
      </c>
      <c r="AH544" s="1">
        <v>3</v>
      </c>
      <c r="AI544" s="1">
        <v>3</v>
      </c>
      <c r="AJ544" s="1">
        <v>4</v>
      </c>
      <c r="AK544" s="1">
        <v>4</v>
      </c>
      <c r="AL544" s="1">
        <v>4</v>
      </c>
      <c r="AM544" s="1">
        <v>3</v>
      </c>
      <c r="AN544" s="1">
        <v>4</v>
      </c>
      <c r="AO544" s="1">
        <v>3</v>
      </c>
      <c r="AP544" s="1">
        <v>4</v>
      </c>
      <c r="AQ544" s="1">
        <v>3</v>
      </c>
      <c r="AR544" s="1">
        <v>4</v>
      </c>
      <c r="AS544" s="1">
        <v>3</v>
      </c>
      <c r="AT544" s="1">
        <v>3</v>
      </c>
      <c r="AU544" s="1">
        <v>4</v>
      </c>
      <c r="AV544" s="1">
        <v>4</v>
      </c>
      <c r="AW544" s="1">
        <v>3</v>
      </c>
      <c r="AX544" s="1">
        <v>3</v>
      </c>
      <c r="AY544" s="1">
        <v>3</v>
      </c>
      <c r="AZ544" s="1">
        <v>3</v>
      </c>
      <c r="BA544" s="1">
        <v>3</v>
      </c>
      <c r="BB544" s="1">
        <v>3</v>
      </c>
      <c r="BC544" s="1">
        <v>2</v>
      </c>
    </row>
    <row r="545" spans="1:55">
      <c r="A545" s="1" t="s">
        <v>882</v>
      </c>
      <c r="B545" s="1" t="s">
        <v>489</v>
      </c>
      <c r="C545" s="1" t="s">
        <v>883</v>
      </c>
      <c r="D545" s="1">
        <v>3</v>
      </c>
      <c r="E545" s="1">
        <v>3</v>
      </c>
      <c r="F545" s="1">
        <v>3</v>
      </c>
      <c r="G545" s="1">
        <v>3</v>
      </c>
      <c r="H545" s="1">
        <v>4</v>
      </c>
      <c r="I545" s="1">
        <v>3</v>
      </c>
      <c r="J545" s="1">
        <v>5</v>
      </c>
      <c r="K545" s="1">
        <v>4</v>
      </c>
      <c r="L545" s="1">
        <v>2</v>
      </c>
      <c r="M545" s="1">
        <v>2</v>
      </c>
      <c r="N545" s="1">
        <v>4</v>
      </c>
      <c r="O545" s="1">
        <v>3</v>
      </c>
      <c r="P545" s="1">
        <v>3</v>
      </c>
      <c r="Q545" s="1">
        <v>3</v>
      </c>
      <c r="R545" s="1">
        <v>4</v>
      </c>
      <c r="S545" s="1">
        <v>2</v>
      </c>
      <c r="T545" s="1">
        <v>3</v>
      </c>
      <c r="U545" s="1">
        <v>3</v>
      </c>
      <c r="V545" s="1">
        <v>3</v>
      </c>
      <c r="W545" s="1">
        <v>3</v>
      </c>
      <c r="X545" s="1">
        <v>3</v>
      </c>
      <c r="Y545" s="1">
        <v>3</v>
      </c>
      <c r="Z545" s="1">
        <v>2</v>
      </c>
      <c r="AA545" s="1">
        <v>3</v>
      </c>
      <c r="AB545" s="1">
        <v>2</v>
      </c>
      <c r="AC545" s="1">
        <v>1</v>
      </c>
      <c r="AD545" s="1">
        <v>4</v>
      </c>
      <c r="AE545" s="1">
        <v>3</v>
      </c>
      <c r="AF545" s="1">
        <v>3</v>
      </c>
      <c r="AG545" s="1">
        <v>3</v>
      </c>
      <c r="AH545" s="1">
        <v>5</v>
      </c>
      <c r="AI545" s="1">
        <v>4</v>
      </c>
      <c r="AJ545" s="1">
        <v>3</v>
      </c>
      <c r="AK545" s="1">
        <v>4</v>
      </c>
      <c r="AL545" s="1">
        <v>3</v>
      </c>
      <c r="AM545" s="1">
        <v>4</v>
      </c>
      <c r="AN545" s="1">
        <v>3</v>
      </c>
      <c r="AO545" s="1">
        <v>3</v>
      </c>
      <c r="AP545" s="1">
        <v>3</v>
      </c>
      <c r="AQ545" s="1">
        <v>3</v>
      </c>
      <c r="AR545" s="1">
        <v>3</v>
      </c>
      <c r="AS545" s="1">
        <v>4</v>
      </c>
      <c r="AT545" s="1">
        <v>3</v>
      </c>
      <c r="AU545" s="1">
        <v>4</v>
      </c>
      <c r="AV545" s="1">
        <v>4</v>
      </c>
      <c r="AW545" s="1">
        <v>3</v>
      </c>
      <c r="AX545" s="1">
        <v>3</v>
      </c>
      <c r="AY545" s="1">
        <v>3</v>
      </c>
      <c r="AZ545" s="1">
        <v>3</v>
      </c>
      <c r="BA545" s="1">
        <v>2</v>
      </c>
      <c r="BB545" s="1">
        <v>2</v>
      </c>
      <c r="BC545" s="1">
        <v>2</v>
      </c>
    </row>
    <row r="546" spans="1:55">
      <c r="A546" s="1" t="s">
        <v>884</v>
      </c>
      <c r="B546" s="1" t="s">
        <v>489</v>
      </c>
      <c r="C546" s="1" t="s">
        <v>883</v>
      </c>
      <c r="D546" s="1">
        <v>2</v>
      </c>
      <c r="E546" s="1">
        <v>3</v>
      </c>
      <c r="F546" s="1">
        <v>4</v>
      </c>
      <c r="G546" s="1">
        <v>3</v>
      </c>
      <c r="H546" s="1">
        <v>3</v>
      </c>
      <c r="I546" s="1">
        <v>3</v>
      </c>
      <c r="J546" s="1">
        <v>3</v>
      </c>
      <c r="K546" s="1">
        <v>3</v>
      </c>
      <c r="L546" s="1">
        <v>3</v>
      </c>
      <c r="M546" s="1">
        <v>3</v>
      </c>
      <c r="N546" s="1">
        <v>2</v>
      </c>
      <c r="O546" s="1">
        <v>4</v>
      </c>
      <c r="P546" s="1">
        <v>3</v>
      </c>
      <c r="Q546" s="1">
        <v>3</v>
      </c>
      <c r="R546" s="1">
        <v>3</v>
      </c>
      <c r="S546" s="1">
        <v>3</v>
      </c>
      <c r="T546" s="1">
        <v>4</v>
      </c>
      <c r="U546" s="1">
        <v>3</v>
      </c>
      <c r="V546" s="1">
        <v>4</v>
      </c>
      <c r="W546" s="1">
        <v>2</v>
      </c>
      <c r="X546" s="1">
        <v>3</v>
      </c>
      <c r="Y546" s="1">
        <v>2</v>
      </c>
      <c r="Z546" s="1">
        <v>4</v>
      </c>
      <c r="AA546" s="1">
        <v>3</v>
      </c>
      <c r="AB546" s="1">
        <v>3</v>
      </c>
      <c r="AC546" s="1">
        <v>3</v>
      </c>
      <c r="AD546" s="1">
        <v>3</v>
      </c>
      <c r="AE546" s="1">
        <v>3</v>
      </c>
      <c r="AF546" s="1">
        <v>3</v>
      </c>
      <c r="AG546" s="1">
        <v>2</v>
      </c>
      <c r="AH546" s="1">
        <v>4</v>
      </c>
      <c r="AI546" s="1">
        <v>3</v>
      </c>
      <c r="AJ546" s="1">
        <v>4</v>
      </c>
      <c r="AK546" s="1">
        <v>4</v>
      </c>
      <c r="AL546" s="1">
        <v>4</v>
      </c>
      <c r="AM546" s="1">
        <v>4</v>
      </c>
      <c r="AN546" s="1">
        <v>4</v>
      </c>
      <c r="AO546" s="1">
        <v>3</v>
      </c>
      <c r="AP546" s="1">
        <v>4</v>
      </c>
      <c r="AQ546" s="1">
        <v>4</v>
      </c>
      <c r="AR546" s="1">
        <v>3</v>
      </c>
      <c r="AS546" s="1">
        <v>3</v>
      </c>
      <c r="AT546" s="1">
        <v>3</v>
      </c>
      <c r="AU546" s="1">
        <v>2</v>
      </c>
      <c r="AV546" s="1">
        <v>3</v>
      </c>
      <c r="AW546" s="1">
        <v>2</v>
      </c>
      <c r="AX546" s="1">
        <v>2</v>
      </c>
      <c r="AY546" s="1">
        <v>2</v>
      </c>
      <c r="AZ546" s="1">
        <v>4</v>
      </c>
      <c r="BA546" s="1">
        <v>4</v>
      </c>
      <c r="BB546" s="1">
        <v>5</v>
      </c>
      <c r="BC546" s="1">
        <v>3</v>
      </c>
    </row>
    <row r="547" spans="1:55">
      <c r="A547" s="1" t="s">
        <v>885</v>
      </c>
      <c r="B547" s="1" t="s">
        <v>489</v>
      </c>
      <c r="C547" s="1" t="s">
        <v>886</v>
      </c>
      <c r="D547" s="1">
        <v>3</v>
      </c>
      <c r="E547" s="1">
        <v>4</v>
      </c>
      <c r="F547" s="1">
        <v>2</v>
      </c>
      <c r="G547" s="1">
        <v>2</v>
      </c>
      <c r="H547" s="1">
        <v>3</v>
      </c>
      <c r="I547" s="1">
        <v>3</v>
      </c>
      <c r="J547" s="1">
        <v>2</v>
      </c>
      <c r="K547" s="1">
        <v>3</v>
      </c>
      <c r="L547" s="1">
        <v>2</v>
      </c>
      <c r="M547" s="1">
        <v>4</v>
      </c>
      <c r="N547" s="1">
        <v>3</v>
      </c>
      <c r="O547" s="1">
        <v>3</v>
      </c>
      <c r="P547" s="1">
        <v>3</v>
      </c>
      <c r="Q547" s="1">
        <v>3</v>
      </c>
      <c r="R547" s="1">
        <v>4</v>
      </c>
      <c r="S547" s="1">
        <v>3</v>
      </c>
      <c r="T547" s="1">
        <v>3</v>
      </c>
      <c r="U547" s="1">
        <v>3</v>
      </c>
      <c r="V547" s="1">
        <v>3</v>
      </c>
      <c r="W547" s="1">
        <v>3</v>
      </c>
      <c r="X547" s="1">
        <v>3</v>
      </c>
      <c r="Y547" s="1">
        <v>3</v>
      </c>
      <c r="Z547" s="1">
        <v>3</v>
      </c>
      <c r="AA547" s="1">
        <v>4</v>
      </c>
      <c r="AB547" s="1">
        <v>4</v>
      </c>
      <c r="AC547" s="1">
        <v>3</v>
      </c>
      <c r="AD547" s="1">
        <v>4</v>
      </c>
      <c r="AE547" s="1">
        <v>4</v>
      </c>
      <c r="AF547" s="1">
        <v>3</v>
      </c>
      <c r="AG547" s="1">
        <v>2</v>
      </c>
      <c r="AH547" s="1">
        <v>3</v>
      </c>
      <c r="AI547" s="1">
        <v>3</v>
      </c>
      <c r="AJ547" s="1">
        <v>3</v>
      </c>
      <c r="AK547" s="1">
        <v>3</v>
      </c>
      <c r="AL547" s="1">
        <v>2</v>
      </c>
      <c r="AM547" s="1">
        <v>4</v>
      </c>
      <c r="AN547" s="1">
        <v>3</v>
      </c>
      <c r="AO547" s="1">
        <v>3</v>
      </c>
      <c r="AP547" s="1">
        <v>3</v>
      </c>
      <c r="AQ547" s="1">
        <v>2</v>
      </c>
      <c r="AR547" s="1">
        <v>4</v>
      </c>
      <c r="AS547" s="1">
        <v>4</v>
      </c>
      <c r="AT547" s="1">
        <v>4</v>
      </c>
      <c r="AU547" s="1">
        <v>4</v>
      </c>
      <c r="AV547" s="1">
        <v>3</v>
      </c>
      <c r="AW547" s="1">
        <v>4</v>
      </c>
      <c r="AX547" s="1">
        <v>3</v>
      </c>
      <c r="AY547" s="1">
        <v>3</v>
      </c>
      <c r="AZ547" s="1">
        <v>3</v>
      </c>
      <c r="BA547" s="1">
        <v>3</v>
      </c>
      <c r="BB547" s="1">
        <v>3</v>
      </c>
      <c r="BC547" s="1">
        <v>3</v>
      </c>
    </row>
    <row r="548" spans="1:55">
      <c r="A548" s="1" t="s">
        <v>887</v>
      </c>
      <c r="B548" s="1" t="s">
        <v>489</v>
      </c>
      <c r="C548" s="1" t="s">
        <v>886</v>
      </c>
      <c r="D548" s="1">
        <v>3</v>
      </c>
      <c r="E548" s="1">
        <v>3</v>
      </c>
      <c r="F548" s="1">
        <v>3</v>
      </c>
      <c r="G548" s="1">
        <v>4</v>
      </c>
      <c r="H548" s="1">
        <v>3</v>
      </c>
      <c r="I548" s="1">
        <v>3</v>
      </c>
      <c r="J548" s="1">
        <v>2</v>
      </c>
      <c r="K548" s="1">
        <v>3</v>
      </c>
      <c r="L548" s="1">
        <v>2</v>
      </c>
      <c r="M548" s="1">
        <v>3</v>
      </c>
      <c r="N548" s="1">
        <v>3</v>
      </c>
      <c r="O548" s="1">
        <v>1</v>
      </c>
      <c r="P548" s="1">
        <v>4</v>
      </c>
      <c r="Q548" s="1">
        <v>3</v>
      </c>
      <c r="R548" s="1">
        <v>2</v>
      </c>
      <c r="S548" s="1">
        <v>3</v>
      </c>
      <c r="T548" s="1">
        <v>2</v>
      </c>
      <c r="U548" s="1">
        <v>2</v>
      </c>
      <c r="V548" s="1">
        <v>3</v>
      </c>
      <c r="W548" s="1">
        <v>2</v>
      </c>
      <c r="X548" s="1">
        <v>4</v>
      </c>
      <c r="Y548" s="1">
        <v>2</v>
      </c>
      <c r="Z548" s="1">
        <v>2</v>
      </c>
      <c r="AA548" s="1">
        <v>2</v>
      </c>
      <c r="AB548" s="1">
        <v>3</v>
      </c>
      <c r="AC548" s="1">
        <v>4</v>
      </c>
      <c r="AD548" s="1">
        <v>3</v>
      </c>
      <c r="AE548" s="1">
        <v>3</v>
      </c>
      <c r="AF548" s="1">
        <v>3</v>
      </c>
      <c r="AG548" s="1">
        <v>3</v>
      </c>
      <c r="AH548" s="1">
        <v>3</v>
      </c>
      <c r="AI548" s="1">
        <v>4</v>
      </c>
      <c r="AJ548" s="1">
        <v>2</v>
      </c>
      <c r="AK548" s="1">
        <v>3</v>
      </c>
      <c r="AL548" s="1">
        <v>3</v>
      </c>
      <c r="AM548" s="1">
        <v>3</v>
      </c>
      <c r="AN548" s="1">
        <v>4</v>
      </c>
      <c r="AO548" s="1">
        <v>3</v>
      </c>
      <c r="AP548" s="1">
        <v>4</v>
      </c>
      <c r="AQ548" s="1">
        <v>3</v>
      </c>
      <c r="AR548" s="1">
        <v>3</v>
      </c>
      <c r="AS548" s="1">
        <v>2</v>
      </c>
      <c r="AT548" s="1">
        <v>3</v>
      </c>
      <c r="AU548" s="1">
        <v>2</v>
      </c>
      <c r="AV548" s="1">
        <v>3</v>
      </c>
      <c r="AW548" s="1">
        <v>3</v>
      </c>
      <c r="AX548" s="1">
        <v>3</v>
      </c>
      <c r="AY548" s="1">
        <v>3</v>
      </c>
      <c r="AZ548" s="1">
        <v>3</v>
      </c>
      <c r="BA548" s="1">
        <v>3</v>
      </c>
      <c r="BB548" s="1">
        <v>2</v>
      </c>
      <c r="BC548" s="1">
        <v>2</v>
      </c>
    </row>
    <row r="549" spans="1:55">
      <c r="A549" s="1" t="s">
        <v>888</v>
      </c>
      <c r="B549" s="1" t="s">
        <v>489</v>
      </c>
      <c r="C549" s="1" t="s">
        <v>889</v>
      </c>
      <c r="D549" s="1">
        <v>3</v>
      </c>
      <c r="E549" s="1">
        <v>4</v>
      </c>
      <c r="F549" s="1">
        <v>3</v>
      </c>
      <c r="G549" s="1">
        <v>3</v>
      </c>
      <c r="H549" s="1">
        <v>3</v>
      </c>
      <c r="I549" s="1">
        <v>4</v>
      </c>
      <c r="J549" s="1">
        <v>5</v>
      </c>
      <c r="K549" s="1">
        <v>3</v>
      </c>
      <c r="L549" s="1">
        <v>3</v>
      </c>
      <c r="M549" s="1">
        <v>4</v>
      </c>
      <c r="N549" s="1">
        <v>3</v>
      </c>
      <c r="O549" s="1">
        <v>3</v>
      </c>
      <c r="P549" s="1">
        <v>3</v>
      </c>
      <c r="Q549" s="1">
        <v>3</v>
      </c>
      <c r="R549" s="1">
        <v>4</v>
      </c>
      <c r="S549" s="1">
        <v>3</v>
      </c>
      <c r="T549" s="1">
        <v>3</v>
      </c>
      <c r="U549" s="1">
        <v>4</v>
      </c>
      <c r="V549" s="1">
        <v>3</v>
      </c>
      <c r="W549" s="1">
        <v>3</v>
      </c>
      <c r="X549" s="1">
        <v>3</v>
      </c>
      <c r="Y549" s="1">
        <v>3</v>
      </c>
      <c r="Z549" s="1">
        <v>4</v>
      </c>
      <c r="AA549" s="1">
        <v>4</v>
      </c>
      <c r="AB549" s="1">
        <v>4</v>
      </c>
      <c r="AC549" s="1">
        <v>3</v>
      </c>
      <c r="AD549" s="1">
        <v>3</v>
      </c>
      <c r="AE549" s="1">
        <v>4</v>
      </c>
      <c r="AF549" s="1">
        <v>2</v>
      </c>
      <c r="AG549" s="1">
        <v>3</v>
      </c>
      <c r="AH549" s="1">
        <v>3</v>
      </c>
      <c r="AI549" s="1">
        <v>3</v>
      </c>
      <c r="AJ549" s="1">
        <v>4</v>
      </c>
      <c r="AK549" s="1">
        <v>4</v>
      </c>
      <c r="AL549" s="1">
        <v>5</v>
      </c>
      <c r="AM549" s="1">
        <v>3</v>
      </c>
      <c r="AN549" s="1">
        <v>4</v>
      </c>
      <c r="AO549" s="1">
        <v>4</v>
      </c>
      <c r="AP549" s="1">
        <v>3</v>
      </c>
      <c r="AQ549" s="1">
        <v>4</v>
      </c>
      <c r="AR549" s="1">
        <v>4</v>
      </c>
      <c r="AS549" s="1">
        <v>3</v>
      </c>
      <c r="AT549" s="1">
        <v>3</v>
      </c>
      <c r="AU549" s="1">
        <v>3</v>
      </c>
      <c r="AV549" s="1">
        <v>4</v>
      </c>
      <c r="AW549" s="1">
        <v>3</v>
      </c>
      <c r="AX549" s="1">
        <v>4</v>
      </c>
      <c r="AY549" s="1">
        <v>4</v>
      </c>
      <c r="AZ549" s="1">
        <v>4</v>
      </c>
      <c r="BA549" s="1">
        <v>3</v>
      </c>
      <c r="BB549" s="1">
        <v>3</v>
      </c>
      <c r="BC549" s="1">
        <v>1</v>
      </c>
    </row>
    <row r="550" spans="1:55">
      <c r="A550" s="1" t="s">
        <v>890</v>
      </c>
      <c r="B550" s="1" t="s">
        <v>489</v>
      </c>
      <c r="C550" s="1" t="s">
        <v>889</v>
      </c>
      <c r="D550" s="1">
        <v>3</v>
      </c>
      <c r="E550" s="1">
        <v>3</v>
      </c>
      <c r="F550" s="1">
        <v>2</v>
      </c>
      <c r="G550" s="1">
        <v>2</v>
      </c>
      <c r="H550" s="1">
        <v>3</v>
      </c>
      <c r="I550" s="1">
        <v>2</v>
      </c>
      <c r="J550" s="1">
        <v>2</v>
      </c>
      <c r="K550" s="1">
        <v>2</v>
      </c>
      <c r="L550" s="1">
        <v>3</v>
      </c>
      <c r="M550" s="1">
        <v>3</v>
      </c>
      <c r="N550" s="1">
        <v>3</v>
      </c>
      <c r="O550" s="1">
        <v>3</v>
      </c>
      <c r="P550" s="1">
        <v>3</v>
      </c>
      <c r="Q550" s="1">
        <v>2</v>
      </c>
      <c r="R550" s="1">
        <v>3</v>
      </c>
      <c r="S550" s="1">
        <v>3</v>
      </c>
      <c r="T550" s="1">
        <v>2</v>
      </c>
      <c r="U550" s="1">
        <v>3</v>
      </c>
      <c r="V550" s="1">
        <v>3</v>
      </c>
      <c r="W550" s="1">
        <v>3</v>
      </c>
      <c r="X550" s="1">
        <v>4</v>
      </c>
      <c r="Y550" s="1">
        <v>3</v>
      </c>
      <c r="Z550" s="1">
        <v>3</v>
      </c>
      <c r="AA550" s="1">
        <v>4</v>
      </c>
      <c r="AB550" s="1">
        <v>2</v>
      </c>
      <c r="AC550" s="1">
        <v>3</v>
      </c>
      <c r="AD550" s="1">
        <v>3</v>
      </c>
      <c r="AE550" s="1">
        <v>3</v>
      </c>
      <c r="AF550" s="1">
        <v>4</v>
      </c>
      <c r="AG550" s="1">
        <v>2</v>
      </c>
      <c r="AH550" s="1">
        <v>4</v>
      </c>
      <c r="AI550" s="1">
        <v>3</v>
      </c>
      <c r="AJ550" s="1">
        <v>4</v>
      </c>
      <c r="AK550" s="1">
        <v>3</v>
      </c>
      <c r="AL550" s="1">
        <v>3</v>
      </c>
      <c r="AM550" s="1">
        <v>3</v>
      </c>
      <c r="AN550" s="1">
        <v>3</v>
      </c>
      <c r="AO550" s="1">
        <v>3</v>
      </c>
      <c r="AP550" s="1">
        <v>3</v>
      </c>
      <c r="AQ550" s="1">
        <v>3</v>
      </c>
      <c r="AR550" s="1">
        <v>3</v>
      </c>
      <c r="AS550" s="1">
        <v>4</v>
      </c>
      <c r="AT550" s="1">
        <v>3</v>
      </c>
      <c r="AU550" s="1">
        <v>4</v>
      </c>
      <c r="AV550" s="1">
        <v>3</v>
      </c>
      <c r="AW550" s="1">
        <v>3</v>
      </c>
      <c r="AX550" s="1">
        <v>3</v>
      </c>
      <c r="AY550" s="1">
        <v>3</v>
      </c>
      <c r="AZ550" s="1">
        <v>2</v>
      </c>
      <c r="BA550" s="1">
        <v>2</v>
      </c>
      <c r="BB550" s="1">
        <v>1</v>
      </c>
      <c r="BC550" s="1">
        <v>3</v>
      </c>
    </row>
    <row r="551" spans="1:55">
      <c r="A551" s="1" t="s">
        <v>891</v>
      </c>
      <c r="B551" s="1" t="s">
        <v>489</v>
      </c>
      <c r="C551" s="1" t="s">
        <v>892</v>
      </c>
      <c r="D551" s="1">
        <v>4</v>
      </c>
      <c r="E551" s="1">
        <v>3</v>
      </c>
      <c r="F551" s="1">
        <v>3</v>
      </c>
      <c r="G551" s="1">
        <v>3</v>
      </c>
      <c r="H551" s="1">
        <v>3</v>
      </c>
      <c r="I551" s="1">
        <v>3</v>
      </c>
      <c r="J551" s="1">
        <v>3</v>
      </c>
      <c r="K551" s="1">
        <v>3</v>
      </c>
      <c r="L551" s="1">
        <v>3</v>
      </c>
      <c r="M551" s="1">
        <v>4</v>
      </c>
      <c r="N551" s="1">
        <v>4</v>
      </c>
      <c r="O551" s="1">
        <v>3</v>
      </c>
      <c r="P551" s="1">
        <v>3</v>
      </c>
      <c r="Q551" s="1">
        <v>2</v>
      </c>
      <c r="R551" s="1">
        <v>2</v>
      </c>
      <c r="S551" s="1">
        <v>3</v>
      </c>
      <c r="T551" s="1">
        <v>4</v>
      </c>
      <c r="U551" s="1">
        <v>3</v>
      </c>
      <c r="V551" s="1">
        <v>4</v>
      </c>
      <c r="W551" s="1">
        <v>4</v>
      </c>
      <c r="X551" s="1">
        <v>5</v>
      </c>
      <c r="Y551" s="1">
        <v>4</v>
      </c>
      <c r="Z551" s="1">
        <v>3</v>
      </c>
      <c r="AA551" s="1">
        <v>3</v>
      </c>
      <c r="AB551" s="1">
        <v>4</v>
      </c>
      <c r="AC551" s="1">
        <v>3</v>
      </c>
      <c r="AD551" s="1">
        <v>3</v>
      </c>
      <c r="AE551" s="1">
        <v>3</v>
      </c>
      <c r="AF551" s="1">
        <v>3</v>
      </c>
      <c r="AG551" s="1">
        <v>2</v>
      </c>
      <c r="AH551" s="1">
        <v>3</v>
      </c>
      <c r="AI551" s="1">
        <v>3</v>
      </c>
      <c r="AJ551" s="1">
        <v>2</v>
      </c>
      <c r="AK551" s="1">
        <v>3</v>
      </c>
      <c r="AL551" s="1">
        <v>4</v>
      </c>
      <c r="AM551" s="1">
        <v>2</v>
      </c>
      <c r="AN551" s="1">
        <v>4</v>
      </c>
      <c r="AO551" s="1">
        <v>2</v>
      </c>
      <c r="AP551" s="1">
        <v>3</v>
      </c>
      <c r="AQ551" s="1">
        <v>3</v>
      </c>
      <c r="AR551" s="1">
        <v>3</v>
      </c>
      <c r="AS551" s="1">
        <v>3</v>
      </c>
      <c r="AT551" s="1">
        <v>4</v>
      </c>
      <c r="AU551" s="1">
        <v>3</v>
      </c>
      <c r="AV551" s="1">
        <v>4</v>
      </c>
      <c r="AW551" s="1">
        <v>4</v>
      </c>
      <c r="AX551" s="1">
        <v>4</v>
      </c>
      <c r="AY551" s="1">
        <v>4</v>
      </c>
      <c r="AZ551" s="1">
        <v>3</v>
      </c>
      <c r="BA551" s="1">
        <v>2</v>
      </c>
      <c r="BB551" s="1">
        <v>2</v>
      </c>
      <c r="BC551" s="1">
        <v>3</v>
      </c>
    </row>
    <row r="552" spans="1:55">
      <c r="A552" s="1" t="s">
        <v>893</v>
      </c>
      <c r="B552" s="1" t="s">
        <v>489</v>
      </c>
      <c r="C552" s="1" t="s">
        <v>892</v>
      </c>
      <c r="D552" s="1">
        <v>2</v>
      </c>
      <c r="E552" s="1">
        <v>3</v>
      </c>
      <c r="F552" s="1">
        <v>3</v>
      </c>
      <c r="G552" s="1">
        <v>4</v>
      </c>
      <c r="H552" s="1">
        <v>4</v>
      </c>
      <c r="I552" s="1">
        <v>3</v>
      </c>
      <c r="J552" s="1">
        <v>2</v>
      </c>
      <c r="K552" s="1">
        <v>3</v>
      </c>
      <c r="L552" s="1">
        <v>2</v>
      </c>
      <c r="M552" s="1">
        <v>4</v>
      </c>
      <c r="N552" s="1">
        <v>3</v>
      </c>
      <c r="O552" s="1">
        <v>2</v>
      </c>
      <c r="P552" s="1">
        <v>1</v>
      </c>
      <c r="Q552" s="1">
        <v>2</v>
      </c>
      <c r="R552" s="1">
        <v>4</v>
      </c>
      <c r="S552" s="1">
        <v>3</v>
      </c>
      <c r="T552" s="1">
        <v>4</v>
      </c>
      <c r="U552" s="1">
        <v>3</v>
      </c>
      <c r="V552" s="1">
        <v>3</v>
      </c>
      <c r="W552" s="1">
        <v>2</v>
      </c>
      <c r="X552" s="1">
        <v>2</v>
      </c>
      <c r="Y552" s="1">
        <v>2</v>
      </c>
      <c r="Z552" s="1">
        <v>2</v>
      </c>
      <c r="AA552" s="1">
        <v>2</v>
      </c>
      <c r="AB552" s="1">
        <v>2</v>
      </c>
      <c r="AC552" s="1">
        <v>3</v>
      </c>
      <c r="AD552" s="1">
        <v>3</v>
      </c>
      <c r="AE552" s="1">
        <v>3</v>
      </c>
      <c r="AF552" s="1">
        <v>3</v>
      </c>
      <c r="AG552" s="1">
        <v>4</v>
      </c>
      <c r="AH552" s="1">
        <v>2</v>
      </c>
      <c r="AI552" s="1">
        <v>3</v>
      </c>
      <c r="AJ552" s="1">
        <v>3</v>
      </c>
      <c r="AK552" s="1">
        <v>3</v>
      </c>
      <c r="AL552" s="1">
        <v>2</v>
      </c>
      <c r="AM552" s="1">
        <v>3</v>
      </c>
      <c r="AN552" s="1">
        <v>3</v>
      </c>
      <c r="AO552" s="1">
        <v>2</v>
      </c>
      <c r="AP552" s="1">
        <v>2</v>
      </c>
      <c r="AQ552" s="1">
        <v>3</v>
      </c>
      <c r="AR552" s="1">
        <v>3</v>
      </c>
      <c r="AS552" s="1">
        <v>3</v>
      </c>
      <c r="AT552" s="1">
        <v>4</v>
      </c>
      <c r="AU552" s="1">
        <v>2</v>
      </c>
      <c r="AV552" s="1">
        <v>4</v>
      </c>
      <c r="AW552" s="1">
        <v>2</v>
      </c>
      <c r="AX552" s="1">
        <v>2</v>
      </c>
      <c r="AY552" s="1">
        <v>3</v>
      </c>
      <c r="AZ552" s="1">
        <v>2</v>
      </c>
      <c r="BA552" s="1">
        <v>3</v>
      </c>
      <c r="BB552" s="1">
        <v>2</v>
      </c>
      <c r="BC552" s="1">
        <v>3</v>
      </c>
    </row>
    <row r="553" spans="1:55">
      <c r="A553" s="1" t="s">
        <v>894</v>
      </c>
      <c r="B553" s="1" t="s">
        <v>489</v>
      </c>
      <c r="C553" s="1" t="s">
        <v>895</v>
      </c>
      <c r="D553" s="1">
        <v>2</v>
      </c>
      <c r="E553" s="1">
        <v>2</v>
      </c>
      <c r="F553" s="1">
        <v>3</v>
      </c>
      <c r="G553" s="1">
        <v>3</v>
      </c>
      <c r="H553" s="1">
        <v>2</v>
      </c>
      <c r="I553" s="1">
        <v>3</v>
      </c>
      <c r="J553" s="1">
        <v>2</v>
      </c>
      <c r="K553" s="1">
        <v>2</v>
      </c>
      <c r="L553" s="1">
        <v>2</v>
      </c>
      <c r="M553" s="1">
        <v>2</v>
      </c>
      <c r="N553" s="1">
        <v>2</v>
      </c>
      <c r="O553" s="1">
        <v>2</v>
      </c>
      <c r="P553" s="1">
        <v>3</v>
      </c>
      <c r="Q553" s="1">
        <v>3</v>
      </c>
      <c r="R553" s="1">
        <v>2</v>
      </c>
      <c r="S553" s="1">
        <v>2</v>
      </c>
      <c r="T553" s="1">
        <v>3</v>
      </c>
      <c r="U553" s="1">
        <v>3</v>
      </c>
      <c r="V553" s="1">
        <v>2</v>
      </c>
      <c r="W553" s="1">
        <v>3</v>
      </c>
      <c r="X553" s="1">
        <v>3</v>
      </c>
      <c r="Y553" s="1">
        <v>3</v>
      </c>
      <c r="Z553" s="1">
        <v>3</v>
      </c>
      <c r="AA553" s="1">
        <v>3</v>
      </c>
      <c r="AB553" s="1">
        <v>3</v>
      </c>
      <c r="AC553" s="1">
        <v>4</v>
      </c>
      <c r="AD553" s="1">
        <v>3</v>
      </c>
      <c r="AE553" s="1">
        <v>3</v>
      </c>
      <c r="AF553" s="1">
        <v>3</v>
      </c>
      <c r="AG553" s="1">
        <v>2</v>
      </c>
      <c r="AH553" s="1">
        <v>2</v>
      </c>
      <c r="AI553" s="1">
        <v>2</v>
      </c>
      <c r="AJ553" s="1">
        <v>2</v>
      </c>
      <c r="AK553" s="1">
        <v>2</v>
      </c>
      <c r="AL553" s="1">
        <v>3</v>
      </c>
      <c r="AM553" s="1">
        <v>2</v>
      </c>
      <c r="AN553" s="1">
        <v>2</v>
      </c>
      <c r="AO553" s="1">
        <v>3</v>
      </c>
      <c r="AP553" s="1">
        <v>3</v>
      </c>
      <c r="AQ553" s="1">
        <v>2</v>
      </c>
      <c r="AR553" s="1">
        <v>2</v>
      </c>
      <c r="AS553" s="1">
        <v>2</v>
      </c>
      <c r="AT553" s="1">
        <v>4</v>
      </c>
      <c r="AU553" s="1">
        <v>3</v>
      </c>
      <c r="AV553" s="1">
        <v>3</v>
      </c>
      <c r="AW553" s="1">
        <v>4</v>
      </c>
      <c r="AX553" s="1">
        <v>3</v>
      </c>
      <c r="AY553" s="1">
        <v>4</v>
      </c>
      <c r="AZ553" s="1">
        <v>2</v>
      </c>
      <c r="BA553" s="1">
        <v>3</v>
      </c>
      <c r="BB553" s="1">
        <v>3</v>
      </c>
      <c r="BC553" s="1">
        <v>4</v>
      </c>
    </row>
    <row r="554" spans="1:55">
      <c r="A554" s="1" t="s">
        <v>896</v>
      </c>
      <c r="B554" s="1" t="s">
        <v>489</v>
      </c>
      <c r="C554" s="1" t="s">
        <v>895</v>
      </c>
      <c r="D554" s="1">
        <v>2</v>
      </c>
      <c r="E554" s="1">
        <v>4</v>
      </c>
      <c r="F554" s="1">
        <v>2</v>
      </c>
      <c r="G554" s="1">
        <v>2</v>
      </c>
      <c r="H554" s="1">
        <v>3</v>
      </c>
      <c r="I554" s="1">
        <v>3</v>
      </c>
      <c r="J554" s="1">
        <v>3</v>
      </c>
      <c r="K554" s="1">
        <v>3</v>
      </c>
      <c r="L554" s="1">
        <v>3</v>
      </c>
      <c r="M554" s="1">
        <v>3</v>
      </c>
      <c r="N554" s="1">
        <v>3</v>
      </c>
      <c r="O554" s="1">
        <v>3</v>
      </c>
      <c r="P554" s="1">
        <v>4</v>
      </c>
      <c r="Q554" s="1">
        <v>2</v>
      </c>
      <c r="R554" s="1">
        <v>4</v>
      </c>
      <c r="S554" s="1">
        <v>4</v>
      </c>
      <c r="T554" s="1">
        <v>4</v>
      </c>
      <c r="U554" s="1">
        <v>4</v>
      </c>
      <c r="V554" s="1">
        <v>4</v>
      </c>
      <c r="W554" s="1">
        <v>3</v>
      </c>
      <c r="X554" s="1">
        <v>3</v>
      </c>
      <c r="Y554" s="1">
        <v>4</v>
      </c>
      <c r="Z554" s="1">
        <v>2</v>
      </c>
      <c r="AA554" s="1">
        <v>3</v>
      </c>
      <c r="AB554" s="1">
        <v>3</v>
      </c>
      <c r="AC554" s="1">
        <v>4</v>
      </c>
      <c r="AD554" s="1">
        <v>3</v>
      </c>
      <c r="AE554" s="1">
        <v>4</v>
      </c>
      <c r="AF554" s="1">
        <v>2</v>
      </c>
      <c r="AG554" s="1">
        <v>3</v>
      </c>
      <c r="AH554" s="1">
        <v>2</v>
      </c>
      <c r="AI554" s="1">
        <v>3</v>
      </c>
      <c r="AJ554" s="1">
        <v>3</v>
      </c>
      <c r="AK554" s="1">
        <v>4</v>
      </c>
      <c r="AL554" s="1">
        <v>2</v>
      </c>
      <c r="AM554" s="1">
        <v>3</v>
      </c>
      <c r="AN554" s="1">
        <v>3</v>
      </c>
      <c r="AO554" s="1">
        <v>3</v>
      </c>
      <c r="AP554" s="1">
        <v>3</v>
      </c>
      <c r="AQ554" s="1">
        <v>3</v>
      </c>
      <c r="AR554" s="1">
        <v>5</v>
      </c>
      <c r="AS554" s="1">
        <v>4</v>
      </c>
      <c r="AT554" s="1">
        <v>4</v>
      </c>
      <c r="AU554" s="1">
        <v>4</v>
      </c>
      <c r="AV554" s="1">
        <v>3</v>
      </c>
      <c r="AW554" s="1">
        <v>4</v>
      </c>
      <c r="AX554" s="1">
        <v>4</v>
      </c>
      <c r="AY554" s="1">
        <v>5</v>
      </c>
      <c r="AZ554" s="1">
        <v>3</v>
      </c>
      <c r="BA554" s="1">
        <v>4</v>
      </c>
      <c r="BB554" s="1">
        <v>3</v>
      </c>
      <c r="BC554" s="1">
        <v>3</v>
      </c>
    </row>
    <row r="555" spans="1:55">
      <c r="A555" s="1" t="s">
        <v>897</v>
      </c>
      <c r="B555" s="1" t="s">
        <v>489</v>
      </c>
      <c r="C555" s="1" t="s">
        <v>898</v>
      </c>
      <c r="D555" s="1">
        <v>3</v>
      </c>
      <c r="E555" s="1">
        <v>2</v>
      </c>
      <c r="F555" s="1">
        <v>3</v>
      </c>
      <c r="G555" s="1">
        <v>4</v>
      </c>
      <c r="H555" s="1">
        <v>4</v>
      </c>
      <c r="I555" s="1">
        <v>3</v>
      </c>
      <c r="J555" s="1">
        <v>2</v>
      </c>
      <c r="K555" s="1">
        <v>3</v>
      </c>
      <c r="L555" s="1">
        <v>4</v>
      </c>
      <c r="M555" s="1">
        <v>2</v>
      </c>
      <c r="N555" s="1">
        <v>3</v>
      </c>
      <c r="O555" s="1">
        <v>3</v>
      </c>
      <c r="P555" s="1">
        <v>3</v>
      </c>
      <c r="Q555" s="1">
        <v>3</v>
      </c>
      <c r="R555" s="1">
        <v>3</v>
      </c>
      <c r="S555" s="1">
        <v>3</v>
      </c>
      <c r="T555" s="1">
        <v>3</v>
      </c>
      <c r="U555" s="1">
        <v>3</v>
      </c>
      <c r="V555" s="1">
        <v>2</v>
      </c>
      <c r="W555" s="1">
        <v>3</v>
      </c>
      <c r="X555" s="1">
        <v>3</v>
      </c>
      <c r="Y555" s="1">
        <v>3</v>
      </c>
      <c r="Z555" s="1">
        <v>3</v>
      </c>
      <c r="AA555" s="1">
        <v>3</v>
      </c>
      <c r="AB555" s="1">
        <v>3</v>
      </c>
      <c r="AC555" s="1">
        <v>3</v>
      </c>
      <c r="AD555" s="1">
        <v>3</v>
      </c>
      <c r="AE555" s="1">
        <v>4</v>
      </c>
      <c r="AF555" s="1">
        <v>3</v>
      </c>
      <c r="AG555" s="1">
        <v>4</v>
      </c>
      <c r="AH555" s="1">
        <v>3</v>
      </c>
      <c r="AI555" s="1">
        <v>4</v>
      </c>
      <c r="AJ555" s="1">
        <v>2</v>
      </c>
      <c r="AK555" s="1">
        <v>3</v>
      </c>
      <c r="AL555" s="1">
        <v>3</v>
      </c>
      <c r="AM555" s="1">
        <v>3</v>
      </c>
      <c r="AN555" s="1">
        <v>4</v>
      </c>
      <c r="AO555" s="1">
        <v>3</v>
      </c>
      <c r="AP555" s="1">
        <v>3</v>
      </c>
      <c r="AQ555" s="1">
        <v>3</v>
      </c>
      <c r="AR555" s="1">
        <v>3</v>
      </c>
      <c r="AS555" s="1">
        <v>3</v>
      </c>
      <c r="AT555" s="1">
        <v>3</v>
      </c>
      <c r="AU555" s="1">
        <v>3</v>
      </c>
      <c r="AV555" s="1">
        <v>3</v>
      </c>
      <c r="AW555" s="1">
        <v>2</v>
      </c>
      <c r="AX555" s="1">
        <v>3</v>
      </c>
      <c r="AY555" s="1">
        <v>4</v>
      </c>
      <c r="AZ555" s="1">
        <v>3</v>
      </c>
      <c r="BA555" s="1">
        <v>4</v>
      </c>
      <c r="BB555" s="1">
        <v>2</v>
      </c>
      <c r="BC555" s="1">
        <v>3</v>
      </c>
    </row>
    <row r="556" spans="1:55">
      <c r="A556" s="1" t="s">
        <v>899</v>
      </c>
      <c r="B556" s="1" t="s">
        <v>489</v>
      </c>
      <c r="C556" s="1" t="s">
        <v>898</v>
      </c>
      <c r="D556" s="1">
        <v>3</v>
      </c>
      <c r="E556" s="1">
        <v>5</v>
      </c>
      <c r="F556" s="1">
        <v>1</v>
      </c>
      <c r="G556" s="1">
        <v>1</v>
      </c>
      <c r="H556" s="1">
        <v>3</v>
      </c>
      <c r="I556" s="1">
        <v>4</v>
      </c>
      <c r="J556" s="1">
        <v>4</v>
      </c>
      <c r="K556" s="1">
        <v>3</v>
      </c>
      <c r="L556" s="1">
        <v>2</v>
      </c>
      <c r="M556" s="1">
        <v>5</v>
      </c>
      <c r="N556" s="1">
        <v>3</v>
      </c>
      <c r="O556" s="1">
        <v>2</v>
      </c>
      <c r="P556" s="1">
        <v>2</v>
      </c>
      <c r="Q556" s="1">
        <v>3</v>
      </c>
      <c r="R556" s="1">
        <v>4</v>
      </c>
      <c r="S556" s="1">
        <v>5</v>
      </c>
      <c r="T556" s="1">
        <v>4</v>
      </c>
      <c r="U556" s="1">
        <v>5</v>
      </c>
      <c r="V556" s="1">
        <v>4</v>
      </c>
      <c r="W556" s="1">
        <v>3</v>
      </c>
      <c r="X556" s="1">
        <v>3</v>
      </c>
      <c r="Y556" s="1">
        <v>2</v>
      </c>
      <c r="Z556" s="1">
        <v>2</v>
      </c>
      <c r="AA556" s="1">
        <v>3</v>
      </c>
      <c r="AB556" s="1">
        <v>3</v>
      </c>
      <c r="AC556" s="1">
        <v>2</v>
      </c>
      <c r="AD556" s="1">
        <v>3</v>
      </c>
      <c r="AE556" s="1">
        <v>5</v>
      </c>
      <c r="AF556" s="1">
        <v>2</v>
      </c>
      <c r="AG556" s="1">
        <v>1</v>
      </c>
      <c r="AH556" s="1">
        <v>5</v>
      </c>
      <c r="AI556" s="1">
        <v>4</v>
      </c>
      <c r="AJ556" s="1">
        <v>4</v>
      </c>
      <c r="AK556" s="1">
        <v>3</v>
      </c>
      <c r="AL556" s="1">
        <v>3</v>
      </c>
      <c r="AM556" s="1">
        <v>5</v>
      </c>
      <c r="AN556" s="1">
        <v>3</v>
      </c>
      <c r="AO556" s="1">
        <v>3</v>
      </c>
      <c r="AP556" s="1">
        <v>3</v>
      </c>
      <c r="AQ556" s="1">
        <v>2</v>
      </c>
      <c r="AR556" s="1">
        <v>5</v>
      </c>
      <c r="AS556" s="1">
        <v>5</v>
      </c>
      <c r="AT556" s="1">
        <v>5</v>
      </c>
      <c r="AU556" s="1">
        <v>5</v>
      </c>
      <c r="AV556" s="1">
        <v>3</v>
      </c>
      <c r="AW556" s="1">
        <v>4</v>
      </c>
      <c r="AX556" s="1">
        <v>3</v>
      </c>
      <c r="AY556" s="1">
        <v>2</v>
      </c>
      <c r="AZ556" s="1">
        <v>2</v>
      </c>
      <c r="BA556" s="1">
        <v>2</v>
      </c>
      <c r="BB556" s="1">
        <v>3</v>
      </c>
      <c r="BC556" s="1">
        <v>2</v>
      </c>
    </row>
    <row r="557" spans="1:55">
      <c r="A557" s="1" t="s">
        <v>900</v>
      </c>
      <c r="B557" s="1" t="s">
        <v>489</v>
      </c>
      <c r="C557" s="1" t="s">
        <v>901</v>
      </c>
      <c r="D557" s="1">
        <v>2</v>
      </c>
      <c r="E557" s="1">
        <v>3</v>
      </c>
      <c r="F557" s="1">
        <v>4</v>
      </c>
      <c r="G557" s="1">
        <v>2</v>
      </c>
      <c r="H557" s="1">
        <v>3</v>
      </c>
      <c r="I557" s="1">
        <v>3</v>
      </c>
      <c r="J557" s="1">
        <v>3</v>
      </c>
      <c r="K557" s="1">
        <v>2</v>
      </c>
      <c r="L557" s="1">
        <v>4</v>
      </c>
      <c r="M557" s="1">
        <v>3</v>
      </c>
      <c r="N557" s="1">
        <v>3</v>
      </c>
      <c r="O557" s="1">
        <v>2</v>
      </c>
      <c r="P557" s="1">
        <v>3</v>
      </c>
      <c r="Q557" s="1">
        <v>2</v>
      </c>
      <c r="R557" s="1">
        <v>3</v>
      </c>
      <c r="S557" s="1">
        <v>4</v>
      </c>
      <c r="T557" s="1">
        <v>2</v>
      </c>
      <c r="U557" s="1">
        <v>4</v>
      </c>
      <c r="V557" s="1">
        <v>2</v>
      </c>
      <c r="W557" s="1">
        <v>3</v>
      </c>
      <c r="X557" s="1">
        <v>3</v>
      </c>
      <c r="Y557" s="1">
        <v>3</v>
      </c>
      <c r="Z557" s="1">
        <v>4</v>
      </c>
      <c r="AA557" s="1">
        <v>3</v>
      </c>
      <c r="AB557" s="1">
        <v>3</v>
      </c>
      <c r="AC557" s="1">
        <v>3</v>
      </c>
      <c r="AD557" s="1">
        <v>3</v>
      </c>
      <c r="AE557" s="1">
        <v>3</v>
      </c>
      <c r="AF557" s="1">
        <v>3</v>
      </c>
      <c r="AG557" s="1">
        <v>3</v>
      </c>
      <c r="AH557" s="1">
        <v>3</v>
      </c>
      <c r="AI557" s="1">
        <v>3</v>
      </c>
      <c r="AJ557" s="1">
        <v>4</v>
      </c>
      <c r="AK557" s="1">
        <v>2</v>
      </c>
      <c r="AL557" s="1">
        <v>2</v>
      </c>
      <c r="AM557" s="1">
        <v>3</v>
      </c>
      <c r="AN557" s="1">
        <v>3</v>
      </c>
      <c r="AO557" s="1">
        <v>3</v>
      </c>
      <c r="AP557" s="1">
        <v>2</v>
      </c>
      <c r="AQ557" s="1">
        <v>3</v>
      </c>
      <c r="AR557" s="1">
        <v>3</v>
      </c>
      <c r="AS557" s="1">
        <v>4</v>
      </c>
      <c r="AT557" s="1">
        <v>3</v>
      </c>
      <c r="AU557" s="1">
        <v>4</v>
      </c>
      <c r="AV557" s="1">
        <v>4</v>
      </c>
      <c r="AW557" s="1">
        <v>2</v>
      </c>
      <c r="AX557" s="1">
        <v>2</v>
      </c>
      <c r="AY557" s="1">
        <v>3</v>
      </c>
      <c r="AZ557" s="1">
        <v>3</v>
      </c>
      <c r="BA557" s="1">
        <v>3</v>
      </c>
      <c r="BB557" s="1">
        <v>2</v>
      </c>
      <c r="BC557" s="1">
        <v>3</v>
      </c>
    </row>
    <row r="558" spans="1:55">
      <c r="A558" s="1" t="s">
        <v>902</v>
      </c>
      <c r="B558" s="1" t="s">
        <v>489</v>
      </c>
      <c r="C558" s="1" t="s">
        <v>901</v>
      </c>
      <c r="D558" s="1">
        <v>3</v>
      </c>
      <c r="E558" s="1">
        <v>2</v>
      </c>
      <c r="F558" s="1">
        <v>2</v>
      </c>
      <c r="G558" s="1">
        <v>2</v>
      </c>
      <c r="H558" s="1">
        <v>3</v>
      </c>
      <c r="I558" s="1">
        <v>3</v>
      </c>
      <c r="J558" s="1">
        <v>3</v>
      </c>
      <c r="K558" s="1">
        <v>3</v>
      </c>
      <c r="L558" s="1">
        <v>4</v>
      </c>
      <c r="M558" s="1">
        <v>3</v>
      </c>
      <c r="N558" s="1">
        <v>4</v>
      </c>
      <c r="O558" s="1">
        <v>4</v>
      </c>
      <c r="P558" s="1">
        <v>4</v>
      </c>
      <c r="Q558" s="1">
        <v>4</v>
      </c>
      <c r="R558" s="1">
        <v>3</v>
      </c>
      <c r="S558" s="1">
        <v>3</v>
      </c>
      <c r="T558" s="1">
        <v>3</v>
      </c>
      <c r="U558" s="1">
        <v>5</v>
      </c>
      <c r="V558" s="1">
        <v>3</v>
      </c>
      <c r="W558" s="1">
        <v>2</v>
      </c>
      <c r="X558" s="1">
        <v>2</v>
      </c>
      <c r="Y558" s="1">
        <v>2</v>
      </c>
      <c r="Z558" s="1">
        <v>4</v>
      </c>
      <c r="AA558" s="1">
        <v>3</v>
      </c>
      <c r="AB558" s="1">
        <v>3</v>
      </c>
      <c r="AC558" s="1">
        <v>4</v>
      </c>
      <c r="AD558" s="1">
        <v>2</v>
      </c>
      <c r="AE558" s="1">
        <v>3</v>
      </c>
      <c r="AF558" s="1">
        <v>3</v>
      </c>
      <c r="AG558" s="1">
        <v>3</v>
      </c>
      <c r="AH558" s="1">
        <v>3</v>
      </c>
      <c r="AI558" s="1">
        <v>3</v>
      </c>
      <c r="AJ558" s="1">
        <v>4</v>
      </c>
      <c r="AK558" s="1">
        <v>4</v>
      </c>
      <c r="AL558" s="1">
        <v>3</v>
      </c>
      <c r="AM558" s="1">
        <v>4</v>
      </c>
      <c r="AN558" s="1">
        <v>4</v>
      </c>
      <c r="AO558" s="1">
        <v>3</v>
      </c>
      <c r="AP558" s="1">
        <v>3</v>
      </c>
      <c r="AQ558" s="1">
        <v>4</v>
      </c>
      <c r="AR558" s="1">
        <v>3</v>
      </c>
      <c r="AS558" s="1">
        <v>3</v>
      </c>
      <c r="AT558" s="1">
        <v>4</v>
      </c>
      <c r="AU558" s="1">
        <v>4</v>
      </c>
      <c r="AV558" s="1">
        <v>3</v>
      </c>
      <c r="AW558" s="1">
        <v>2</v>
      </c>
      <c r="AX558" s="1">
        <v>2</v>
      </c>
      <c r="AY558" s="1">
        <v>3</v>
      </c>
      <c r="AZ558" s="1">
        <v>4</v>
      </c>
      <c r="BA558" s="1">
        <v>5</v>
      </c>
      <c r="BB558" s="1">
        <v>3</v>
      </c>
      <c r="BC558" s="1">
        <v>2</v>
      </c>
    </row>
    <row r="559" spans="1:55">
      <c r="A559" s="1" t="s">
        <v>903</v>
      </c>
      <c r="B559" s="1" t="s">
        <v>489</v>
      </c>
      <c r="C559" s="1" t="s">
        <v>904</v>
      </c>
      <c r="D559" s="1">
        <v>3</v>
      </c>
      <c r="E559" s="1">
        <v>3</v>
      </c>
      <c r="F559" s="1">
        <v>3</v>
      </c>
      <c r="G559" s="1">
        <v>3</v>
      </c>
      <c r="H559" s="1">
        <v>4</v>
      </c>
      <c r="I559" s="1">
        <v>4</v>
      </c>
      <c r="J559" s="1">
        <v>4</v>
      </c>
      <c r="K559" s="1">
        <v>3</v>
      </c>
      <c r="L559" s="1">
        <v>4</v>
      </c>
      <c r="M559" s="1">
        <v>2</v>
      </c>
      <c r="N559" s="1">
        <v>3</v>
      </c>
      <c r="O559" s="1">
        <v>3</v>
      </c>
      <c r="P559" s="1">
        <v>3</v>
      </c>
      <c r="Q559" s="1">
        <v>3</v>
      </c>
      <c r="R559" s="1">
        <v>2</v>
      </c>
      <c r="S559" s="1">
        <v>3</v>
      </c>
      <c r="T559" s="1">
        <v>3</v>
      </c>
      <c r="U559" s="1">
        <v>2</v>
      </c>
      <c r="V559" s="1">
        <v>1</v>
      </c>
      <c r="W559" s="1">
        <v>3</v>
      </c>
      <c r="X559" s="1">
        <v>3</v>
      </c>
      <c r="Y559" s="1">
        <v>3</v>
      </c>
      <c r="Z559" s="1">
        <v>3</v>
      </c>
      <c r="AA559" s="1">
        <v>3</v>
      </c>
      <c r="AB559" s="1">
        <v>3</v>
      </c>
      <c r="AC559" s="1">
        <v>3</v>
      </c>
      <c r="AD559" s="1">
        <v>2</v>
      </c>
      <c r="AE559" s="1">
        <v>4</v>
      </c>
      <c r="AF559" s="1">
        <v>3</v>
      </c>
      <c r="AG559" s="1">
        <v>2</v>
      </c>
      <c r="AH559" s="1">
        <v>3</v>
      </c>
      <c r="AI559" s="1">
        <v>2</v>
      </c>
      <c r="AJ559" s="1">
        <v>3</v>
      </c>
      <c r="AK559" s="1">
        <v>3</v>
      </c>
      <c r="AL559" s="1">
        <v>2</v>
      </c>
      <c r="AM559" s="1">
        <v>3</v>
      </c>
      <c r="AN559" s="1">
        <v>4</v>
      </c>
      <c r="AO559" s="1">
        <v>3</v>
      </c>
      <c r="AP559" s="1">
        <v>4</v>
      </c>
      <c r="AQ559" s="1">
        <v>4</v>
      </c>
      <c r="AR559" s="1">
        <v>2</v>
      </c>
      <c r="AS559" s="1">
        <v>3</v>
      </c>
      <c r="AT559" s="1">
        <v>3</v>
      </c>
      <c r="AU559" s="1">
        <v>2</v>
      </c>
      <c r="AV559" s="1">
        <v>3</v>
      </c>
      <c r="AW559" s="1">
        <v>3</v>
      </c>
      <c r="AX559" s="1">
        <v>4</v>
      </c>
      <c r="AY559" s="1">
        <v>3</v>
      </c>
      <c r="AZ559" s="1">
        <v>4</v>
      </c>
      <c r="BA559" s="1">
        <v>4</v>
      </c>
      <c r="BB559" s="1">
        <v>4</v>
      </c>
      <c r="BC559" s="1">
        <v>3</v>
      </c>
    </row>
    <row r="560" spans="1:55">
      <c r="A560" s="1" t="s">
        <v>905</v>
      </c>
      <c r="B560" s="1" t="s">
        <v>489</v>
      </c>
      <c r="C560" s="1" t="s">
        <v>904</v>
      </c>
      <c r="D560" s="1">
        <v>2</v>
      </c>
      <c r="E560" s="1">
        <v>2</v>
      </c>
      <c r="F560" s="1">
        <v>4</v>
      </c>
      <c r="G560" s="1">
        <v>4</v>
      </c>
      <c r="H560" s="1">
        <v>3</v>
      </c>
      <c r="I560" s="1">
        <v>3</v>
      </c>
      <c r="J560" s="1">
        <v>4</v>
      </c>
      <c r="K560" s="1">
        <v>2</v>
      </c>
      <c r="L560" s="1">
        <v>2</v>
      </c>
      <c r="M560" s="1">
        <v>1</v>
      </c>
      <c r="N560" s="1">
        <v>3</v>
      </c>
      <c r="O560" s="1">
        <v>2</v>
      </c>
      <c r="P560" s="1">
        <v>3</v>
      </c>
      <c r="Q560" s="1">
        <v>3</v>
      </c>
      <c r="R560" s="1">
        <v>2</v>
      </c>
      <c r="S560" s="1">
        <v>2</v>
      </c>
      <c r="T560" s="1">
        <v>3</v>
      </c>
      <c r="U560" s="1">
        <v>1</v>
      </c>
      <c r="V560" s="1">
        <v>4</v>
      </c>
      <c r="W560" s="1">
        <v>3</v>
      </c>
      <c r="X560" s="1">
        <v>3</v>
      </c>
      <c r="Y560" s="1">
        <v>3</v>
      </c>
      <c r="Z560" s="1">
        <v>3</v>
      </c>
      <c r="AA560" s="1">
        <v>2</v>
      </c>
      <c r="AB560" s="1">
        <v>3</v>
      </c>
      <c r="AC560" s="1">
        <v>2</v>
      </c>
      <c r="AD560" s="1">
        <v>4</v>
      </c>
      <c r="AE560" s="1">
        <v>2</v>
      </c>
      <c r="AF560" s="1">
        <v>4</v>
      </c>
      <c r="AG560" s="1">
        <v>2</v>
      </c>
      <c r="AH560" s="1">
        <v>3</v>
      </c>
      <c r="AI560" s="1">
        <v>4</v>
      </c>
      <c r="AJ560" s="1">
        <v>3</v>
      </c>
      <c r="AK560" s="1">
        <v>3</v>
      </c>
      <c r="AL560" s="1">
        <v>4</v>
      </c>
      <c r="AM560" s="1">
        <v>3</v>
      </c>
      <c r="AN560" s="1">
        <v>4</v>
      </c>
      <c r="AO560" s="1">
        <v>3</v>
      </c>
      <c r="AP560" s="1">
        <v>3</v>
      </c>
      <c r="AQ560" s="1">
        <v>4</v>
      </c>
      <c r="AR560" s="1">
        <v>2</v>
      </c>
      <c r="AS560" s="1">
        <v>2</v>
      </c>
      <c r="AT560" s="1">
        <v>2</v>
      </c>
      <c r="AU560" s="1">
        <v>3</v>
      </c>
      <c r="AV560" s="1">
        <v>4</v>
      </c>
      <c r="AW560" s="1">
        <v>2</v>
      </c>
      <c r="AX560" s="1">
        <v>3</v>
      </c>
      <c r="AY560" s="1">
        <v>3</v>
      </c>
      <c r="AZ560" s="1">
        <v>3</v>
      </c>
      <c r="BA560" s="1">
        <v>4</v>
      </c>
      <c r="BB560" s="1">
        <v>4</v>
      </c>
      <c r="BC560" s="1">
        <v>2</v>
      </c>
    </row>
    <row r="561" spans="1:55">
      <c r="A561" s="1" t="s">
        <v>906</v>
      </c>
      <c r="B561" s="1" t="s">
        <v>489</v>
      </c>
      <c r="C561" s="1" t="s">
        <v>907</v>
      </c>
      <c r="D561" s="1">
        <v>3</v>
      </c>
      <c r="E561" s="1">
        <v>3</v>
      </c>
      <c r="F561" s="1">
        <v>4</v>
      </c>
      <c r="G561" s="1">
        <v>3</v>
      </c>
      <c r="H561" s="1">
        <v>2</v>
      </c>
      <c r="I561" s="1">
        <v>3</v>
      </c>
      <c r="J561" s="1">
        <v>2</v>
      </c>
      <c r="K561" s="1">
        <v>3</v>
      </c>
      <c r="L561" s="1">
        <v>3</v>
      </c>
      <c r="M561" s="1">
        <v>3</v>
      </c>
      <c r="N561" s="1">
        <v>4</v>
      </c>
      <c r="O561" s="1">
        <v>3</v>
      </c>
      <c r="P561" s="1">
        <v>4</v>
      </c>
      <c r="Q561" s="1">
        <v>2</v>
      </c>
      <c r="R561" s="1">
        <v>3</v>
      </c>
      <c r="S561" s="1">
        <v>3</v>
      </c>
      <c r="T561" s="1">
        <v>4</v>
      </c>
      <c r="U561" s="1">
        <v>3</v>
      </c>
      <c r="V561" s="1">
        <v>2</v>
      </c>
      <c r="W561" s="1">
        <v>2</v>
      </c>
      <c r="X561" s="1">
        <v>3</v>
      </c>
      <c r="Y561" s="1">
        <v>3</v>
      </c>
      <c r="Z561" s="1">
        <v>3</v>
      </c>
      <c r="AA561" s="1">
        <v>3</v>
      </c>
      <c r="AB561" s="1">
        <v>4</v>
      </c>
      <c r="AC561" s="1">
        <v>3</v>
      </c>
      <c r="AD561" s="1">
        <v>3</v>
      </c>
      <c r="AE561" s="1">
        <v>4</v>
      </c>
      <c r="AF561" s="1">
        <v>3</v>
      </c>
      <c r="AG561" s="1">
        <v>3</v>
      </c>
      <c r="AH561" s="1">
        <v>2</v>
      </c>
      <c r="AI561" s="1">
        <v>3</v>
      </c>
      <c r="AJ561" s="1">
        <v>3</v>
      </c>
      <c r="AK561" s="1">
        <v>2</v>
      </c>
      <c r="AL561" s="1">
        <v>3</v>
      </c>
      <c r="AM561" s="1">
        <v>2</v>
      </c>
      <c r="AN561" s="1">
        <v>3</v>
      </c>
      <c r="AO561" s="1">
        <v>3</v>
      </c>
      <c r="AP561" s="1">
        <v>3</v>
      </c>
      <c r="AQ561" s="1">
        <v>2</v>
      </c>
      <c r="AR561" s="1">
        <v>3</v>
      </c>
      <c r="AS561" s="1">
        <v>4</v>
      </c>
      <c r="AT561" s="1">
        <v>3</v>
      </c>
      <c r="AU561" s="1">
        <v>3</v>
      </c>
      <c r="AV561" s="1">
        <v>1</v>
      </c>
      <c r="AW561" s="1">
        <v>3</v>
      </c>
      <c r="AX561" s="1">
        <v>3</v>
      </c>
      <c r="AY561" s="1">
        <v>2</v>
      </c>
      <c r="AZ561" s="1">
        <v>3</v>
      </c>
      <c r="BA561" s="1">
        <v>3</v>
      </c>
      <c r="BB561" s="1">
        <v>3</v>
      </c>
      <c r="BC561" s="1">
        <v>3</v>
      </c>
    </row>
    <row r="562" spans="1:55">
      <c r="A562" s="1" t="s">
        <v>908</v>
      </c>
      <c r="B562" s="1" t="s">
        <v>489</v>
      </c>
      <c r="C562" s="1" t="s">
        <v>907</v>
      </c>
      <c r="D562" s="1">
        <v>3</v>
      </c>
      <c r="E562" s="1">
        <v>3</v>
      </c>
      <c r="F562" s="1">
        <v>3</v>
      </c>
      <c r="G562" s="1">
        <v>3</v>
      </c>
      <c r="H562" s="1">
        <v>2</v>
      </c>
      <c r="I562" s="1">
        <v>2</v>
      </c>
      <c r="J562" s="1">
        <v>3</v>
      </c>
      <c r="K562" s="1">
        <v>4</v>
      </c>
      <c r="L562" s="1">
        <v>5</v>
      </c>
      <c r="M562" s="1">
        <v>3</v>
      </c>
      <c r="N562" s="1">
        <v>2</v>
      </c>
      <c r="O562" s="1">
        <v>5</v>
      </c>
      <c r="P562" s="1">
        <v>5</v>
      </c>
      <c r="Q562" s="1">
        <v>3</v>
      </c>
      <c r="R562" s="1">
        <v>4</v>
      </c>
      <c r="S562" s="1">
        <v>3</v>
      </c>
      <c r="T562" s="1">
        <v>4</v>
      </c>
      <c r="U562" s="1">
        <v>3</v>
      </c>
      <c r="V562" s="1">
        <v>3</v>
      </c>
      <c r="W562" s="1">
        <v>3</v>
      </c>
      <c r="X562" s="1">
        <v>4</v>
      </c>
      <c r="Y562" s="1">
        <v>3</v>
      </c>
      <c r="Z562" s="1">
        <v>4</v>
      </c>
      <c r="AA562" s="1">
        <v>5</v>
      </c>
      <c r="AB562" s="1">
        <v>4</v>
      </c>
      <c r="AC562" s="1">
        <v>3</v>
      </c>
      <c r="AD562" s="1">
        <v>3</v>
      </c>
      <c r="AE562" s="1">
        <v>2</v>
      </c>
      <c r="AF562" s="1">
        <v>2</v>
      </c>
      <c r="AG562" s="1">
        <v>3</v>
      </c>
      <c r="AH562" s="1">
        <v>3</v>
      </c>
      <c r="AI562" s="1">
        <v>2</v>
      </c>
      <c r="AJ562" s="1">
        <v>1</v>
      </c>
      <c r="AK562" s="1">
        <v>4</v>
      </c>
      <c r="AL562" s="1">
        <v>4</v>
      </c>
      <c r="AM562" s="1">
        <v>3</v>
      </c>
      <c r="AN562" s="1">
        <v>2</v>
      </c>
      <c r="AO562" s="1">
        <v>4</v>
      </c>
      <c r="AP562" s="1">
        <v>4</v>
      </c>
      <c r="AQ562" s="1">
        <v>4</v>
      </c>
      <c r="AR562" s="1">
        <v>3</v>
      </c>
      <c r="AS562" s="1">
        <v>3</v>
      </c>
      <c r="AT562" s="1">
        <v>3</v>
      </c>
      <c r="AU562" s="1">
        <v>4</v>
      </c>
      <c r="AV562" s="1">
        <v>3</v>
      </c>
      <c r="AW562" s="1">
        <v>3</v>
      </c>
      <c r="AX562" s="1">
        <v>3</v>
      </c>
      <c r="AY562" s="1">
        <v>3</v>
      </c>
      <c r="AZ562" s="1">
        <v>4</v>
      </c>
      <c r="BA562" s="1">
        <v>4</v>
      </c>
      <c r="BB562" s="1">
        <v>4</v>
      </c>
      <c r="BC562" s="1">
        <v>3</v>
      </c>
    </row>
    <row r="563" spans="1:55">
      <c r="A563" s="1" t="s">
        <v>909</v>
      </c>
      <c r="B563" s="1" t="s">
        <v>489</v>
      </c>
      <c r="C563" s="1" t="s">
        <v>910</v>
      </c>
      <c r="D563" s="1">
        <v>4</v>
      </c>
      <c r="E563" s="1">
        <v>4</v>
      </c>
      <c r="F563" s="1">
        <v>3</v>
      </c>
      <c r="G563" s="1">
        <v>2</v>
      </c>
      <c r="H563" s="1">
        <v>4</v>
      </c>
      <c r="I563" s="1">
        <v>4</v>
      </c>
      <c r="J563" s="1">
        <v>3</v>
      </c>
      <c r="K563" s="1">
        <v>4</v>
      </c>
      <c r="L563" s="1">
        <v>4</v>
      </c>
      <c r="M563" s="1">
        <v>4</v>
      </c>
      <c r="N563" s="1">
        <v>4</v>
      </c>
      <c r="O563" s="1">
        <v>4</v>
      </c>
      <c r="P563" s="1">
        <v>4</v>
      </c>
      <c r="Q563" s="1">
        <v>5</v>
      </c>
      <c r="R563" s="1">
        <v>3</v>
      </c>
      <c r="S563" s="1">
        <v>3</v>
      </c>
      <c r="T563" s="1">
        <v>4</v>
      </c>
      <c r="U563" s="1">
        <v>4</v>
      </c>
      <c r="V563" s="1">
        <v>3</v>
      </c>
      <c r="W563" s="1">
        <v>3</v>
      </c>
      <c r="X563" s="1">
        <v>3</v>
      </c>
      <c r="Y563" s="1">
        <v>2</v>
      </c>
      <c r="Z563" s="1">
        <v>5</v>
      </c>
      <c r="AA563" s="1">
        <v>4</v>
      </c>
      <c r="AB563" s="1">
        <v>4</v>
      </c>
      <c r="AC563" s="1">
        <v>2</v>
      </c>
      <c r="AD563" s="1">
        <v>3</v>
      </c>
      <c r="AE563" s="1">
        <v>3</v>
      </c>
      <c r="AF563" s="1">
        <v>3</v>
      </c>
      <c r="AG563" s="1">
        <v>3</v>
      </c>
      <c r="AH563" s="1">
        <v>3</v>
      </c>
      <c r="AI563" s="1">
        <v>3</v>
      </c>
      <c r="AJ563" s="1">
        <v>4</v>
      </c>
      <c r="AK563" s="1">
        <v>5</v>
      </c>
      <c r="AL563" s="1">
        <v>4</v>
      </c>
      <c r="AM563" s="1">
        <v>4</v>
      </c>
      <c r="AN563" s="1">
        <v>4</v>
      </c>
      <c r="AO563" s="1">
        <v>5</v>
      </c>
      <c r="AP563" s="1">
        <v>4</v>
      </c>
      <c r="AQ563" s="1">
        <v>5</v>
      </c>
      <c r="AR563" s="1">
        <v>3</v>
      </c>
      <c r="AS563" s="1">
        <v>4</v>
      </c>
      <c r="AT563" s="1">
        <v>4</v>
      </c>
      <c r="AU563" s="1">
        <v>4</v>
      </c>
      <c r="AV563" s="1">
        <v>3</v>
      </c>
      <c r="AW563" s="1">
        <v>3</v>
      </c>
      <c r="AX563" s="1">
        <v>2</v>
      </c>
      <c r="AY563" s="1">
        <v>3</v>
      </c>
      <c r="AZ563" s="1">
        <v>5</v>
      </c>
      <c r="BA563" s="1">
        <v>4</v>
      </c>
      <c r="BB563" s="1">
        <v>5</v>
      </c>
      <c r="BC563" s="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563"/>
  <sheetViews>
    <sheetView workbookViewId="0"/>
  </sheetViews>
  <sheetFormatPr baseColWidth="10" defaultColWidth="8.796875" defaultRowHeight="13.8"/>
  <cols>
    <col min="1" max="2" width="18" customWidth="1"/>
    <col min="3" max="29" width="14" customWidth="1"/>
  </cols>
  <sheetData>
    <row r="1" spans="1:29" ht="41.4">
      <c r="A1" s="2" t="s">
        <v>10</v>
      </c>
      <c r="B1" s="2" t="s">
        <v>11</v>
      </c>
      <c r="C1" s="2" t="s">
        <v>911</v>
      </c>
      <c r="D1" s="2" t="s">
        <v>912</v>
      </c>
      <c r="E1" s="2" t="s">
        <v>913</v>
      </c>
      <c r="F1" s="2" t="s">
        <v>914</v>
      </c>
      <c r="G1" s="2" t="s">
        <v>915</v>
      </c>
      <c r="H1" s="2" t="s">
        <v>916</v>
      </c>
      <c r="I1" s="2" t="s">
        <v>917</v>
      </c>
      <c r="J1" s="2" t="s">
        <v>918</v>
      </c>
      <c r="K1" s="2" t="s">
        <v>919</v>
      </c>
      <c r="L1" s="2" t="s">
        <v>920</v>
      </c>
      <c r="M1" s="2" t="s">
        <v>921</v>
      </c>
      <c r="N1" s="2" t="s">
        <v>922</v>
      </c>
      <c r="O1" s="2" t="s">
        <v>923</v>
      </c>
      <c r="P1" s="2" t="s">
        <v>924</v>
      </c>
      <c r="Q1" s="2" t="s">
        <v>925</v>
      </c>
      <c r="R1" s="2" t="s">
        <v>926</v>
      </c>
      <c r="S1" s="2" t="s">
        <v>927</v>
      </c>
      <c r="T1" s="2" t="s">
        <v>928</v>
      </c>
      <c r="U1" s="2" t="s">
        <v>929</v>
      </c>
      <c r="V1" s="2" t="s">
        <v>930</v>
      </c>
      <c r="W1" s="2" t="s">
        <v>931</v>
      </c>
      <c r="X1" s="2" t="s">
        <v>932</v>
      </c>
      <c r="Y1" s="2" t="s">
        <v>933</v>
      </c>
      <c r="Z1" s="2" t="s">
        <v>934</v>
      </c>
      <c r="AA1" s="2" t="s">
        <v>935</v>
      </c>
      <c r="AB1" s="2" t="s">
        <v>936</v>
      </c>
      <c r="AC1" s="2" t="s">
        <v>937</v>
      </c>
    </row>
    <row r="2" spans="1:29">
      <c r="A2" s="1" t="str">
        <f>'01_WHOQOL_Items'!A2</f>
        <v>EXP-001</v>
      </c>
      <c r="B2" s="1" t="str">
        <f>'01_WHOQOL_Items'!B2</f>
        <v>Experimental</v>
      </c>
      <c r="C2" s="4">
        <f>4*(((6-'01_WHOQOL_Items'!F2) + (6-'01_WHOQOL_Items'!G2) + '01_WHOQOL_Items'!M2 + '01_WHOQOL_Items'!R2 + '01_WHOQOL_Items'!S2 + '01_WHOQOL_Items'!T2 + '01_WHOQOL_Items'!U2)/7)</f>
        <v>10.285714285714286</v>
      </c>
      <c r="D2" s="4">
        <f>4*(((6-'01_WHOQOL_Items'!AF2) + (6-'01_WHOQOL_Items'!AG2) + '01_WHOQOL_Items'!AM2 + '01_WHOQOL_Items'!AR2 + '01_WHOQOL_Items'!AS2 + '01_WHOQOL_Items'!AT2 + '01_WHOQOL_Items'!AU2)/7)</f>
        <v>13.142857142857142</v>
      </c>
      <c r="E2" s="4">
        <f t="shared" ref="E2:E65" si="0">(C2-4)*100/16</f>
        <v>39.285714285714292</v>
      </c>
      <c r="F2" s="4">
        <f t="shared" ref="F2:F65" si="1">(D2-4)*100/16</f>
        <v>57.142857142857139</v>
      </c>
      <c r="G2" s="5">
        <f t="shared" ref="G2:G65" si="2">IFERROR((F2-E2)/E2,"")</f>
        <v>0.4545454545454542</v>
      </c>
      <c r="H2" s="4">
        <f>4*(('01_WHOQOL_Items'!H2 + '01_WHOQOL_Items'!I2 + '01_WHOQOL_Items'!J2 + '01_WHOQOL_Items'!N2 + '01_WHOQOL_Items'!V2 + (6-'01_WHOQOL_Items'!AC2))/6)</f>
        <v>8.6666666666666661</v>
      </c>
      <c r="I2" s="4">
        <f>4*(('01_WHOQOL_Items'!AH2 + '01_WHOQOL_Items'!AI2 + '01_WHOQOL_Items'!AJ2 + '01_WHOQOL_Items'!AN2 + '01_WHOQOL_Items'!AV2 + (6-'01_WHOQOL_Items'!BC2))/6)</f>
        <v>12.666666666666666</v>
      </c>
      <c r="J2" s="4">
        <f t="shared" ref="J2:J65" si="3">(H2-4)*100/16</f>
        <v>29.166666666666664</v>
      </c>
      <c r="K2" s="4">
        <f t="shared" ref="K2:K65" si="4">(I2-4)*100/16</f>
        <v>54.166666666666664</v>
      </c>
      <c r="L2" s="5">
        <f t="shared" ref="L2:L65" si="5">IFERROR((K2-J2)/J2,"")</f>
        <v>0.85714285714285721</v>
      </c>
      <c r="M2" s="4">
        <f>4*(('01_WHOQOL_Items'!W2 + '01_WHOQOL_Items'!X2 + '01_WHOQOL_Items'!Y2)/3)</f>
        <v>12</v>
      </c>
      <c r="N2" s="4">
        <f>4*(('01_WHOQOL_Items'!AW2 + '01_WHOQOL_Items'!AX2 + '01_WHOQOL_Items'!AY2)/3)</f>
        <v>13.333333333333334</v>
      </c>
      <c r="O2" s="4">
        <f t="shared" ref="O2:O65" si="6">(M2-4)*100/16</f>
        <v>50</v>
      </c>
      <c r="P2" s="4">
        <f t="shared" ref="P2:P65" si="7">(N2-4)*100/16</f>
        <v>58.333333333333336</v>
      </c>
      <c r="Q2" s="5">
        <f t="shared" ref="Q2:Q65" si="8">IFERROR((P2-O2)/O2,"")</f>
        <v>0.16666666666666671</v>
      </c>
      <c r="R2" s="4">
        <f>4*(('01_WHOQOL_Items'!K2 + '01_WHOQOL_Items'!L2 + '01_WHOQOL_Items'!O2 + '01_WHOQOL_Items'!P2 + '01_WHOQOL_Items'!Q2 + '01_WHOQOL_Items'!Z2 + '01_WHOQOL_Items'!AA2 + '01_WHOQOL_Items'!AB2)/8)</f>
        <v>12.5</v>
      </c>
      <c r="S2" s="4">
        <f>4*(('01_WHOQOL_Items'!AK2 + '01_WHOQOL_Items'!AL2 + '01_WHOQOL_Items'!AO2 + '01_WHOQOL_Items'!AP2 + '01_WHOQOL_Items'!AQ2 + '01_WHOQOL_Items'!AZ2 + '01_WHOQOL_Items'!BA2 + '01_WHOQOL_Items'!BB2)/8)</f>
        <v>10</v>
      </c>
      <c r="T2" s="4">
        <f t="shared" ref="T2:T65" si="9">(R2-4)*100/16</f>
        <v>53.125</v>
      </c>
      <c r="U2" s="4">
        <f t="shared" ref="U2:U65" si="10">(S2-4)*100/16</f>
        <v>37.5</v>
      </c>
      <c r="V2" s="5">
        <f t="shared" ref="V2:V65" si="11">IFERROR((U2-T2)/T2,"")</f>
        <v>-0.29411764705882354</v>
      </c>
      <c r="W2" s="4">
        <f t="shared" ref="W2:W65" si="12">AVERAGE(E2,J2,O2,T2)</f>
        <v>42.894345238095241</v>
      </c>
      <c r="X2" s="4">
        <f t="shared" ref="X2:X65" si="13">AVERAGE(F2,K2,P2,U2)</f>
        <v>51.785714285714285</v>
      </c>
      <c r="Y2" s="5">
        <f t="shared" ref="Y2:Y65" si="14">IFERROR((X2-W2)/W2,"")</f>
        <v>0.20728534258456191</v>
      </c>
      <c r="Z2" s="1">
        <f>'01_WHOQOL_Items'!D2</f>
        <v>3</v>
      </c>
      <c r="AA2" s="1">
        <f>'01_WHOQOL_Items'!AD2</f>
        <v>2</v>
      </c>
      <c r="AB2" s="1">
        <f>'01_WHOQOL_Items'!E2</f>
        <v>3</v>
      </c>
      <c r="AC2" s="1">
        <f>'01_WHOQOL_Items'!AE2</f>
        <v>3</v>
      </c>
    </row>
    <row r="3" spans="1:29">
      <c r="A3" s="1" t="str">
        <f>'01_WHOQOL_Items'!A3</f>
        <v>EXP-002</v>
      </c>
      <c r="B3" s="1" t="str">
        <f>'01_WHOQOL_Items'!B3</f>
        <v>Experimental</v>
      </c>
      <c r="C3" s="4">
        <f>4*(((6-'01_WHOQOL_Items'!F3) + (6-'01_WHOQOL_Items'!G3) + '01_WHOQOL_Items'!M3 + '01_WHOQOL_Items'!R3 + '01_WHOQOL_Items'!S3 + '01_WHOQOL_Items'!T3 + '01_WHOQOL_Items'!U3)/7)</f>
        <v>9.1428571428571423</v>
      </c>
      <c r="D3" s="4">
        <f>4*(((6-'01_WHOQOL_Items'!AF3) + (6-'01_WHOQOL_Items'!AG3) + '01_WHOQOL_Items'!AM3 + '01_WHOQOL_Items'!AR3 + '01_WHOQOL_Items'!AS3 + '01_WHOQOL_Items'!AT3 + '01_WHOQOL_Items'!AU3)/7)</f>
        <v>9.1428571428571423</v>
      </c>
      <c r="E3" s="4">
        <f t="shared" si="0"/>
        <v>32.142857142857139</v>
      </c>
      <c r="F3" s="4">
        <f t="shared" si="1"/>
        <v>32.142857142857139</v>
      </c>
      <c r="G3" s="5">
        <f t="shared" si="2"/>
        <v>0</v>
      </c>
      <c r="H3" s="4">
        <f>4*(('01_WHOQOL_Items'!H3 + '01_WHOQOL_Items'!I3 + '01_WHOQOL_Items'!J3 + '01_WHOQOL_Items'!N3 + '01_WHOQOL_Items'!V3 + (6-'01_WHOQOL_Items'!AC3))/6)</f>
        <v>10.666666666666666</v>
      </c>
      <c r="I3" s="4">
        <f>4*(('01_WHOQOL_Items'!AH3 + '01_WHOQOL_Items'!AI3 + '01_WHOQOL_Items'!AJ3 + '01_WHOQOL_Items'!AN3 + '01_WHOQOL_Items'!AV3 + (6-'01_WHOQOL_Items'!BC3))/6)</f>
        <v>14.666666666666666</v>
      </c>
      <c r="J3" s="4">
        <f t="shared" si="3"/>
        <v>41.666666666666664</v>
      </c>
      <c r="K3" s="4">
        <f t="shared" si="4"/>
        <v>66.666666666666657</v>
      </c>
      <c r="L3" s="5">
        <f t="shared" si="5"/>
        <v>0.59999999999999987</v>
      </c>
      <c r="M3" s="4">
        <f>4*(('01_WHOQOL_Items'!W3 + '01_WHOQOL_Items'!X3 + '01_WHOQOL_Items'!Y3)/3)</f>
        <v>12</v>
      </c>
      <c r="N3" s="4">
        <f>4*(('01_WHOQOL_Items'!AW3 + '01_WHOQOL_Items'!AX3 + '01_WHOQOL_Items'!AY3)/3)</f>
        <v>16</v>
      </c>
      <c r="O3" s="4">
        <f t="shared" si="6"/>
        <v>50</v>
      </c>
      <c r="P3" s="4">
        <f t="shared" si="7"/>
        <v>75</v>
      </c>
      <c r="Q3" s="5">
        <f t="shared" si="8"/>
        <v>0.5</v>
      </c>
      <c r="R3" s="4">
        <f>4*(('01_WHOQOL_Items'!K3 + '01_WHOQOL_Items'!L3 + '01_WHOQOL_Items'!O3 + '01_WHOQOL_Items'!P3 + '01_WHOQOL_Items'!Q3 + '01_WHOQOL_Items'!Z3 + '01_WHOQOL_Items'!AA3 + '01_WHOQOL_Items'!AB3)/8)</f>
        <v>13</v>
      </c>
      <c r="S3" s="4">
        <f>4*(('01_WHOQOL_Items'!AK3 + '01_WHOQOL_Items'!AL3 + '01_WHOQOL_Items'!AO3 + '01_WHOQOL_Items'!AP3 + '01_WHOQOL_Items'!AQ3 + '01_WHOQOL_Items'!AZ3 + '01_WHOQOL_Items'!BA3 + '01_WHOQOL_Items'!BB3)/8)</f>
        <v>15.5</v>
      </c>
      <c r="T3" s="4">
        <f t="shared" si="9"/>
        <v>56.25</v>
      </c>
      <c r="U3" s="4">
        <f t="shared" si="10"/>
        <v>71.875</v>
      </c>
      <c r="V3" s="5">
        <f t="shared" si="11"/>
        <v>0.27777777777777779</v>
      </c>
      <c r="W3" s="4">
        <f t="shared" si="12"/>
        <v>45.014880952380949</v>
      </c>
      <c r="X3" s="4">
        <f t="shared" si="13"/>
        <v>61.421130952380949</v>
      </c>
      <c r="Y3" s="5">
        <f t="shared" si="14"/>
        <v>0.36446280991735541</v>
      </c>
      <c r="Z3" s="1">
        <f>'01_WHOQOL_Items'!D3</f>
        <v>3</v>
      </c>
      <c r="AA3" s="1">
        <f>'01_WHOQOL_Items'!AD3</f>
        <v>3</v>
      </c>
      <c r="AB3" s="1">
        <f>'01_WHOQOL_Items'!E3</f>
        <v>2</v>
      </c>
      <c r="AC3" s="1">
        <f>'01_WHOQOL_Items'!AE3</f>
        <v>3</v>
      </c>
    </row>
    <row r="4" spans="1:29">
      <c r="A4" s="1" t="str">
        <f>'01_WHOQOL_Items'!A4</f>
        <v>EXP-003</v>
      </c>
      <c r="B4" s="1" t="str">
        <f>'01_WHOQOL_Items'!B4</f>
        <v>Experimental</v>
      </c>
      <c r="C4" s="4">
        <f>4*(((6-'01_WHOQOL_Items'!F4) + (6-'01_WHOQOL_Items'!G4) + '01_WHOQOL_Items'!M4 + '01_WHOQOL_Items'!R4 + '01_WHOQOL_Items'!S4 + '01_WHOQOL_Items'!T4 + '01_WHOQOL_Items'!U4)/7)</f>
        <v>11.428571428571429</v>
      </c>
      <c r="D4" s="4">
        <f>4*(((6-'01_WHOQOL_Items'!AF4) + (6-'01_WHOQOL_Items'!AG4) + '01_WHOQOL_Items'!AM4 + '01_WHOQOL_Items'!AR4 + '01_WHOQOL_Items'!AS4 + '01_WHOQOL_Items'!AT4 + '01_WHOQOL_Items'!AU4)/7)</f>
        <v>13.142857142857142</v>
      </c>
      <c r="E4" s="4">
        <f t="shared" si="0"/>
        <v>46.428571428571431</v>
      </c>
      <c r="F4" s="4">
        <f t="shared" si="1"/>
        <v>57.142857142857139</v>
      </c>
      <c r="G4" s="5">
        <f t="shared" si="2"/>
        <v>0.23076923076923062</v>
      </c>
      <c r="H4" s="4">
        <f>4*(('01_WHOQOL_Items'!H4 + '01_WHOQOL_Items'!I4 + '01_WHOQOL_Items'!J4 + '01_WHOQOL_Items'!N4 + '01_WHOQOL_Items'!V4 + (6-'01_WHOQOL_Items'!AC4))/6)</f>
        <v>11.333333333333334</v>
      </c>
      <c r="I4" s="4">
        <f>4*(('01_WHOQOL_Items'!AH4 + '01_WHOQOL_Items'!AI4 + '01_WHOQOL_Items'!AJ4 + '01_WHOQOL_Items'!AN4 + '01_WHOQOL_Items'!AV4 + (6-'01_WHOQOL_Items'!BC4))/6)</f>
        <v>13.333333333333334</v>
      </c>
      <c r="J4" s="4">
        <f t="shared" si="3"/>
        <v>45.833333333333336</v>
      </c>
      <c r="K4" s="4">
        <f t="shared" si="4"/>
        <v>58.333333333333336</v>
      </c>
      <c r="L4" s="5">
        <f t="shared" si="5"/>
        <v>0.27272727272727271</v>
      </c>
      <c r="M4" s="4">
        <f>4*(('01_WHOQOL_Items'!W4 + '01_WHOQOL_Items'!X4 + '01_WHOQOL_Items'!Y4)/3)</f>
        <v>9.3333333333333339</v>
      </c>
      <c r="N4" s="4">
        <f>4*(('01_WHOQOL_Items'!AW4 + '01_WHOQOL_Items'!AX4 + '01_WHOQOL_Items'!AY4)/3)</f>
        <v>9.3333333333333339</v>
      </c>
      <c r="O4" s="4">
        <f t="shared" si="6"/>
        <v>33.333333333333336</v>
      </c>
      <c r="P4" s="4">
        <f t="shared" si="7"/>
        <v>33.333333333333336</v>
      </c>
      <c r="Q4" s="5">
        <f t="shared" si="8"/>
        <v>0</v>
      </c>
      <c r="R4" s="4">
        <f>4*(('01_WHOQOL_Items'!K4 + '01_WHOQOL_Items'!L4 + '01_WHOQOL_Items'!O4 + '01_WHOQOL_Items'!P4 + '01_WHOQOL_Items'!Q4 + '01_WHOQOL_Items'!Z4 + '01_WHOQOL_Items'!AA4 + '01_WHOQOL_Items'!AB4)/8)</f>
        <v>13.5</v>
      </c>
      <c r="S4" s="4">
        <f>4*(('01_WHOQOL_Items'!AK4 + '01_WHOQOL_Items'!AL4 + '01_WHOQOL_Items'!AO4 + '01_WHOQOL_Items'!AP4 + '01_WHOQOL_Items'!AQ4 + '01_WHOQOL_Items'!AZ4 + '01_WHOQOL_Items'!BA4 + '01_WHOQOL_Items'!BB4)/8)</f>
        <v>15</v>
      </c>
      <c r="T4" s="4">
        <f t="shared" si="9"/>
        <v>59.375</v>
      </c>
      <c r="U4" s="4">
        <f t="shared" si="10"/>
        <v>68.75</v>
      </c>
      <c r="V4" s="5">
        <f t="shared" si="11"/>
        <v>0.15789473684210525</v>
      </c>
      <c r="W4" s="4">
        <f t="shared" si="12"/>
        <v>46.242559523809526</v>
      </c>
      <c r="X4" s="4">
        <f t="shared" si="13"/>
        <v>54.389880952380956</v>
      </c>
      <c r="Y4" s="5">
        <f t="shared" si="14"/>
        <v>0.17618664521319391</v>
      </c>
      <c r="Z4" s="1">
        <f>'01_WHOQOL_Items'!D4</f>
        <v>3</v>
      </c>
      <c r="AA4" s="1">
        <f>'01_WHOQOL_Items'!AD4</f>
        <v>3</v>
      </c>
      <c r="AB4" s="1">
        <f>'01_WHOQOL_Items'!E4</f>
        <v>3</v>
      </c>
      <c r="AC4" s="1">
        <f>'01_WHOQOL_Items'!AE4</f>
        <v>4</v>
      </c>
    </row>
    <row r="5" spans="1:29">
      <c r="A5" s="1" t="str">
        <f>'01_WHOQOL_Items'!A5</f>
        <v>EXP-004</v>
      </c>
      <c r="B5" s="1" t="str">
        <f>'01_WHOQOL_Items'!B5</f>
        <v>Experimental</v>
      </c>
      <c r="C5" s="4">
        <f>4*(((6-'01_WHOQOL_Items'!F5) + (6-'01_WHOQOL_Items'!G5) + '01_WHOQOL_Items'!M5 + '01_WHOQOL_Items'!R5 + '01_WHOQOL_Items'!S5 + '01_WHOQOL_Items'!T5 + '01_WHOQOL_Items'!U5)/7)</f>
        <v>12</v>
      </c>
      <c r="D5" s="4">
        <f>4*(((6-'01_WHOQOL_Items'!AF5) + (6-'01_WHOQOL_Items'!AG5) + '01_WHOQOL_Items'!AM5 + '01_WHOQOL_Items'!AR5 + '01_WHOQOL_Items'!AS5 + '01_WHOQOL_Items'!AT5 + '01_WHOQOL_Items'!AU5)/7)</f>
        <v>14.857142857142858</v>
      </c>
      <c r="E5" s="4">
        <f t="shared" si="0"/>
        <v>50</v>
      </c>
      <c r="F5" s="4">
        <f t="shared" si="1"/>
        <v>67.857142857142861</v>
      </c>
      <c r="G5" s="5">
        <f t="shared" si="2"/>
        <v>0.35714285714285721</v>
      </c>
      <c r="H5" s="4">
        <f>4*(('01_WHOQOL_Items'!H5 + '01_WHOQOL_Items'!I5 + '01_WHOQOL_Items'!J5 + '01_WHOQOL_Items'!N5 + '01_WHOQOL_Items'!V5 + (6-'01_WHOQOL_Items'!AC5))/6)</f>
        <v>14</v>
      </c>
      <c r="I5" s="4">
        <f>4*(('01_WHOQOL_Items'!AH5 + '01_WHOQOL_Items'!AI5 + '01_WHOQOL_Items'!AJ5 + '01_WHOQOL_Items'!AN5 + '01_WHOQOL_Items'!AV5 + (6-'01_WHOQOL_Items'!BC5))/6)</f>
        <v>16.666666666666668</v>
      </c>
      <c r="J5" s="4">
        <f t="shared" si="3"/>
        <v>62.5</v>
      </c>
      <c r="K5" s="4">
        <f t="shared" si="4"/>
        <v>79.166666666666671</v>
      </c>
      <c r="L5" s="5">
        <f t="shared" si="5"/>
        <v>0.26666666666666672</v>
      </c>
      <c r="M5" s="4">
        <f>4*(('01_WHOQOL_Items'!W5 + '01_WHOQOL_Items'!X5 + '01_WHOQOL_Items'!Y5)/3)</f>
        <v>16</v>
      </c>
      <c r="N5" s="4">
        <f>4*(('01_WHOQOL_Items'!AW5 + '01_WHOQOL_Items'!AX5 + '01_WHOQOL_Items'!AY5)/3)</f>
        <v>20</v>
      </c>
      <c r="O5" s="4">
        <f t="shared" si="6"/>
        <v>75</v>
      </c>
      <c r="P5" s="4">
        <f t="shared" si="7"/>
        <v>100</v>
      </c>
      <c r="Q5" s="5">
        <f t="shared" si="8"/>
        <v>0.33333333333333331</v>
      </c>
      <c r="R5" s="4">
        <f>4*(('01_WHOQOL_Items'!K5 + '01_WHOQOL_Items'!L5 + '01_WHOQOL_Items'!O5 + '01_WHOQOL_Items'!P5 + '01_WHOQOL_Items'!Q5 + '01_WHOQOL_Items'!Z5 + '01_WHOQOL_Items'!AA5 + '01_WHOQOL_Items'!AB5)/8)</f>
        <v>12.5</v>
      </c>
      <c r="S5" s="4">
        <f>4*(('01_WHOQOL_Items'!AK5 + '01_WHOQOL_Items'!AL5 + '01_WHOQOL_Items'!AO5 + '01_WHOQOL_Items'!AP5 + '01_WHOQOL_Items'!AQ5 + '01_WHOQOL_Items'!AZ5 + '01_WHOQOL_Items'!BA5 + '01_WHOQOL_Items'!BB5)/8)</f>
        <v>12.5</v>
      </c>
      <c r="T5" s="4">
        <f t="shared" si="9"/>
        <v>53.125</v>
      </c>
      <c r="U5" s="4">
        <f t="shared" si="10"/>
        <v>53.125</v>
      </c>
      <c r="V5" s="5">
        <f t="shared" si="11"/>
        <v>0</v>
      </c>
      <c r="W5" s="4">
        <f t="shared" si="12"/>
        <v>60.15625</v>
      </c>
      <c r="X5" s="4">
        <f t="shared" si="13"/>
        <v>75.03720238095238</v>
      </c>
      <c r="Y5" s="5">
        <f t="shared" si="14"/>
        <v>0.2473716759431045</v>
      </c>
      <c r="Z5" s="1">
        <f>'01_WHOQOL_Items'!D5</f>
        <v>3</v>
      </c>
      <c r="AA5" s="1">
        <f>'01_WHOQOL_Items'!AD5</f>
        <v>4</v>
      </c>
      <c r="AB5" s="1">
        <f>'01_WHOQOL_Items'!E5</f>
        <v>3</v>
      </c>
      <c r="AC5" s="1">
        <f>'01_WHOQOL_Items'!AE5</f>
        <v>4</v>
      </c>
    </row>
    <row r="6" spans="1:29">
      <c r="A6" s="1" t="str">
        <f>'01_WHOQOL_Items'!A6</f>
        <v>EXP-005</v>
      </c>
      <c r="B6" s="1" t="str">
        <f>'01_WHOQOL_Items'!B6</f>
        <v>Experimental</v>
      </c>
      <c r="C6" s="4">
        <f>4*(((6-'01_WHOQOL_Items'!F6) + (6-'01_WHOQOL_Items'!G6) + '01_WHOQOL_Items'!M6 + '01_WHOQOL_Items'!R6 + '01_WHOQOL_Items'!S6 + '01_WHOQOL_Items'!T6 + '01_WHOQOL_Items'!U6)/7)</f>
        <v>16</v>
      </c>
      <c r="D6" s="4">
        <f>4*(((6-'01_WHOQOL_Items'!AF6) + (6-'01_WHOQOL_Items'!AG6) + '01_WHOQOL_Items'!AM6 + '01_WHOQOL_Items'!AR6 + '01_WHOQOL_Items'!AS6 + '01_WHOQOL_Items'!AT6 + '01_WHOQOL_Items'!AU6)/7)</f>
        <v>13.142857142857142</v>
      </c>
      <c r="E6" s="4">
        <f t="shared" si="0"/>
        <v>75</v>
      </c>
      <c r="F6" s="4">
        <f t="shared" si="1"/>
        <v>57.142857142857139</v>
      </c>
      <c r="G6" s="5">
        <f t="shared" si="2"/>
        <v>-0.23809523809523814</v>
      </c>
      <c r="H6" s="4">
        <f>4*(('01_WHOQOL_Items'!H6 + '01_WHOQOL_Items'!I6 + '01_WHOQOL_Items'!J6 + '01_WHOQOL_Items'!N6 + '01_WHOQOL_Items'!V6 + (6-'01_WHOQOL_Items'!AC6))/6)</f>
        <v>12</v>
      </c>
      <c r="I6" s="4">
        <f>4*(('01_WHOQOL_Items'!AH6 + '01_WHOQOL_Items'!AI6 + '01_WHOQOL_Items'!AJ6 + '01_WHOQOL_Items'!AN6 + '01_WHOQOL_Items'!AV6 + (6-'01_WHOQOL_Items'!BC6))/6)</f>
        <v>15.333333333333334</v>
      </c>
      <c r="J6" s="4">
        <f t="shared" si="3"/>
        <v>50</v>
      </c>
      <c r="K6" s="4">
        <f t="shared" si="4"/>
        <v>70.833333333333343</v>
      </c>
      <c r="L6" s="5">
        <f t="shared" si="5"/>
        <v>0.41666666666666685</v>
      </c>
      <c r="M6" s="4">
        <f>4*(('01_WHOQOL_Items'!W6 + '01_WHOQOL_Items'!X6 + '01_WHOQOL_Items'!Y6)/3)</f>
        <v>13.333333333333334</v>
      </c>
      <c r="N6" s="4">
        <f>4*(('01_WHOQOL_Items'!AW6 + '01_WHOQOL_Items'!AX6 + '01_WHOQOL_Items'!AY6)/3)</f>
        <v>14.666666666666666</v>
      </c>
      <c r="O6" s="4">
        <f t="shared" si="6"/>
        <v>58.333333333333336</v>
      </c>
      <c r="P6" s="4">
        <f t="shared" si="7"/>
        <v>66.666666666666657</v>
      </c>
      <c r="Q6" s="5">
        <f t="shared" si="8"/>
        <v>0.14285714285714265</v>
      </c>
      <c r="R6" s="4">
        <f>4*(('01_WHOQOL_Items'!K6 + '01_WHOQOL_Items'!L6 + '01_WHOQOL_Items'!O6 + '01_WHOQOL_Items'!P6 + '01_WHOQOL_Items'!Q6 + '01_WHOQOL_Items'!Z6 + '01_WHOQOL_Items'!AA6 + '01_WHOQOL_Items'!AB6)/8)</f>
        <v>8.5</v>
      </c>
      <c r="S6" s="4">
        <f>4*(('01_WHOQOL_Items'!AK6 + '01_WHOQOL_Items'!AL6 + '01_WHOQOL_Items'!AO6 + '01_WHOQOL_Items'!AP6 + '01_WHOQOL_Items'!AQ6 + '01_WHOQOL_Items'!AZ6 + '01_WHOQOL_Items'!BA6 + '01_WHOQOL_Items'!BB6)/8)</f>
        <v>12</v>
      </c>
      <c r="T6" s="4">
        <f t="shared" si="9"/>
        <v>28.125</v>
      </c>
      <c r="U6" s="4">
        <f t="shared" si="10"/>
        <v>50</v>
      </c>
      <c r="V6" s="5">
        <f t="shared" si="11"/>
        <v>0.77777777777777779</v>
      </c>
      <c r="W6" s="4">
        <f t="shared" si="12"/>
        <v>52.864583333333336</v>
      </c>
      <c r="X6" s="4">
        <f t="shared" si="13"/>
        <v>61.160714285714285</v>
      </c>
      <c r="Y6" s="5">
        <f t="shared" si="14"/>
        <v>0.15693173821252632</v>
      </c>
      <c r="Z6" s="1">
        <f>'01_WHOQOL_Items'!D6</f>
        <v>3</v>
      </c>
      <c r="AA6" s="1">
        <f>'01_WHOQOL_Items'!AD6</f>
        <v>3</v>
      </c>
      <c r="AB6" s="1">
        <f>'01_WHOQOL_Items'!E6</f>
        <v>3</v>
      </c>
      <c r="AC6" s="1">
        <f>'01_WHOQOL_Items'!AE6</f>
        <v>3</v>
      </c>
    </row>
    <row r="7" spans="1:29">
      <c r="A7" s="1" t="str">
        <f>'01_WHOQOL_Items'!A7</f>
        <v>EXP-006</v>
      </c>
      <c r="B7" s="1" t="str">
        <f>'01_WHOQOL_Items'!B7</f>
        <v>Experimental</v>
      </c>
      <c r="C7" s="4">
        <f>4*(((6-'01_WHOQOL_Items'!F7) + (6-'01_WHOQOL_Items'!G7) + '01_WHOQOL_Items'!M7 + '01_WHOQOL_Items'!R7 + '01_WHOQOL_Items'!S7 + '01_WHOQOL_Items'!T7 + '01_WHOQOL_Items'!U7)/7)</f>
        <v>10.857142857142858</v>
      </c>
      <c r="D7" s="4">
        <f>4*(((6-'01_WHOQOL_Items'!AF7) + (6-'01_WHOQOL_Items'!AG7) + '01_WHOQOL_Items'!AM7 + '01_WHOQOL_Items'!AR7 + '01_WHOQOL_Items'!AS7 + '01_WHOQOL_Items'!AT7 + '01_WHOQOL_Items'!AU7)/7)</f>
        <v>11.428571428571429</v>
      </c>
      <c r="E7" s="4">
        <f t="shared" si="0"/>
        <v>42.857142857142861</v>
      </c>
      <c r="F7" s="4">
        <f t="shared" si="1"/>
        <v>46.428571428571431</v>
      </c>
      <c r="G7" s="5">
        <f t="shared" si="2"/>
        <v>8.3333333333333273E-2</v>
      </c>
      <c r="H7" s="4">
        <f>4*(('01_WHOQOL_Items'!H7 + '01_WHOQOL_Items'!I7 + '01_WHOQOL_Items'!J7 + '01_WHOQOL_Items'!N7 + '01_WHOQOL_Items'!V7 + (6-'01_WHOQOL_Items'!AC7))/6)</f>
        <v>12</v>
      </c>
      <c r="I7" s="4">
        <f>4*(('01_WHOQOL_Items'!AH7 + '01_WHOQOL_Items'!AI7 + '01_WHOQOL_Items'!AJ7 + '01_WHOQOL_Items'!AN7 + '01_WHOQOL_Items'!AV7 + (6-'01_WHOQOL_Items'!BC7))/6)</f>
        <v>12</v>
      </c>
      <c r="J7" s="4">
        <f t="shared" si="3"/>
        <v>50</v>
      </c>
      <c r="K7" s="4">
        <f t="shared" si="4"/>
        <v>50</v>
      </c>
      <c r="L7" s="5">
        <f t="shared" si="5"/>
        <v>0</v>
      </c>
      <c r="M7" s="4">
        <f>4*(('01_WHOQOL_Items'!W7 + '01_WHOQOL_Items'!X7 + '01_WHOQOL_Items'!Y7)/3)</f>
        <v>12</v>
      </c>
      <c r="N7" s="4">
        <f>4*(('01_WHOQOL_Items'!AW7 + '01_WHOQOL_Items'!AX7 + '01_WHOQOL_Items'!AY7)/3)</f>
        <v>17.333333333333332</v>
      </c>
      <c r="O7" s="4">
        <f t="shared" si="6"/>
        <v>50</v>
      </c>
      <c r="P7" s="4">
        <f t="shared" si="7"/>
        <v>83.333333333333329</v>
      </c>
      <c r="Q7" s="5">
        <f t="shared" si="8"/>
        <v>0.66666666666666652</v>
      </c>
      <c r="R7" s="4">
        <f>4*(('01_WHOQOL_Items'!K7 + '01_WHOQOL_Items'!L7 + '01_WHOQOL_Items'!O7 + '01_WHOQOL_Items'!P7 + '01_WHOQOL_Items'!Q7 + '01_WHOQOL_Items'!Z7 + '01_WHOQOL_Items'!AA7 + '01_WHOQOL_Items'!AB7)/8)</f>
        <v>12.5</v>
      </c>
      <c r="S7" s="4">
        <f>4*(('01_WHOQOL_Items'!AK7 + '01_WHOQOL_Items'!AL7 + '01_WHOQOL_Items'!AO7 + '01_WHOQOL_Items'!AP7 + '01_WHOQOL_Items'!AQ7 + '01_WHOQOL_Items'!AZ7 + '01_WHOQOL_Items'!BA7 + '01_WHOQOL_Items'!BB7)/8)</f>
        <v>14.5</v>
      </c>
      <c r="T7" s="4">
        <f t="shared" si="9"/>
        <v>53.125</v>
      </c>
      <c r="U7" s="4">
        <f t="shared" si="10"/>
        <v>65.625</v>
      </c>
      <c r="V7" s="5">
        <f t="shared" si="11"/>
        <v>0.23529411764705882</v>
      </c>
      <c r="W7" s="4">
        <f t="shared" si="12"/>
        <v>48.995535714285715</v>
      </c>
      <c r="X7" s="4">
        <f t="shared" si="13"/>
        <v>61.34672619047619</v>
      </c>
      <c r="Y7" s="5">
        <f t="shared" si="14"/>
        <v>0.25208807896734997</v>
      </c>
      <c r="Z7" s="1">
        <f>'01_WHOQOL_Items'!D7</f>
        <v>3</v>
      </c>
      <c r="AA7" s="1">
        <f>'01_WHOQOL_Items'!AD7</f>
        <v>3</v>
      </c>
      <c r="AB7" s="1">
        <f>'01_WHOQOL_Items'!E7</f>
        <v>3</v>
      </c>
      <c r="AC7" s="1">
        <f>'01_WHOQOL_Items'!AE7</f>
        <v>2</v>
      </c>
    </row>
    <row r="8" spans="1:29">
      <c r="A8" s="1" t="str">
        <f>'01_WHOQOL_Items'!A8</f>
        <v>EXP-007</v>
      </c>
      <c r="B8" s="1" t="str">
        <f>'01_WHOQOL_Items'!B8</f>
        <v>Experimental</v>
      </c>
      <c r="C8" s="4">
        <f>4*(((6-'01_WHOQOL_Items'!F8) + (6-'01_WHOQOL_Items'!G8) + '01_WHOQOL_Items'!M8 + '01_WHOQOL_Items'!R8 + '01_WHOQOL_Items'!S8 + '01_WHOQOL_Items'!T8 + '01_WHOQOL_Items'!U8)/7)</f>
        <v>13.142857142857142</v>
      </c>
      <c r="D8" s="4">
        <f>4*(((6-'01_WHOQOL_Items'!AF8) + (6-'01_WHOQOL_Items'!AG8) + '01_WHOQOL_Items'!AM8 + '01_WHOQOL_Items'!AR8 + '01_WHOQOL_Items'!AS8 + '01_WHOQOL_Items'!AT8 + '01_WHOQOL_Items'!AU8)/7)</f>
        <v>12</v>
      </c>
      <c r="E8" s="4">
        <f t="shared" si="0"/>
        <v>57.142857142857139</v>
      </c>
      <c r="F8" s="4">
        <f t="shared" si="1"/>
        <v>50</v>
      </c>
      <c r="G8" s="5">
        <f t="shared" si="2"/>
        <v>-0.12499999999999994</v>
      </c>
      <c r="H8" s="4">
        <f>4*(('01_WHOQOL_Items'!H8 + '01_WHOQOL_Items'!I8 + '01_WHOQOL_Items'!J8 + '01_WHOQOL_Items'!N8 + '01_WHOQOL_Items'!V8 + (6-'01_WHOQOL_Items'!AC8))/6)</f>
        <v>8.6666666666666661</v>
      </c>
      <c r="I8" s="4">
        <f>4*(('01_WHOQOL_Items'!AH8 + '01_WHOQOL_Items'!AI8 + '01_WHOQOL_Items'!AJ8 + '01_WHOQOL_Items'!AN8 + '01_WHOQOL_Items'!AV8 + (6-'01_WHOQOL_Items'!BC8))/6)</f>
        <v>13.333333333333334</v>
      </c>
      <c r="J8" s="4">
        <f t="shared" si="3"/>
        <v>29.166666666666664</v>
      </c>
      <c r="K8" s="4">
        <f t="shared" si="4"/>
        <v>58.333333333333336</v>
      </c>
      <c r="L8" s="5">
        <f t="shared" si="5"/>
        <v>1.0000000000000002</v>
      </c>
      <c r="M8" s="4">
        <f>4*(('01_WHOQOL_Items'!W8 + '01_WHOQOL_Items'!X8 + '01_WHOQOL_Items'!Y8)/3)</f>
        <v>10.666666666666666</v>
      </c>
      <c r="N8" s="4">
        <f>4*(('01_WHOQOL_Items'!AW8 + '01_WHOQOL_Items'!AX8 + '01_WHOQOL_Items'!AY8)/3)</f>
        <v>13.333333333333334</v>
      </c>
      <c r="O8" s="4">
        <f t="shared" si="6"/>
        <v>41.666666666666664</v>
      </c>
      <c r="P8" s="4">
        <f t="shared" si="7"/>
        <v>58.333333333333336</v>
      </c>
      <c r="Q8" s="5">
        <f t="shared" si="8"/>
        <v>0.40000000000000013</v>
      </c>
      <c r="R8" s="4">
        <f>4*(('01_WHOQOL_Items'!K8 + '01_WHOQOL_Items'!L8 + '01_WHOQOL_Items'!O8 + '01_WHOQOL_Items'!P8 + '01_WHOQOL_Items'!Q8 + '01_WHOQOL_Items'!Z8 + '01_WHOQOL_Items'!AA8 + '01_WHOQOL_Items'!AB8)/8)</f>
        <v>8</v>
      </c>
      <c r="S8" s="4">
        <f>4*(('01_WHOQOL_Items'!AK8 + '01_WHOQOL_Items'!AL8 + '01_WHOQOL_Items'!AO8 + '01_WHOQOL_Items'!AP8 + '01_WHOQOL_Items'!AQ8 + '01_WHOQOL_Items'!AZ8 + '01_WHOQOL_Items'!BA8 + '01_WHOQOL_Items'!BB8)/8)</f>
        <v>11.5</v>
      </c>
      <c r="T8" s="4">
        <f t="shared" si="9"/>
        <v>25</v>
      </c>
      <c r="U8" s="4">
        <f t="shared" si="10"/>
        <v>46.875</v>
      </c>
      <c r="V8" s="5">
        <f t="shared" si="11"/>
        <v>0.875</v>
      </c>
      <c r="W8" s="4">
        <f t="shared" si="12"/>
        <v>38.244047619047613</v>
      </c>
      <c r="X8" s="4">
        <f t="shared" si="13"/>
        <v>53.385416666666671</v>
      </c>
      <c r="Y8" s="5">
        <f t="shared" si="14"/>
        <v>0.39591439688715985</v>
      </c>
      <c r="Z8" s="1">
        <f>'01_WHOQOL_Items'!D8</f>
        <v>2</v>
      </c>
      <c r="AA8" s="1">
        <f>'01_WHOQOL_Items'!AD8</f>
        <v>3</v>
      </c>
      <c r="AB8" s="1">
        <f>'01_WHOQOL_Items'!E8</f>
        <v>4</v>
      </c>
      <c r="AC8" s="1">
        <f>'01_WHOQOL_Items'!AE8</f>
        <v>3</v>
      </c>
    </row>
    <row r="9" spans="1:29">
      <c r="A9" s="1" t="str">
        <f>'01_WHOQOL_Items'!A9</f>
        <v>EXP-008</v>
      </c>
      <c r="B9" s="1" t="str">
        <f>'01_WHOQOL_Items'!B9</f>
        <v>Experimental</v>
      </c>
      <c r="C9" s="4">
        <f>4*(((6-'01_WHOQOL_Items'!F9) + (6-'01_WHOQOL_Items'!G9) + '01_WHOQOL_Items'!M9 + '01_WHOQOL_Items'!R9 + '01_WHOQOL_Items'!S9 + '01_WHOQOL_Items'!T9 + '01_WHOQOL_Items'!U9)/7)</f>
        <v>10.857142857142858</v>
      </c>
      <c r="D9" s="4">
        <f>4*(((6-'01_WHOQOL_Items'!AF9) + (6-'01_WHOQOL_Items'!AG9) + '01_WHOQOL_Items'!AM9 + '01_WHOQOL_Items'!AR9 + '01_WHOQOL_Items'!AS9 + '01_WHOQOL_Items'!AT9 + '01_WHOQOL_Items'!AU9)/7)</f>
        <v>11.428571428571429</v>
      </c>
      <c r="E9" s="4">
        <f t="shared" si="0"/>
        <v>42.857142857142861</v>
      </c>
      <c r="F9" s="4">
        <f t="shared" si="1"/>
        <v>46.428571428571431</v>
      </c>
      <c r="G9" s="5">
        <f t="shared" si="2"/>
        <v>8.3333333333333273E-2</v>
      </c>
      <c r="H9" s="4">
        <f>4*(('01_WHOQOL_Items'!H9 + '01_WHOQOL_Items'!I9 + '01_WHOQOL_Items'!J9 + '01_WHOQOL_Items'!N9 + '01_WHOQOL_Items'!V9 + (6-'01_WHOQOL_Items'!AC9))/6)</f>
        <v>10.666666666666666</v>
      </c>
      <c r="I9" s="4">
        <f>4*(('01_WHOQOL_Items'!AH9 + '01_WHOQOL_Items'!AI9 + '01_WHOQOL_Items'!AJ9 + '01_WHOQOL_Items'!AN9 + '01_WHOQOL_Items'!AV9 + (6-'01_WHOQOL_Items'!BC9))/6)</f>
        <v>14.666666666666666</v>
      </c>
      <c r="J9" s="4">
        <f t="shared" si="3"/>
        <v>41.666666666666664</v>
      </c>
      <c r="K9" s="4">
        <f t="shared" si="4"/>
        <v>66.666666666666657</v>
      </c>
      <c r="L9" s="5">
        <f t="shared" si="5"/>
        <v>0.59999999999999987</v>
      </c>
      <c r="M9" s="4">
        <f>4*(('01_WHOQOL_Items'!W9 + '01_WHOQOL_Items'!X9 + '01_WHOQOL_Items'!Y9)/3)</f>
        <v>10.666666666666666</v>
      </c>
      <c r="N9" s="4">
        <f>4*(('01_WHOQOL_Items'!AW9 + '01_WHOQOL_Items'!AX9 + '01_WHOQOL_Items'!AY9)/3)</f>
        <v>12</v>
      </c>
      <c r="O9" s="4">
        <f t="shared" si="6"/>
        <v>41.666666666666664</v>
      </c>
      <c r="P9" s="4">
        <f t="shared" si="7"/>
        <v>50</v>
      </c>
      <c r="Q9" s="5">
        <f t="shared" si="8"/>
        <v>0.20000000000000007</v>
      </c>
      <c r="R9" s="4">
        <f>4*(('01_WHOQOL_Items'!K9 + '01_WHOQOL_Items'!L9 + '01_WHOQOL_Items'!O9 + '01_WHOQOL_Items'!P9 + '01_WHOQOL_Items'!Q9 + '01_WHOQOL_Items'!Z9 + '01_WHOQOL_Items'!AA9 + '01_WHOQOL_Items'!AB9)/8)</f>
        <v>11</v>
      </c>
      <c r="S9" s="4">
        <f>4*(('01_WHOQOL_Items'!AK9 + '01_WHOQOL_Items'!AL9 + '01_WHOQOL_Items'!AO9 + '01_WHOQOL_Items'!AP9 + '01_WHOQOL_Items'!AQ9 + '01_WHOQOL_Items'!AZ9 + '01_WHOQOL_Items'!BA9 + '01_WHOQOL_Items'!BB9)/8)</f>
        <v>12</v>
      </c>
      <c r="T9" s="4">
        <f t="shared" si="9"/>
        <v>43.75</v>
      </c>
      <c r="U9" s="4">
        <f t="shared" si="10"/>
        <v>50</v>
      </c>
      <c r="V9" s="5">
        <f t="shared" si="11"/>
        <v>0.14285714285714285</v>
      </c>
      <c r="W9" s="4">
        <f t="shared" si="12"/>
        <v>42.485119047619044</v>
      </c>
      <c r="X9" s="4">
        <f t="shared" si="13"/>
        <v>53.273809523809518</v>
      </c>
      <c r="Y9" s="5">
        <f t="shared" si="14"/>
        <v>0.25394045534150611</v>
      </c>
      <c r="Z9" s="1">
        <f>'01_WHOQOL_Items'!D9</f>
        <v>3</v>
      </c>
      <c r="AA9" s="1">
        <f>'01_WHOQOL_Items'!AD9</f>
        <v>3</v>
      </c>
      <c r="AB9" s="1">
        <f>'01_WHOQOL_Items'!E9</f>
        <v>2</v>
      </c>
      <c r="AC9" s="1">
        <f>'01_WHOQOL_Items'!AE9</f>
        <v>3</v>
      </c>
    </row>
    <row r="10" spans="1:29">
      <c r="A10" s="1" t="str">
        <f>'01_WHOQOL_Items'!A10</f>
        <v>EXP-009</v>
      </c>
      <c r="B10" s="1" t="str">
        <f>'01_WHOQOL_Items'!B10</f>
        <v>Experimental</v>
      </c>
      <c r="C10" s="4">
        <f>4*(((6-'01_WHOQOL_Items'!F10) + (6-'01_WHOQOL_Items'!G10) + '01_WHOQOL_Items'!M10 + '01_WHOQOL_Items'!R10 + '01_WHOQOL_Items'!S10 + '01_WHOQOL_Items'!T10 + '01_WHOQOL_Items'!U10)/7)</f>
        <v>13.714285714285714</v>
      </c>
      <c r="D10" s="4">
        <f>4*(((6-'01_WHOQOL_Items'!AF10) + (6-'01_WHOQOL_Items'!AG10) + '01_WHOQOL_Items'!AM10 + '01_WHOQOL_Items'!AR10 + '01_WHOQOL_Items'!AS10 + '01_WHOQOL_Items'!AT10 + '01_WHOQOL_Items'!AU10)/7)</f>
        <v>12.571428571428571</v>
      </c>
      <c r="E10" s="4">
        <f t="shared" si="0"/>
        <v>60.714285714285708</v>
      </c>
      <c r="F10" s="4">
        <f t="shared" si="1"/>
        <v>53.571428571428569</v>
      </c>
      <c r="G10" s="5">
        <f t="shared" si="2"/>
        <v>-0.11764705882352935</v>
      </c>
      <c r="H10" s="4">
        <f>4*(('01_WHOQOL_Items'!H10 + '01_WHOQOL_Items'!I10 + '01_WHOQOL_Items'!J10 + '01_WHOQOL_Items'!N10 + '01_WHOQOL_Items'!V10 + (6-'01_WHOQOL_Items'!AC10))/6)</f>
        <v>8</v>
      </c>
      <c r="I10" s="4">
        <f>4*(('01_WHOQOL_Items'!AH10 + '01_WHOQOL_Items'!AI10 + '01_WHOQOL_Items'!AJ10 + '01_WHOQOL_Items'!AN10 + '01_WHOQOL_Items'!AV10 + (6-'01_WHOQOL_Items'!BC10))/6)</f>
        <v>10.666666666666666</v>
      </c>
      <c r="J10" s="4">
        <f t="shared" si="3"/>
        <v>25</v>
      </c>
      <c r="K10" s="4">
        <f t="shared" si="4"/>
        <v>41.666666666666664</v>
      </c>
      <c r="L10" s="5">
        <f t="shared" si="5"/>
        <v>0.66666666666666652</v>
      </c>
      <c r="M10" s="4">
        <f>4*(('01_WHOQOL_Items'!W10 + '01_WHOQOL_Items'!X10 + '01_WHOQOL_Items'!Y10)/3)</f>
        <v>10.666666666666666</v>
      </c>
      <c r="N10" s="4">
        <f>4*(('01_WHOQOL_Items'!AW10 + '01_WHOQOL_Items'!AX10 + '01_WHOQOL_Items'!AY10)/3)</f>
        <v>12</v>
      </c>
      <c r="O10" s="4">
        <f t="shared" si="6"/>
        <v>41.666666666666664</v>
      </c>
      <c r="P10" s="4">
        <f t="shared" si="7"/>
        <v>50</v>
      </c>
      <c r="Q10" s="5">
        <f t="shared" si="8"/>
        <v>0.20000000000000007</v>
      </c>
      <c r="R10" s="4">
        <f>4*(('01_WHOQOL_Items'!K10 + '01_WHOQOL_Items'!L10 + '01_WHOQOL_Items'!O10 + '01_WHOQOL_Items'!P10 + '01_WHOQOL_Items'!Q10 + '01_WHOQOL_Items'!Z10 + '01_WHOQOL_Items'!AA10 + '01_WHOQOL_Items'!AB10)/8)</f>
        <v>12</v>
      </c>
      <c r="S10" s="4">
        <f>4*(('01_WHOQOL_Items'!AK10 + '01_WHOQOL_Items'!AL10 + '01_WHOQOL_Items'!AO10 + '01_WHOQOL_Items'!AP10 + '01_WHOQOL_Items'!AQ10 + '01_WHOQOL_Items'!AZ10 + '01_WHOQOL_Items'!BA10 + '01_WHOQOL_Items'!BB10)/8)</f>
        <v>13</v>
      </c>
      <c r="T10" s="4">
        <f t="shared" si="9"/>
        <v>50</v>
      </c>
      <c r="U10" s="4">
        <f t="shared" si="10"/>
        <v>56.25</v>
      </c>
      <c r="V10" s="5">
        <f t="shared" si="11"/>
        <v>0.125</v>
      </c>
      <c r="W10" s="4">
        <f t="shared" si="12"/>
        <v>44.345238095238095</v>
      </c>
      <c r="X10" s="4">
        <f t="shared" si="13"/>
        <v>50.37202380952381</v>
      </c>
      <c r="Y10" s="5">
        <f t="shared" si="14"/>
        <v>0.1359060402684564</v>
      </c>
      <c r="Z10" s="1">
        <f>'01_WHOQOL_Items'!D10</f>
        <v>3</v>
      </c>
      <c r="AA10" s="1">
        <f>'01_WHOQOL_Items'!AD10</f>
        <v>4</v>
      </c>
      <c r="AB10" s="1">
        <f>'01_WHOQOL_Items'!E10</f>
        <v>3</v>
      </c>
      <c r="AC10" s="1">
        <f>'01_WHOQOL_Items'!AE10</f>
        <v>3</v>
      </c>
    </row>
    <row r="11" spans="1:29">
      <c r="A11" s="1" t="str">
        <f>'01_WHOQOL_Items'!A11</f>
        <v>EXP-010</v>
      </c>
      <c r="B11" s="1" t="str">
        <f>'01_WHOQOL_Items'!B11</f>
        <v>Experimental</v>
      </c>
      <c r="C11" s="4">
        <f>4*(((6-'01_WHOQOL_Items'!F11) + (6-'01_WHOQOL_Items'!G11) + '01_WHOQOL_Items'!M11 + '01_WHOQOL_Items'!R11 + '01_WHOQOL_Items'!S11 + '01_WHOQOL_Items'!T11 + '01_WHOQOL_Items'!U11)/7)</f>
        <v>13.142857142857142</v>
      </c>
      <c r="D11" s="4">
        <f>4*(((6-'01_WHOQOL_Items'!AF11) + (6-'01_WHOQOL_Items'!AG11) + '01_WHOQOL_Items'!AM11 + '01_WHOQOL_Items'!AR11 + '01_WHOQOL_Items'!AS11 + '01_WHOQOL_Items'!AT11 + '01_WHOQOL_Items'!AU11)/7)</f>
        <v>13.142857142857142</v>
      </c>
      <c r="E11" s="4">
        <f t="shared" si="0"/>
        <v>57.142857142857139</v>
      </c>
      <c r="F11" s="4">
        <f t="shared" si="1"/>
        <v>57.142857142857139</v>
      </c>
      <c r="G11" s="5">
        <f t="shared" si="2"/>
        <v>0</v>
      </c>
      <c r="H11" s="4">
        <f>4*(('01_WHOQOL_Items'!H11 + '01_WHOQOL_Items'!I11 + '01_WHOQOL_Items'!J11 + '01_WHOQOL_Items'!N11 + '01_WHOQOL_Items'!V11 + (6-'01_WHOQOL_Items'!AC11))/6)</f>
        <v>14.666666666666666</v>
      </c>
      <c r="I11" s="4">
        <f>4*(('01_WHOQOL_Items'!AH11 + '01_WHOQOL_Items'!AI11 + '01_WHOQOL_Items'!AJ11 + '01_WHOQOL_Items'!AN11 + '01_WHOQOL_Items'!AV11 + (6-'01_WHOQOL_Items'!BC11))/6)</f>
        <v>17.333333333333332</v>
      </c>
      <c r="J11" s="4">
        <f t="shared" si="3"/>
        <v>66.666666666666657</v>
      </c>
      <c r="K11" s="4">
        <f t="shared" si="4"/>
        <v>83.333333333333329</v>
      </c>
      <c r="L11" s="5">
        <f t="shared" si="5"/>
        <v>0.25000000000000011</v>
      </c>
      <c r="M11" s="4">
        <f>4*(('01_WHOQOL_Items'!W11 + '01_WHOQOL_Items'!X11 + '01_WHOQOL_Items'!Y11)/3)</f>
        <v>8</v>
      </c>
      <c r="N11" s="4">
        <f>4*(('01_WHOQOL_Items'!AW11 + '01_WHOQOL_Items'!AX11 + '01_WHOQOL_Items'!AY11)/3)</f>
        <v>10.666666666666666</v>
      </c>
      <c r="O11" s="4">
        <f t="shared" si="6"/>
        <v>25</v>
      </c>
      <c r="P11" s="4">
        <f t="shared" si="7"/>
        <v>41.666666666666664</v>
      </c>
      <c r="Q11" s="5">
        <f t="shared" si="8"/>
        <v>0.66666666666666652</v>
      </c>
      <c r="R11" s="4">
        <f>4*(('01_WHOQOL_Items'!K11 + '01_WHOQOL_Items'!L11 + '01_WHOQOL_Items'!O11 + '01_WHOQOL_Items'!P11 + '01_WHOQOL_Items'!Q11 + '01_WHOQOL_Items'!Z11 + '01_WHOQOL_Items'!AA11 + '01_WHOQOL_Items'!AB11)/8)</f>
        <v>12</v>
      </c>
      <c r="S11" s="4">
        <f>4*(('01_WHOQOL_Items'!AK11 + '01_WHOQOL_Items'!AL11 + '01_WHOQOL_Items'!AO11 + '01_WHOQOL_Items'!AP11 + '01_WHOQOL_Items'!AQ11 + '01_WHOQOL_Items'!AZ11 + '01_WHOQOL_Items'!BA11 + '01_WHOQOL_Items'!BB11)/8)</f>
        <v>13</v>
      </c>
      <c r="T11" s="4">
        <f t="shared" si="9"/>
        <v>50</v>
      </c>
      <c r="U11" s="4">
        <f t="shared" si="10"/>
        <v>56.25</v>
      </c>
      <c r="V11" s="5">
        <f t="shared" si="11"/>
        <v>0.125</v>
      </c>
      <c r="W11" s="4">
        <f t="shared" si="12"/>
        <v>49.702380952380949</v>
      </c>
      <c r="X11" s="4">
        <f t="shared" si="13"/>
        <v>59.598214285714285</v>
      </c>
      <c r="Y11" s="5">
        <f t="shared" si="14"/>
        <v>0.1991017964071857</v>
      </c>
      <c r="Z11" s="1">
        <f>'01_WHOQOL_Items'!D11</f>
        <v>3</v>
      </c>
      <c r="AA11" s="1">
        <f>'01_WHOQOL_Items'!AD11</f>
        <v>4</v>
      </c>
      <c r="AB11" s="1">
        <f>'01_WHOQOL_Items'!E11</f>
        <v>2</v>
      </c>
      <c r="AC11" s="1">
        <f>'01_WHOQOL_Items'!AE11</f>
        <v>3</v>
      </c>
    </row>
    <row r="12" spans="1:29">
      <c r="A12" s="1" t="str">
        <f>'01_WHOQOL_Items'!A12</f>
        <v>EXP-011</v>
      </c>
      <c r="B12" s="1" t="str">
        <f>'01_WHOQOL_Items'!B12</f>
        <v>Experimental</v>
      </c>
      <c r="C12" s="4">
        <f>4*(((6-'01_WHOQOL_Items'!F12) + (6-'01_WHOQOL_Items'!G12) + '01_WHOQOL_Items'!M12 + '01_WHOQOL_Items'!R12 + '01_WHOQOL_Items'!S12 + '01_WHOQOL_Items'!T12 + '01_WHOQOL_Items'!U12)/7)</f>
        <v>10.285714285714286</v>
      </c>
      <c r="D12" s="4">
        <f>4*(((6-'01_WHOQOL_Items'!AF12) + (6-'01_WHOQOL_Items'!AG12) + '01_WHOQOL_Items'!AM12 + '01_WHOQOL_Items'!AR12 + '01_WHOQOL_Items'!AS12 + '01_WHOQOL_Items'!AT12 + '01_WHOQOL_Items'!AU12)/7)</f>
        <v>11.428571428571429</v>
      </c>
      <c r="E12" s="4">
        <f t="shared" si="0"/>
        <v>39.285714285714292</v>
      </c>
      <c r="F12" s="4">
        <f t="shared" si="1"/>
        <v>46.428571428571431</v>
      </c>
      <c r="G12" s="5">
        <f t="shared" si="2"/>
        <v>0.18181818181818168</v>
      </c>
      <c r="H12" s="4">
        <f>4*(('01_WHOQOL_Items'!H12 + '01_WHOQOL_Items'!I12 + '01_WHOQOL_Items'!J12 + '01_WHOQOL_Items'!N12 + '01_WHOQOL_Items'!V12 + (6-'01_WHOQOL_Items'!AC12))/6)</f>
        <v>10</v>
      </c>
      <c r="I12" s="4">
        <f>4*(('01_WHOQOL_Items'!AH12 + '01_WHOQOL_Items'!AI12 + '01_WHOQOL_Items'!AJ12 + '01_WHOQOL_Items'!AN12 + '01_WHOQOL_Items'!AV12 + (6-'01_WHOQOL_Items'!BC12))/6)</f>
        <v>15.333333333333334</v>
      </c>
      <c r="J12" s="4">
        <f t="shared" si="3"/>
        <v>37.5</v>
      </c>
      <c r="K12" s="4">
        <f t="shared" si="4"/>
        <v>70.833333333333343</v>
      </c>
      <c r="L12" s="5">
        <f t="shared" si="5"/>
        <v>0.88888888888888917</v>
      </c>
      <c r="M12" s="4">
        <f>4*(('01_WHOQOL_Items'!W12 + '01_WHOQOL_Items'!X12 + '01_WHOQOL_Items'!Y12)/3)</f>
        <v>12</v>
      </c>
      <c r="N12" s="4">
        <f>4*(('01_WHOQOL_Items'!AW12 + '01_WHOQOL_Items'!AX12 + '01_WHOQOL_Items'!AY12)/3)</f>
        <v>12</v>
      </c>
      <c r="O12" s="4">
        <f t="shared" si="6"/>
        <v>50</v>
      </c>
      <c r="P12" s="4">
        <f t="shared" si="7"/>
        <v>50</v>
      </c>
      <c r="Q12" s="5">
        <f t="shared" si="8"/>
        <v>0</v>
      </c>
      <c r="R12" s="4">
        <f>4*(('01_WHOQOL_Items'!K12 + '01_WHOQOL_Items'!L12 + '01_WHOQOL_Items'!O12 + '01_WHOQOL_Items'!P12 + '01_WHOQOL_Items'!Q12 + '01_WHOQOL_Items'!Z12 + '01_WHOQOL_Items'!AA12 + '01_WHOQOL_Items'!AB12)/8)</f>
        <v>12</v>
      </c>
      <c r="S12" s="4">
        <f>4*(('01_WHOQOL_Items'!AK12 + '01_WHOQOL_Items'!AL12 + '01_WHOQOL_Items'!AO12 + '01_WHOQOL_Items'!AP12 + '01_WHOQOL_Items'!AQ12 + '01_WHOQOL_Items'!AZ12 + '01_WHOQOL_Items'!BA12 + '01_WHOQOL_Items'!BB12)/8)</f>
        <v>16</v>
      </c>
      <c r="T12" s="4">
        <f t="shared" si="9"/>
        <v>50</v>
      </c>
      <c r="U12" s="4">
        <f t="shared" si="10"/>
        <v>75</v>
      </c>
      <c r="V12" s="5">
        <f t="shared" si="11"/>
        <v>0.5</v>
      </c>
      <c r="W12" s="4">
        <f t="shared" si="12"/>
        <v>44.196428571428569</v>
      </c>
      <c r="X12" s="4">
        <f t="shared" si="13"/>
        <v>60.56547619047619</v>
      </c>
      <c r="Y12" s="5">
        <f t="shared" si="14"/>
        <v>0.37037037037037041</v>
      </c>
      <c r="Z12" s="1">
        <f>'01_WHOQOL_Items'!D12</f>
        <v>2</v>
      </c>
      <c r="AA12" s="1">
        <f>'01_WHOQOL_Items'!AD12</f>
        <v>4</v>
      </c>
      <c r="AB12" s="1">
        <f>'01_WHOQOL_Items'!E12</f>
        <v>2</v>
      </c>
      <c r="AC12" s="1">
        <f>'01_WHOQOL_Items'!AE12</f>
        <v>4</v>
      </c>
    </row>
    <row r="13" spans="1:29">
      <c r="A13" s="1" t="str">
        <f>'01_WHOQOL_Items'!A13</f>
        <v>EXP-012</v>
      </c>
      <c r="B13" s="1" t="str">
        <f>'01_WHOQOL_Items'!B13</f>
        <v>Experimental</v>
      </c>
      <c r="C13" s="4">
        <f>4*(((6-'01_WHOQOL_Items'!F13) + (6-'01_WHOQOL_Items'!G13) + '01_WHOQOL_Items'!M13 + '01_WHOQOL_Items'!R13 + '01_WHOQOL_Items'!S13 + '01_WHOQOL_Items'!T13 + '01_WHOQOL_Items'!U13)/7)</f>
        <v>10.857142857142858</v>
      </c>
      <c r="D13" s="4">
        <f>4*(((6-'01_WHOQOL_Items'!AF13) + (6-'01_WHOQOL_Items'!AG13) + '01_WHOQOL_Items'!AM13 + '01_WHOQOL_Items'!AR13 + '01_WHOQOL_Items'!AS13 + '01_WHOQOL_Items'!AT13 + '01_WHOQOL_Items'!AU13)/7)</f>
        <v>12</v>
      </c>
      <c r="E13" s="4">
        <f t="shared" si="0"/>
        <v>42.857142857142861</v>
      </c>
      <c r="F13" s="4">
        <f t="shared" si="1"/>
        <v>50</v>
      </c>
      <c r="G13" s="5">
        <f t="shared" si="2"/>
        <v>0.16666666666666655</v>
      </c>
      <c r="H13" s="4">
        <f>4*(('01_WHOQOL_Items'!H13 + '01_WHOQOL_Items'!I13 + '01_WHOQOL_Items'!J13 + '01_WHOQOL_Items'!N13 + '01_WHOQOL_Items'!V13 + (6-'01_WHOQOL_Items'!AC13))/6)</f>
        <v>10.666666666666666</v>
      </c>
      <c r="I13" s="4">
        <f>4*(('01_WHOQOL_Items'!AH13 + '01_WHOQOL_Items'!AI13 + '01_WHOQOL_Items'!AJ13 + '01_WHOQOL_Items'!AN13 + '01_WHOQOL_Items'!AV13 + (6-'01_WHOQOL_Items'!BC13))/6)</f>
        <v>12.666666666666666</v>
      </c>
      <c r="J13" s="4">
        <f t="shared" si="3"/>
        <v>41.666666666666664</v>
      </c>
      <c r="K13" s="4">
        <f t="shared" si="4"/>
        <v>54.166666666666664</v>
      </c>
      <c r="L13" s="5">
        <f t="shared" si="5"/>
        <v>0.30000000000000004</v>
      </c>
      <c r="M13" s="4">
        <f>4*(('01_WHOQOL_Items'!W13 + '01_WHOQOL_Items'!X13 + '01_WHOQOL_Items'!Y13)/3)</f>
        <v>10.666666666666666</v>
      </c>
      <c r="N13" s="4">
        <f>4*(('01_WHOQOL_Items'!AW13 + '01_WHOQOL_Items'!AX13 + '01_WHOQOL_Items'!AY13)/3)</f>
        <v>14.666666666666666</v>
      </c>
      <c r="O13" s="4">
        <f t="shared" si="6"/>
        <v>41.666666666666664</v>
      </c>
      <c r="P13" s="4">
        <f t="shared" si="7"/>
        <v>66.666666666666657</v>
      </c>
      <c r="Q13" s="5">
        <f t="shared" si="8"/>
        <v>0.59999999999999987</v>
      </c>
      <c r="R13" s="4">
        <f>4*(('01_WHOQOL_Items'!K13 + '01_WHOQOL_Items'!L13 + '01_WHOQOL_Items'!O13 + '01_WHOQOL_Items'!P13 + '01_WHOQOL_Items'!Q13 + '01_WHOQOL_Items'!Z13 + '01_WHOQOL_Items'!AA13 + '01_WHOQOL_Items'!AB13)/8)</f>
        <v>14.5</v>
      </c>
      <c r="S13" s="4">
        <f>4*(('01_WHOQOL_Items'!AK13 + '01_WHOQOL_Items'!AL13 + '01_WHOQOL_Items'!AO13 + '01_WHOQOL_Items'!AP13 + '01_WHOQOL_Items'!AQ13 + '01_WHOQOL_Items'!AZ13 + '01_WHOQOL_Items'!BA13 + '01_WHOQOL_Items'!BB13)/8)</f>
        <v>12</v>
      </c>
      <c r="T13" s="4">
        <f t="shared" si="9"/>
        <v>65.625</v>
      </c>
      <c r="U13" s="4">
        <f t="shared" si="10"/>
        <v>50</v>
      </c>
      <c r="V13" s="5">
        <f t="shared" si="11"/>
        <v>-0.23809523809523808</v>
      </c>
      <c r="W13" s="4">
        <f t="shared" si="12"/>
        <v>47.953869047619044</v>
      </c>
      <c r="X13" s="4">
        <f t="shared" si="13"/>
        <v>55.208333333333329</v>
      </c>
      <c r="Y13" s="5">
        <f t="shared" si="14"/>
        <v>0.15128006206361519</v>
      </c>
      <c r="Z13" s="1">
        <f>'01_WHOQOL_Items'!D13</f>
        <v>2</v>
      </c>
      <c r="AA13" s="1">
        <f>'01_WHOQOL_Items'!AD13</f>
        <v>3</v>
      </c>
      <c r="AB13" s="1">
        <f>'01_WHOQOL_Items'!E13</f>
        <v>2</v>
      </c>
      <c r="AC13" s="1">
        <f>'01_WHOQOL_Items'!AE13</f>
        <v>3</v>
      </c>
    </row>
    <row r="14" spans="1:29">
      <c r="A14" s="1" t="str">
        <f>'01_WHOQOL_Items'!A14</f>
        <v>EXP-013</v>
      </c>
      <c r="B14" s="1" t="str">
        <f>'01_WHOQOL_Items'!B14</f>
        <v>Experimental</v>
      </c>
      <c r="C14" s="4">
        <f>4*(((6-'01_WHOQOL_Items'!F14) + (6-'01_WHOQOL_Items'!G14) + '01_WHOQOL_Items'!M14 + '01_WHOQOL_Items'!R14 + '01_WHOQOL_Items'!S14 + '01_WHOQOL_Items'!T14 + '01_WHOQOL_Items'!U14)/7)</f>
        <v>12</v>
      </c>
      <c r="D14" s="4">
        <f>4*(((6-'01_WHOQOL_Items'!AF14) + (6-'01_WHOQOL_Items'!AG14) + '01_WHOQOL_Items'!AM14 + '01_WHOQOL_Items'!AR14 + '01_WHOQOL_Items'!AS14 + '01_WHOQOL_Items'!AT14 + '01_WHOQOL_Items'!AU14)/7)</f>
        <v>12</v>
      </c>
      <c r="E14" s="4">
        <f t="shared" si="0"/>
        <v>50</v>
      </c>
      <c r="F14" s="4">
        <f t="shared" si="1"/>
        <v>50</v>
      </c>
      <c r="G14" s="5">
        <f t="shared" si="2"/>
        <v>0</v>
      </c>
      <c r="H14" s="4">
        <f>4*(('01_WHOQOL_Items'!H14 + '01_WHOQOL_Items'!I14 + '01_WHOQOL_Items'!J14 + '01_WHOQOL_Items'!N14 + '01_WHOQOL_Items'!V14 + (6-'01_WHOQOL_Items'!AC14))/6)</f>
        <v>10</v>
      </c>
      <c r="I14" s="4">
        <f>4*(('01_WHOQOL_Items'!AH14 + '01_WHOQOL_Items'!AI14 + '01_WHOQOL_Items'!AJ14 + '01_WHOQOL_Items'!AN14 + '01_WHOQOL_Items'!AV14 + (6-'01_WHOQOL_Items'!BC14))/6)</f>
        <v>14.666666666666666</v>
      </c>
      <c r="J14" s="4">
        <f t="shared" si="3"/>
        <v>37.5</v>
      </c>
      <c r="K14" s="4">
        <f t="shared" si="4"/>
        <v>66.666666666666657</v>
      </c>
      <c r="L14" s="5">
        <f t="shared" si="5"/>
        <v>0.77777777777777757</v>
      </c>
      <c r="M14" s="4">
        <f>4*(('01_WHOQOL_Items'!W14 + '01_WHOQOL_Items'!X14 + '01_WHOQOL_Items'!Y14)/3)</f>
        <v>10.666666666666666</v>
      </c>
      <c r="N14" s="4">
        <f>4*(('01_WHOQOL_Items'!AW14 + '01_WHOQOL_Items'!AX14 + '01_WHOQOL_Items'!AY14)/3)</f>
        <v>14.666666666666666</v>
      </c>
      <c r="O14" s="4">
        <f t="shared" si="6"/>
        <v>41.666666666666664</v>
      </c>
      <c r="P14" s="4">
        <f t="shared" si="7"/>
        <v>66.666666666666657</v>
      </c>
      <c r="Q14" s="5">
        <f t="shared" si="8"/>
        <v>0.59999999999999987</v>
      </c>
      <c r="R14" s="4">
        <f>4*(('01_WHOQOL_Items'!K14 + '01_WHOQOL_Items'!L14 + '01_WHOQOL_Items'!O14 + '01_WHOQOL_Items'!P14 + '01_WHOQOL_Items'!Q14 + '01_WHOQOL_Items'!Z14 + '01_WHOQOL_Items'!AA14 + '01_WHOQOL_Items'!AB14)/8)</f>
        <v>13</v>
      </c>
      <c r="S14" s="4">
        <f>4*(('01_WHOQOL_Items'!AK14 + '01_WHOQOL_Items'!AL14 + '01_WHOQOL_Items'!AO14 + '01_WHOQOL_Items'!AP14 + '01_WHOQOL_Items'!AQ14 + '01_WHOQOL_Items'!AZ14 + '01_WHOQOL_Items'!BA14 + '01_WHOQOL_Items'!BB14)/8)</f>
        <v>13.5</v>
      </c>
      <c r="T14" s="4">
        <f t="shared" si="9"/>
        <v>56.25</v>
      </c>
      <c r="U14" s="4">
        <f t="shared" si="10"/>
        <v>59.375</v>
      </c>
      <c r="V14" s="5">
        <f t="shared" si="11"/>
        <v>5.5555555555555552E-2</v>
      </c>
      <c r="W14" s="4">
        <f t="shared" si="12"/>
        <v>46.354166666666664</v>
      </c>
      <c r="X14" s="4">
        <f t="shared" si="13"/>
        <v>60.677083333333329</v>
      </c>
      <c r="Y14" s="5">
        <f t="shared" si="14"/>
        <v>0.3089887640449438</v>
      </c>
      <c r="Z14" s="1">
        <f>'01_WHOQOL_Items'!D14</f>
        <v>2</v>
      </c>
      <c r="AA14" s="1">
        <f>'01_WHOQOL_Items'!AD14</f>
        <v>4</v>
      </c>
      <c r="AB14" s="1">
        <f>'01_WHOQOL_Items'!E14</f>
        <v>3</v>
      </c>
      <c r="AC14" s="1">
        <f>'01_WHOQOL_Items'!AE14</f>
        <v>4</v>
      </c>
    </row>
    <row r="15" spans="1:29">
      <c r="A15" s="1" t="str">
        <f>'01_WHOQOL_Items'!A15</f>
        <v>EXP-014</v>
      </c>
      <c r="B15" s="1" t="str">
        <f>'01_WHOQOL_Items'!B15</f>
        <v>Experimental</v>
      </c>
      <c r="C15" s="4">
        <f>4*(((6-'01_WHOQOL_Items'!F15) + (6-'01_WHOQOL_Items'!G15) + '01_WHOQOL_Items'!M15 + '01_WHOQOL_Items'!R15 + '01_WHOQOL_Items'!S15 + '01_WHOQOL_Items'!T15 + '01_WHOQOL_Items'!U15)/7)</f>
        <v>12</v>
      </c>
      <c r="D15" s="4">
        <f>4*(((6-'01_WHOQOL_Items'!AF15) + (6-'01_WHOQOL_Items'!AG15) + '01_WHOQOL_Items'!AM15 + '01_WHOQOL_Items'!AR15 + '01_WHOQOL_Items'!AS15 + '01_WHOQOL_Items'!AT15 + '01_WHOQOL_Items'!AU15)/7)</f>
        <v>13.714285714285714</v>
      </c>
      <c r="E15" s="4">
        <f t="shared" si="0"/>
        <v>50</v>
      </c>
      <c r="F15" s="4">
        <f t="shared" si="1"/>
        <v>60.714285714285708</v>
      </c>
      <c r="G15" s="5">
        <f t="shared" si="2"/>
        <v>0.21428571428571416</v>
      </c>
      <c r="H15" s="4">
        <f>4*(('01_WHOQOL_Items'!H15 + '01_WHOQOL_Items'!I15 + '01_WHOQOL_Items'!J15 + '01_WHOQOL_Items'!N15 + '01_WHOQOL_Items'!V15 + (6-'01_WHOQOL_Items'!AC15))/6)</f>
        <v>8.6666666666666661</v>
      </c>
      <c r="I15" s="4">
        <f>4*(('01_WHOQOL_Items'!AH15 + '01_WHOQOL_Items'!AI15 + '01_WHOQOL_Items'!AJ15 + '01_WHOQOL_Items'!AN15 + '01_WHOQOL_Items'!AV15 + (6-'01_WHOQOL_Items'!BC15))/6)</f>
        <v>11.333333333333334</v>
      </c>
      <c r="J15" s="4">
        <f t="shared" si="3"/>
        <v>29.166666666666664</v>
      </c>
      <c r="K15" s="4">
        <f t="shared" si="4"/>
        <v>45.833333333333336</v>
      </c>
      <c r="L15" s="5">
        <f t="shared" si="5"/>
        <v>0.57142857142857162</v>
      </c>
      <c r="M15" s="4">
        <f>4*(('01_WHOQOL_Items'!W15 + '01_WHOQOL_Items'!X15 + '01_WHOQOL_Items'!Y15)/3)</f>
        <v>12</v>
      </c>
      <c r="N15" s="4">
        <f>4*(('01_WHOQOL_Items'!AW15 + '01_WHOQOL_Items'!AX15 + '01_WHOQOL_Items'!AY15)/3)</f>
        <v>18.666666666666668</v>
      </c>
      <c r="O15" s="4">
        <f t="shared" si="6"/>
        <v>50</v>
      </c>
      <c r="P15" s="4">
        <f t="shared" si="7"/>
        <v>91.666666666666671</v>
      </c>
      <c r="Q15" s="5">
        <f t="shared" si="8"/>
        <v>0.83333333333333348</v>
      </c>
      <c r="R15" s="4">
        <f>4*(('01_WHOQOL_Items'!K15 + '01_WHOQOL_Items'!L15 + '01_WHOQOL_Items'!O15 + '01_WHOQOL_Items'!P15 + '01_WHOQOL_Items'!Q15 + '01_WHOQOL_Items'!Z15 + '01_WHOQOL_Items'!AA15 + '01_WHOQOL_Items'!AB15)/8)</f>
        <v>16</v>
      </c>
      <c r="S15" s="4">
        <f>4*(('01_WHOQOL_Items'!AK15 + '01_WHOQOL_Items'!AL15 + '01_WHOQOL_Items'!AO15 + '01_WHOQOL_Items'!AP15 + '01_WHOQOL_Items'!AQ15 + '01_WHOQOL_Items'!AZ15 + '01_WHOQOL_Items'!BA15 + '01_WHOQOL_Items'!BB15)/8)</f>
        <v>16</v>
      </c>
      <c r="T15" s="4">
        <f t="shared" si="9"/>
        <v>75</v>
      </c>
      <c r="U15" s="4">
        <f t="shared" si="10"/>
        <v>75</v>
      </c>
      <c r="V15" s="5">
        <f t="shared" si="11"/>
        <v>0</v>
      </c>
      <c r="W15" s="4">
        <f t="shared" si="12"/>
        <v>51.041666666666664</v>
      </c>
      <c r="X15" s="4">
        <f t="shared" si="13"/>
        <v>68.303571428571431</v>
      </c>
      <c r="Y15" s="5">
        <f t="shared" si="14"/>
        <v>0.33819241982507298</v>
      </c>
      <c r="Z15" s="1">
        <f>'01_WHOQOL_Items'!D15</f>
        <v>2</v>
      </c>
      <c r="AA15" s="1">
        <f>'01_WHOQOL_Items'!AD15</f>
        <v>3</v>
      </c>
      <c r="AB15" s="1">
        <f>'01_WHOQOL_Items'!E15</f>
        <v>3</v>
      </c>
      <c r="AC15" s="1">
        <f>'01_WHOQOL_Items'!AE15</f>
        <v>4</v>
      </c>
    </row>
    <row r="16" spans="1:29">
      <c r="A16" s="1" t="str">
        <f>'01_WHOQOL_Items'!A16</f>
        <v>EXP-015</v>
      </c>
      <c r="B16" s="1" t="str">
        <f>'01_WHOQOL_Items'!B16</f>
        <v>Experimental</v>
      </c>
      <c r="C16" s="4">
        <f>4*(((6-'01_WHOQOL_Items'!F16) + (6-'01_WHOQOL_Items'!G16) + '01_WHOQOL_Items'!M16 + '01_WHOQOL_Items'!R16 + '01_WHOQOL_Items'!S16 + '01_WHOQOL_Items'!T16 + '01_WHOQOL_Items'!U16)/7)</f>
        <v>8</v>
      </c>
      <c r="D16" s="4">
        <f>4*(((6-'01_WHOQOL_Items'!AF16) + (6-'01_WHOQOL_Items'!AG16) + '01_WHOQOL_Items'!AM16 + '01_WHOQOL_Items'!AR16 + '01_WHOQOL_Items'!AS16 + '01_WHOQOL_Items'!AT16 + '01_WHOQOL_Items'!AU16)/7)</f>
        <v>10.285714285714286</v>
      </c>
      <c r="E16" s="4">
        <f t="shared" si="0"/>
        <v>25</v>
      </c>
      <c r="F16" s="4">
        <f t="shared" si="1"/>
        <v>39.285714285714292</v>
      </c>
      <c r="G16" s="5">
        <f t="shared" si="2"/>
        <v>0.57142857142857162</v>
      </c>
      <c r="H16" s="4">
        <f>4*(('01_WHOQOL_Items'!H16 + '01_WHOQOL_Items'!I16 + '01_WHOQOL_Items'!J16 + '01_WHOQOL_Items'!N16 + '01_WHOQOL_Items'!V16 + (6-'01_WHOQOL_Items'!AC16))/6)</f>
        <v>7.333333333333333</v>
      </c>
      <c r="I16" s="4">
        <f>4*(('01_WHOQOL_Items'!AH16 + '01_WHOQOL_Items'!AI16 + '01_WHOQOL_Items'!AJ16 + '01_WHOQOL_Items'!AN16 + '01_WHOQOL_Items'!AV16 + (6-'01_WHOQOL_Items'!BC16))/6)</f>
        <v>6.666666666666667</v>
      </c>
      <c r="J16" s="4">
        <f t="shared" si="3"/>
        <v>20.833333333333332</v>
      </c>
      <c r="K16" s="4">
        <f t="shared" si="4"/>
        <v>16.666666666666668</v>
      </c>
      <c r="L16" s="5">
        <f t="shared" si="5"/>
        <v>-0.1999999999999999</v>
      </c>
      <c r="M16" s="4">
        <f>4*(('01_WHOQOL_Items'!W16 + '01_WHOQOL_Items'!X16 + '01_WHOQOL_Items'!Y16)/3)</f>
        <v>9.3333333333333339</v>
      </c>
      <c r="N16" s="4">
        <f>4*(('01_WHOQOL_Items'!AW16 + '01_WHOQOL_Items'!AX16 + '01_WHOQOL_Items'!AY16)/3)</f>
        <v>14.666666666666666</v>
      </c>
      <c r="O16" s="4">
        <f t="shared" si="6"/>
        <v>33.333333333333336</v>
      </c>
      <c r="P16" s="4">
        <f t="shared" si="7"/>
        <v>66.666666666666657</v>
      </c>
      <c r="Q16" s="5">
        <f t="shared" si="8"/>
        <v>0.99999999999999956</v>
      </c>
      <c r="R16" s="4">
        <f>4*(('01_WHOQOL_Items'!K16 + '01_WHOQOL_Items'!L16 + '01_WHOQOL_Items'!O16 + '01_WHOQOL_Items'!P16 + '01_WHOQOL_Items'!Q16 + '01_WHOQOL_Items'!Z16 + '01_WHOQOL_Items'!AA16 + '01_WHOQOL_Items'!AB16)/8)</f>
        <v>7.5</v>
      </c>
      <c r="S16" s="4">
        <f>4*(('01_WHOQOL_Items'!AK16 + '01_WHOQOL_Items'!AL16 + '01_WHOQOL_Items'!AO16 + '01_WHOQOL_Items'!AP16 + '01_WHOQOL_Items'!AQ16 + '01_WHOQOL_Items'!AZ16 + '01_WHOQOL_Items'!BA16 + '01_WHOQOL_Items'!BB16)/8)</f>
        <v>10.5</v>
      </c>
      <c r="T16" s="4">
        <f t="shared" si="9"/>
        <v>21.875</v>
      </c>
      <c r="U16" s="4">
        <f t="shared" si="10"/>
        <v>40.625</v>
      </c>
      <c r="V16" s="5">
        <f t="shared" si="11"/>
        <v>0.8571428571428571</v>
      </c>
      <c r="W16" s="4">
        <f t="shared" si="12"/>
        <v>25.260416666666664</v>
      </c>
      <c r="X16" s="4">
        <f t="shared" si="13"/>
        <v>40.811011904761905</v>
      </c>
      <c r="Y16" s="5">
        <f t="shared" si="14"/>
        <v>0.6156111929307807</v>
      </c>
      <c r="Z16" s="1">
        <f>'01_WHOQOL_Items'!D16</f>
        <v>3</v>
      </c>
      <c r="AA16" s="1">
        <f>'01_WHOQOL_Items'!AD16</f>
        <v>2</v>
      </c>
      <c r="AB16" s="1">
        <f>'01_WHOQOL_Items'!E16</f>
        <v>2</v>
      </c>
      <c r="AC16" s="1">
        <f>'01_WHOQOL_Items'!AE16</f>
        <v>1</v>
      </c>
    </row>
    <row r="17" spans="1:29">
      <c r="A17" s="1" t="str">
        <f>'01_WHOQOL_Items'!A17</f>
        <v>EXP-016</v>
      </c>
      <c r="B17" s="1" t="str">
        <f>'01_WHOQOL_Items'!B17</f>
        <v>Experimental</v>
      </c>
      <c r="C17" s="4">
        <f>4*(((6-'01_WHOQOL_Items'!F17) + (6-'01_WHOQOL_Items'!G17) + '01_WHOQOL_Items'!M17 + '01_WHOQOL_Items'!R17 + '01_WHOQOL_Items'!S17 + '01_WHOQOL_Items'!T17 + '01_WHOQOL_Items'!U17)/7)</f>
        <v>10.857142857142858</v>
      </c>
      <c r="D17" s="4">
        <f>4*(((6-'01_WHOQOL_Items'!AF17) + (6-'01_WHOQOL_Items'!AG17) + '01_WHOQOL_Items'!AM17 + '01_WHOQOL_Items'!AR17 + '01_WHOQOL_Items'!AS17 + '01_WHOQOL_Items'!AT17 + '01_WHOQOL_Items'!AU17)/7)</f>
        <v>13.714285714285714</v>
      </c>
      <c r="E17" s="4">
        <f t="shared" si="0"/>
        <v>42.857142857142861</v>
      </c>
      <c r="F17" s="4">
        <f t="shared" si="1"/>
        <v>60.714285714285708</v>
      </c>
      <c r="G17" s="5">
        <f t="shared" si="2"/>
        <v>0.41666666666666641</v>
      </c>
      <c r="H17" s="4">
        <f>4*(('01_WHOQOL_Items'!H17 + '01_WHOQOL_Items'!I17 + '01_WHOQOL_Items'!J17 + '01_WHOQOL_Items'!N17 + '01_WHOQOL_Items'!V17 + (6-'01_WHOQOL_Items'!AC17))/6)</f>
        <v>13.333333333333334</v>
      </c>
      <c r="I17" s="4">
        <f>4*(('01_WHOQOL_Items'!AH17 + '01_WHOQOL_Items'!AI17 + '01_WHOQOL_Items'!AJ17 + '01_WHOQOL_Items'!AN17 + '01_WHOQOL_Items'!AV17 + (6-'01_WHOQOL_Items'!BC17))/6)</f>
        <v>13.333333333333334</v>
      </c>
      <c r="J17" s="4">
        <f t="shared" si="3"/>
        <v>58.333333333333336</v>
      </c>
      <c r="K17" s="4">
        <f t="shared" si="4"/>
        <v>58.333333333333336</v>
      </c>
      <c r="L17" s="5">
        <f t="shared" si="5"/>
        <v>0</v>
      </c>
      <c r="M17" s="4">
        <f>4*(('01_WHOQOL_Items'!W17 + '01_WHOQOL_Items'!X17 + '01_WHOQOL_Items'!Y17)/3)</f>
        <v>8</v>
      </c>
      <c r="N17" s="4">
        <f>4*(('01_WHOQOL_Items'!AW17 + '01_WHOQOL_Items'!AX17 + '01_WHOQOL_Items'!AY17)/3)</f>
        <v>14.666666666666666</v>
      </c>
      <c r="O17" s="4">
        <f t="shared" si="6"/>
        <v>25</v>
      </c>
      <c r="P17" s="4">
        <f t="shared" si="7"/>
        <v>66.666666666666657</v>
      </c>
      <c r="Q17" s="5">
        <f t="shared" si="8"/>
        <v>1.6666666666666663</v>
      </c>
      <c r="R17" s="4">
        <f>4*(('01_WHOQOL_Items'!K17 + '01_WHOQOL_Items'!L17 + '01_WHOQOL_Items'!O17 + '01_WHOQOL_Items'!P17 + '01_WHOQOL_Items'!Q17 + '01_WHOQOL_Items'!Z17 + '01_WHOQOL_Items'!AA17 + '01_WHOQOL_Items'!AB17)/8)</f>
        <v>15</v>
      </c>
      <c r="S17" s="4">
        <f>4*(('01_WHOQOL_Items'!AK17 + '01_WHOQOL_Items'!AL17 + '01_WHOQOL_Items'!AO17 + '01_WHOQOL_Items'!AP17 + '01_WHOQOL_Items'!AQ17 + '01_WHOQOL_Items'!AZ17 + '01_WHOQOL_Items'!BA17 + '01_WHOQOL_Items'!BB17)/8)</f>
        <v>14.5</v>
      </c>
      <c r="T17" s="4">
        <f t="shared" si="9"/>
        <v>68.75</v>
      </c>
      <c r="U17" s="4">
        <f t="shared" si="10"/>
        <v>65.625</v>
      </c>
      <c r="V17" s="5">
        <f t="shared" si="11"/>
        <v>-4.5454545454545456E-2</v>
      </c>
      <c r="W17" s="4">
        <f t="shared" si="12"/>
        <v>48.735119047619051</v>
      </c>
      <c r="X17" s="4">
        <f t="shared" si="13"/>
        <v>62.834821428571423</v>
      </c>
      <c r="Y17" s="5">
        <f t="shared" si="14"/>
        <v>0.28931297709923642</v>
      </c>
      <c r="Z17" s="1">
        <f>'01_WHOQOL_Items'!D17</f>
        <v>2</v>
      </c>
      <c r="AA17" s="1">
        <f>'01_WHOQOL_Items'!AD17</f>
        <v>3</v>
      </c>
      <c r="AB17" s="1">
        <f>'01_WHOQOL_Items'!E17</f>
        <v>3</v>
      </c>
      <c r="AC17" s="1">
        <f>'01_WHOQOL_Items'!AE17</f>
        <v>3</v>
      </c>
    </row>
    <row r="18" spans="1:29">
      <c r="A18" s="1" t="str">
        <f>'01_WHOQOL_Items'!A18</f>
        <v>EXP-017</v>
      </c>
      <c r="B18" s="1" t="str">
        <f>'01_WHOQOL_Items'!B18</f>
        <v>Experimental</v>
      </c>
      <c r="C18" s="4">
        <f>4*(((6-'01_WHOQOL_Items'!F18) + (6-'01_WHOQOL_Items'!G18) + '01_WHOQOL_Items'!M18 + '01_WHOQOL_Items'!R18 + '01_WHOQOL_Items'!S18 + '01_WHOQOL_Items'!T18 + '01_WHOQOL_Items'!U18)/7)</f>
        <v>13.142857142857142</v>
      </c>
      <c r="D18" s="4">
        <f>4*(((6-'01_WHOQOL_Items'!AF18) + (6-'01_WHOQOL_Items'!AG18) + '01_WHOQOL_Items'!AM18 + '01_WHOQOL_Items'!AR18 + '01_WHOQOL_Items'!AS18 + '01_WHOQOL_Items'!AT18 + '01_WHOQOL_Items'!AU18)/7)</f>
        <v>12.571428571428571</v>
      </c>
      <c r="E18" s="4">
        <f t="shared" si="0"/>
        <v>57.142857142857139</v>
      </c>
      <c r="F18" s="4">
        <f t="shared" si="1"/>
        <v>53.571428571428569</v>
      </c>
      <c r="G18" s="5">
        <f t="shared" si="2"/>
        <v>-6.2499999999999972E-2</v>
      </c>
      <c r="H18" s="4">
        <f>4*(('01_WHOQOL_Items'!H18 + '01_WHOQOL_Items'!I18 + '01_WHOQOL_Items'!J18 + '01_WHOQOL_Items'!N18 + '01_WHOQOL_Items'!V18 + (6-'01_WHOQOL_Items'!AC18))/6)</f>
        <v>12</v>
      </c>
      <c r="I18" s="4">
        <f>4*(('01_WHOQOL_Items'!AH18 + '01_WHOQOL_Items'!AI18 + '01_WHOQOL_Items'!AJ18 + '01_WHOQOL_Items'!AN18 + '01_WHOQOL_Items'!AV18 + (6-'01_WHOQOL_Items'!BC18))/6)</f>
        <v>13.333333333333334</v>
      </c>
      <c r="J18" s="4">
        <f t="shared" si="3"/>
        <v>50</v>
      </c>
      <c r="K18" s="4">
        <f t="shared" si="4"/>
        <v>58.333333333333336</v>
      </c>
      <c r="L18" s="5">
        <f t="shared" si="5"/>
        <v>0.16666666666666671</v>
      </c>
      <c r="M18" s="4">
        <f>4*(('01_WHOQOL_Items'!W18 + '01_WHOQOL_Items'!X18 + '01_WHOQOL_Items'!Y18)/3)</f>
        <v>9.3333333333333339</v>
      </c>
      <c r="N18" s="4">
        <f>4*(('01_WHOQOL_Items'!AW18 + '01_WHOQOL_Items'!AX18 + '01_WHOQOL_Items'!AY18)/3)</f>
        <v>10.666666666666666</v>
      </c>
      <c r="O18" s="4">
        <f t="shared" si="6"/>
        <v>33.333333333333336</v>
      </c>
      <c r="P18" s="4">
        <f t="shared" si="7"/>
        <v>41.666666666666664</v>
      </c>
      <c r="Q18" s="5">
        <f t="shared" si="8"/>
        <v>0.24999999999999983</v>
      </c>
      <c r="R18" s="4">
        <f>4*(('01_WHOQOL_Items'!K18 + '01_WHOQOL_Items'!L18 + '01_WHOQOL_Items'!O18 + '01_WHOQOL_Items'!P18 + '01_WHOQOL_Items'!Q18 + '01_WHOQOL_Items'!Z18 + '01_WHOQOL_Items'!AA18 + '01_WHOQOL_Items'!AB18)/8)</f>
        <v>9</v>
      </c>
      <c r="S18" s="4">
        <f>4*(('01_WHOQOL_Items'!AK18 + '01_WHOQOL_Items'!AL18 + '01_WHOQOL_Items'!AO18 + '01_WHOQOL_Items'!AP18 + '01_WHOQOL_Items'!AQ18 + '01_WHOQOL_Items'!AZ18 + '01_WHOQOL_Items'!BA18 + '01_WHOQOL_Items'!BB18)/8)</f>
        <v>14</v>
      </c>
      <c r="T18" s="4">
        <f t="shared" si="9"/>
        <v>31.25</v>
      </c>
      <c r="U18" s="4">
        <f t="shared" si="10"/>
        <v>62.5</v>
      </c>
      <c r="V18" s="5">
        <f t="shared" si="11"/>
        <v>1</v>
      </c>
      <c r="W18" s="4">
        <f t="shared" si="12"/>
        <v>42.93154761904762</v>
      </c>
      <c r="X18" s="4">
        <f t="shared" si="13"/>
        <v>54.017857142857139</v>
      </c>
      <c r="Y18" s="5">
        <f t="shared" si="14"/>
        <v>0.25823223570190629</v>
      </c>
      <c r="Z18" s="1">
        <f>'01_WHOQOL_Items'!D18</f>
        <v>3</v>
      </c>
      <c r="AA18" s="1">
        <f>'01_WHOQOL_Items'!AD18</f>
        <v>3</v>
      </c>
      <c r="AB18" s="1">
        <f>'01_WHOQOL_Items'!E18</f>
        <v>3</v>
      </c>
      <c r="AC18" s="1">
        <f>'01_WHOQOL_Items'!AE18</f>
        <v>2</v>
      </c>
    </row>
    <row r="19" spans="1:29">
      <c r="A19" s="1" t="str">
        <f>'01_WHOQOL_Items'!A19</f>
        <v>EXP-018</v>
      </c>
      <c r="B19" s="1" t="str">
        <f>'01_WHOQOL_Items'!B19</f>
        <v>Experimental</v>
      </c>
      <c r="C19" s="4">
        <f>4*(((6-'01_WHOQOL_Items'!F19) + (6-'01_WHOQOL_Items'!G19) + '01_WHOQOL_Items'!M19 + '01_WHOQOL_Items'!R19 + '01_WHOQOL_Items'!S19 + '01_WHOQOL_Items'!T19 + '01_WHOQOL_Items'!U19)/7)</f>
        <v>13.714285714285714</v>
      </c>
      <c r="D19" s="4">
        <f>4*(((6-'01_WHOQOL_Items'!AF19) + (6-'01_WHOQOL_Items'!AG19) + '01_WHOQOL_Items'!AM19 + '01_WHOQOL_Items'!AR19 + '01_WHOQOL_Items'!AS19 + '01_WHOQOL_Items'!AT19 + '01_WHOQOL_Items'!AU19)/7)</f>
        <v>15.428571428571429</v>
      </c>
      <c r="E19" s="4">
        <f t="shared" si="0"/>
        <v>60.714285714285708</v>
      </c>
      <c r="F19" s="4">
        <f t="shared" si="1"/>
        <v>71.428571428571431</v>
      </c>
      <c r="G19" s="5">
        <f t="shared" si="2"/>
        <v>0.17647058823529427</v>
      </c>
      <c r="H19" s="4">
        <f>4*(('01_WHOQOL_Items'!H19 + '01_WHOQOL_Items'!I19 + '01_WHOQOL_Items'!J19 + '01_WHOQOL_Items'!N19 + '01_WHOQOL_Items'!V19 + (6-'01_WHOQOL_Items'!AC19))/6)</f>
        <v>18.666666666666668</v>
      </c>
      <c r="I19" s="4">
        <f>4*(('01_WHOQOL_Items'!AH19 + '01_WHOQOL_Items'!AI19 + '01_WHOQOL_Items'!AJ19 + '01_WHOQOL_Items'!AN19 + '01_WHOQOL_Items'!AV19 + (6-'01_WHOQOL_Items'!BC19))/6)</f>
        <v>18.666666666666668</v>
      </c>
      <c r="J19" s="4">
        <f t="shared" si="3"/>
        <v>91.666666666666671</v>
      </c>
      <c r="K19" s="4">
        <f t="shared" si="4"/>
        <v>91.666666666666671</v>
      </c>
      <c r="L19" s="5">
        <f t="shared" si="5"/>
        <v>0</v>
      </c>
      <c r="M19" s="4">
        <f>4*(('01_WHOQOL_Items'!W19 + '01_WHOQOL_Items'!X19 + '01_WHOQOL_Items'!Y19)/3)</f>
        <v>6.666666666666667</v>
      </c>
      <c r="N19" s="4">
        <f>4*(('01_WHOQOL_Items'!AW19 + '01_WHOQOL_Items'!AX19 + '01_WHOQOL_Items'!AY19)/3)</f>
        <v>10.666666666666666</v>
      </c>
      <c r="O19" s="4">
        <f t="shared" si="6"/>
        <v>16.666666666666668</v>
      </c>
      <c r="P19" s="4">
        <f t="shared" si="7"/>
        <v>41.666666666666664</v>
      </c>
      <c r="Q19" s="5">
        <f t="shared" si="8"/>
        <v>1.4999999999999998</v>
      </c>
      <c r="R19" s="4">
        <f>4*(('01_WHOQOL_Items'!K19 + '01_WHOQOL_Items'!L19 + '01_WHOQOL_Items'!O19 + '01_WHOQOL_Items'!P19 + '01_WHOQOL_Items'!Q19 + '01_WHOQOL_Items'!Z19 + '01_WHOQOL_Items'!AA19 + '01_WHOQOL_Items'!AB19)/8)</f>
        <v>12</v>
      </c>
      <c r="S19" s="4">
        <f>4*(('01_WHOQOL_Items'!AK19 + '01_WHOQOL_Items'!AL19 + '01_WHOQOL_Items'!AO19 + '01_WHOQOL_Items'!AP19 + '01_WHOQOL_Items'!AQ19 + '01_WHOQOL_Items'!AZ19 + '01_WHOQOL_Items'!BA19 + '01_WHOQOL_Items'!BB19)/8)</f>
        <v>15.5</v>
      </c>
      <c r="T19" s="4">
        <f t="shared" si="9"/>
        <v>50</v>
      </c>
      <c r="U19" s="4">
        <f t="shared" si="10"/>
        <v>71.875</v>
      </c>
      <c r="V19" s="5">
        <f t="shared" si="11"/>
        <v>0.4375</v>
      </c>
      <c r="W19" s="4">
        <f t="shared" si="12"/>
        <v>54.761904761904759</v>
      </c>
      <c r="X19" s="4">
        <f t="shared" si="13"/>
        <v>69.15922619047619</v>
      </c>
      <c r="Y19" s="5">
        <f t="shared" si="14"/>
        <v>0.26290760869565222</v>
      </c>
      <c r="Z19" s="1">
        <f>'01_WHOQOL_Items'!D19</f>
        <v>4</v>
      </c>
      <c r="AA19" s="1">
        <f>'01_WHOQOL_Items'!AD19</f>
        <v>3</v>
      </c>
      <c r="AB19" s="1">
        <f>'01_WHOQOL_Items'!E19</f>
        <v>4</v>
      </c>
      <c r="AC19" s="1">
        <f>'01_WHOQOL_Items'!AE19</f>
        <v>3</v>
      </c>
    </row>
    <row r="20" spans="1:29">
      <c r="A20" s="1" t="str">
        <f>'01_WHOQOL_Items'!A20</f>
        <v>EXP-019</v>
      </c>
      <c r="B20" s="1" t="str">
        <f>'01_WHOQOL_Items'!B20</f>
        <v>Experimental</v>
      </c>
      <c r="C20" s="4">
        <f>4*(((6-'01_WHOQOL_Items'!F20) + (6-'01_WHOQOL_Items'!G20) + '01_WHOQOL_Items'!M20 + '01_WHOQOL_Items'!R20 + '01_WHOQOL_Items'!S20 + '01_WHOQOL_Items'!T20 + '01_WHOQOL_Items'!U20)/7)</f>
        <v>11.428571428571429</v>
      </c>
      <c r="D20" s="4">
        <f>4*(((6-'01_WHOQOL_Items'!AF20) + (6-'01_WHOQOL_Items'!AG20) + '01_WHOQOL_Items'!AM20 + '01_WHOQOL_Items'!AR20 + '01_WHOQOL_Items'!AS20 + '01_WHOQOL_Items'!AT20 + '01_WHOQOL_Items'!AU20)/7)</f>
        <v>13.714285714285714</v>
      </c>
      <c r="E20" s="4">
        <f t="shared" si="0"/>
        <v>46.428571428571431</v>
      </c>
      <c r="F20" s="4">
        <f t="shared" si="1"/>
        <v>60.714285714285708</v>
      </c>
      <c r="G20" s="5">
        <f t="shared" si="2"/>
        <v>0.30769230769230749</v>
      </c>
      <c r="H20" s="4">
        <f>4*(('01_WHOQOL_Items'!H20 + '01_WHOQOL_Items'!I20 + '01_WHOQOL_Items'!J20 + '01_WHOQOL_Items'!N20 + '01_WHOQOL_Items'!V20 + (6-'01_WHOQOL_Items'!AC20))/6)</f>
        <v>12</v>
      </c>
      <c r="I20" s="4">
        <f>4*(('01_WHOQOL_Items'!AH20 + '01_WHOQOL_Items'!AI20 + '01_WHOQOL_Items'!AJ20 + '01_WHOQOL_Items'!AN20 + '01_WHOQOL_Items'!AV20 + (6-'01_WHOQOL_Items'!BC20))/6)</f>
        <v>13.333333333333334</v>
      </c>
      <c r="J20" s="4">
        <f t="shared" si="3"/>
        <v>50</v>
      </c>
      <c r="K20" s="4">
        <f t="shared" si="4"/>
        <v>58.333333333333336</v>
      </c>
      <c r="L20" s="5">
        <f t="shared" si="5"/>
        <v>0.16666666666666671</v>
      </c>
      <c r="M20" s="4">
        <f>4*(('01_WHOQOL_Items'!W20 + '01_WHOQOL_Items'!X20 + '01_WHOQOL_Items'!Y20)/3)</f>
        <v>8</v>
      </c>
      <c r="N20" s="4">
        <f>4*(('01_WHOQOL_Items'!AW20 + '01_WHOQOL_Items'!AX20 + '01_WHOQOL_Items'!AY20)/3)</f>
        <v>8</v>
      </c>
      <c r="O20" s="4">
        <f t="shared" si="6"/>
        <v>25</v>
      </c>
      <c r="P20" s="4">
        <f t="shared" si="7"/>
        <v>25</v>
      </c>
      <c r="Q20" s="5">
        <f t="shared" si="8"/>
        <v>0</v>
      </c>
      <c r="R20" s="4">
        <f>4*(('01_WHOQOL_Items'!K20 + '01_WHOQOL_Items'!L20 + '01_WHOQOL_Items'!O20 + '01_WHOQOL_Items'!P20 + '01_WHOQOL_Items'!Q20 + '01_WHOQOL_Items'!Z20 + '01_WHOQOL_Items'!AA20 + '01_WHOQOL_Items'!AB20)/8)</f>
        <v>14.5</v>
      </c>
      <c r="S20" s="4">
        <f>4*(('01_WHOQOL_Items'!AK20 + '01_WHOQOL_Items'!AL20 + '01_WHOQOL_Items'!AO20 + '01_WHOQOL_Items'!AP20 + '01_WHOQOL_Items'!AQ20 + '01_WHOQOL_Items'!AZ20 + '01_WHOQOL_Items'!BA20 + '01_WHOQOL_Items'!BB20)/8)</f>
        <v>18</v>
      </c>
      <c r="T20" s="4">
        <f t="shared" si="9"/>
        <v>65.625</v>
      </c>
      <c r="U20" s="4">
        <f t="shared" si="10"/>
        <v>87.5</v>
      </c>
      <c r="V20" s="5">
        <f t="shared" si="11"/>
        <v>0.33333333333333331</v>
      </c>
      <c r="W20" s="4">
        <f t="shared" si="12"/>
        <v>46.763392857142861</v>
      </c>
      <c r="X20" s="4">
        <f t="shared" si="13"/>
        <v>57.886904761904759</v>
      </c>
      <c r="Y20" s="5">
        <f t="shared" si="14"/>
        <v>0.23786793953858376</v>
      </c>
      <c r="Z20" s="1">
        <f>'01_WHOQOL_Items'!D20</f>
        <v>3</v>
      </c>
      <c r="AA20" s="1">
        <f>'01_WHOQOL_Items'!AD20</f>
        <v>4</v>
      </c>
      <c r="AB20" s="1">
        <f>'01_WHOQOL_Items'!E20</f>
        <v>3</v>
      </c>
      <c r="AC20" s="1">
        <f>'01_WHOQOL_Items'!AE20</f>
        <v>4</v>
      </c>
    </row>
    <row r="21" spans="1:29">
      <c r="A21" s="1" t="str">
        <f>'01_WHOQOL_Items'!A21</f>
        <v>EXP-020</v>
      </c>
      <c r="B21" s="1" t="str">
        <f>'01_WHOQOL_Items'!B21</f>
        <v>Experimental</v>
      </c>
      <c r="C21" s="4">
        <f>4*(((6-'01_WHOQOL_Items'!F21) + (6-'01_WHOQOL_Items'!G21) + '01_WHOQOL_Items'!M21 + '01_WHOQOL_Items'!R21 + '01_WHOQOL_Items'!S21 + '01_WHOQOL_Items'!T21 + '01_WHOQOL_Items'!U21)/7)</f>
        <v>12</v>
      </c>
      <c r="D21" s="4">
        <f>4*(((6-'01_WHOQOL_Items'!AF21) + (6-'01_WHOQOL_Items'!AG21) + '01_WHOQOL_Items'!AM21 + '01_WHOQOL_Items'!AR21 + '01_WHOQOL_Items'!AS21 + '01_WHOQOL_Items'!AT21 + '01_WHOQOL_Items'!AU21)/7)</f>
        <v>12</v>
      </c>
      <c r="E21" s="4">
        <f t="shared" si="0"/>
        <v>50</v>
      </c>
      <c r="F21" s="4">
        <f t="shared" si="1"/>
        <v>50</v>
      </c>
      <c r="G21" s="5">
        <f t="shared" si="2"/>
        <v>0</v>
      </c>
      <c r="H21" s="4">
        <f>4*(('01_WHOQOL_Items'!H21 + '01_WHOQOL_Items'!I21 + '01_WHOQOL_Items'!J21 + '01_WHOQOL_Items'!N21 + '01_WHOQOL_Items'!V21 + (6-'01_WHOQOL_Items'!AC21))/6)</f>
        <v>12</v>
      </c>
      <c r="I21" s="4">
        <f>4*(('01_WHOQOL_Items'!AH21 + '01_WHOQOL_Items'!AI21 + '01_WHOQOL_Items'!AJ21 + '01_WHOQOL_Items'!AN21 + '01_WHOQOL_Items'!AV21 + (6-'01_WHOQOL_Items'!BC21))/6)</f>
        <v>14</v>
      </c>
      <c r="J21" s="4">
        <f t="shared" si="3"/>
        <v>50</v>
      </c>
      <c r="K21" s="4">
        <f t="shared" si="4"/>
        <v>62.5</v>
      </c>
      <c r="L21" s="5">
        <f t="shared" si="5"/>
        <v>0.25</v>
      </c>
      <c r="M21" s="4">
        <f>4*(('01_WHOQOL_Items'!W21 + '01_WHOQOL_Items'!X21 + '01_WHOQOL_Items'!Y21)/3)</f>
        <v>12</v>
      </c>
      <c r="N21" s="4">
        <f>4*(('01_WHOQOL_Items'!AW21 + '01_WHOQOL_Items'!AX21 + '01_WHOQOL_Items'!AY21)/3)</f>
        <v>14.666666666666666</v>
      </c>
      <c r="O21" s="4">
        <f t="shared" si="6"/>
        <v>50</v>
      </c>
      <c r="P21" s="4">
        <f t="shared" si="7"/>
        <v>66.666666666666657</v>
      </c>
      <c r="Q21" s="5">
        <f t="shared" si="8"/>
        <v>0.33333333333333315</v>
      </c>
      <c r="R21" s="4">
        <f>4*(('01_WHOQOL_Items'!K21 + '01_WHOQOL_Items'!L21 + '01_WHOQOL_Items'!O21 + '01_WHOQOL_Items'!P21 + '01_WHOQOL_Items'!Q21 + '01_WHOQOL_Items'!Z21 + '01_WHOQOL_Items'!AA21 + '01_WHOQOL_Items'!AB21)/8)</f>
        <v>10</v>
      </c>
      <c r="S21" s="4">
        <f>4*(('01_WHOQOL_Items'!AK21 + '01_WHOQOL_Items'!AL21 + '01_WHOQOL_Items'!AO21 + '01_WHOQOL_Items'!AP21 + '01_WHOQOL_Items'!AQ21 + '01_WHOQOL_Items'!AZ21 + '01_WHOQOL_Items'!BA21 + '01_WHOQOL_Items'!BB21)/8)</f>
        <v>13</v>
      </c>
      <c r="T21" s="4">
        <f t="shared" si="9"/>
        <v>37.5</v>
      </c>
      <c r="U21" s="4">
        <f t="shared" si="10"/>
        <v>56.25</v>
      </c>
      <c r="V21" s="5">
        <f t="shared" si="11"/>
        <v>0.5</v>
      </c>
      <c r="W21" s="4">
        <f t="shared" si="12"/>
        <v>46.875</v>
      </c>
      <c r="X21" s="4">
        <f t="shared" si="13"/>
        <v>58.854166666666664</v>
      </c>
      <c r="Y21" s="5">
        <f t="shared" si="14"/>
        <v>0.25555555555555548</v>
      </c>
      <c r="Z21" s="1">
        <f>'01_WHOQOL_Items'!D21</f>
        <v>3</v>
      </c>
      <c r="AA21" s="1">
        <f>'01_WHOQOL_Items'!AD21</f>
        <v>4</v>
      </c>
      <c r="AB21" s="1">
        <f>'01_WHOQOL_Items'!E21</f>
        <v>3</v>
      </c>
      <c r="AC21" s="1">
        <f>'01_WHOQOL_Items'!AE21</f>
        <v>3</v>
      </c>
    </row>
    <row r="22" spans="1:29">
      <c r="A22" s="1" t="str">
        <f>'01_WHOQOL_Items'!A22</f>
        <v>EXP-021</v>
      </c>
      <c r="B22" s="1" t="str">
        <f>'01_WHOQOL_Items'!B22</f>
        <v>Experimental</v>
      </c>
      <c r="C22" s="4">
        <f>4*(((6-'01_WHOQOL_Items'!F22) + (6-'01_WHOQOL_Items'!G22) + '01_WHOQOL_Items'!M22 + '01_WHOQOL_Items'!R22 + '01_WHOQOL_Items'!S22 + '01_WHOQOL_Items'!T22 + '01_WHOQOL_Items'!U22)/7)</f>
        <v>9.7142857142857135</v>
      </c>
      <c r="D22" s="4">
        <f>4*(((6-'01_WHOQOL_Items'!AF22) + (6-'01_WHOQOL_Items'!AG22) + '01_WHOQOL_Items'!AM22 + '01_WHOQOL_Items'!AR22 + '01_WHOQOL_Items'!AS22 + '01_WHOQOL_Items'!AT22 + '01_WHOQOL_Items'!AU22)/7)</f>
        <v>12.571428571428571</v>
      </c>
      <c r="E22" s="4">
        <f t="shared" si="0"/>
        <v>35.714285714285708</v>
      </c>
      <c r="F22" s="4">
        <f t="shared" si="1"/>
        <v>53.571428571428569</v>
      </c>
      <c r="G22" s="5">
        <f t="shared" si="2"/>
        <v>0.50000000000000022</v>
      </c>
      <c r="H22" s="4">
        <f>4*(('01_WHOQOL_Items'!H22 + '01_WHOQOL_Items'!I22 + '01_WHOQOL_Items'!J22 + '01_WHOQOL_Items'!N22 + '01_WHOQOL_Items'!V22 + (6-'01_WHOQOL_Items'!AC22))/6)</f>
        <v>12.666666666666666</v>
      </c>
      <c r="I22" s="4">
        <f>4*(('01_WHOQOL_Items'!AH22 + '01_WHOQOL_Items'!AI22 + '01_WHOQOL_Items'!AJ22 + '01_WHOQOL_Items'!AN22 + '01_WHOQOL_Items'!AV22 + (6-'01_WHOQOL_Items'!BC22))/6)</f>
        <v>12</v>
      </c>
      <c r="J22" s="4">
        <f t="shared" si="3"/>
        <v>54.166666666666664</v>
      </c>
      <c r="K22" s="4">
        <f t="shared" si="4"/>
        <v>50</v>
      </c>
      <c r="L22" s="5">
        <f t="shared" si="5"/>
        <v>-7.6923076923076886E-2</v>
      </c>
      <c r="M22" s="4">
        <f>4*(('01_WHOQOL_Items'!W22 + '01_WHOQOL_Items'!X22 + '01_WHOQOL_Items'!Y22)/3)</f>
        <v>9.3333333333333339</v>
      </c>
      <c r="N22" s="4">
        <f>4*(('01_WHOQOL_Items'!AW22 + '01_WHOQOL_Items'!AX22 + '01_WHOQOL_Items'!AY22)/3)</f>
        <v>13.333333333333334</v>
      </c>
      <c r="O22" s="4">
        <f t="shared" si="6"/>
        <v>33.333333333333336</v>
      </c>
      <c r="P22" s="4">
        <f t="shared" si="7"/>
        <v>58.333333333333336</v>
      </c>
      <c r="Q22" s="5">
        <f t="shared" si="8"/>
        <v>0.75</v>
      </c>
      <c r="R22" s="4">
        <f>4*(('01_WHOQOL_Items'!K22 + '01_WHOQOL_Items'!L22 + '01_WHOQOL_Items'!O22 + '01_WHOQOL_Items'!P22 + '01_WHOQOL_Items'!Q22 + '01_WHOQOL_Items'!Z22 + '01_WHOQOL_Items'!AA22 + '01_WHOQOL_Items'!AB22)/8)</f>
        <v>12</v>
      </c>
      <c r="S22" s="4">
        <f>4*(('01_WHOQOL_Items'!AK22 + '01_WHOQOL_Items'!AL22 + '01_WHOQOL_Items'!AO22 + '01_WHOQOL_Items'!AP22 + '01_WHOQOL_Items'!AQ22 + '01_WHOQOL_Items'!AZ22 + '01_WHOQOL_Items'!BA22 + '01_WHOQOL_Items'!BB22)/8)</f>
        <v>16</v>
      </c>
      <c r="T22" s="4">
        <f t="shared" si="9"/>
        <v>50</v>
      </c>
      <c r="U22" s="4">
        <f t="shared" si="10"/>
        <v>75</v>
      </c>
      <c r="V22" s="5">
        <f t="shared" si="11"/>
        <v>0.5</v>
      </c>
      <c r="W22" s="4">
        <f t="shared" si="12"/>
        <v>43.303571428571431</v>
      </c>
      <c r="X22" s="4">
        <f t="shared" si="13"/>
        <v>59.226190476190474</v>
      </c>
      <c r="Y22" s="5">
        <f t="shared" si="14"/>
        <v>0.36769759450171813</v>
      </c>
      <c r="Z22" s="1">
        <f>'01_WHOQOL_Items'!D22</f>
        <v>3</v>
      </c>
      <c r="AA22" s="1">
        <f>'01_WHOQOL_Items'!AD22</f>
        <v>3</v>
      </c>
      <c r="AB22" s="1">
        <f>'01_WHOQOL_Items'!E22</f>
        <v>2</v>
      </c>
      <c r="AC22" s="1">
        <f>'01_WHOQOL_Items'!AE22</f>
        <v>3</v>
      </c>
    </row>
    <row r="23" spans="1:29">
      <c r="A23" s="1" t="str">
        <f>'01_WHOQOL_Items'!A23</f>
        <v>EXP-022</v>
      </c>
      <c r="B23" s="1" t="str">
        <f>'01_WHOQOL_Items'!B23</f>
        <v>Experimental</v>
      </c>
      <c r="C23" s="4">
        <f>4*(((6-'01_WHOQOL_Items'!F23) + (6-'01_WHOQOL_Items'!G23) + '01_WHOQOL_Items'!M23 + '01_WHOQOL_Items'!R23 + '01_WHOQOL_Items'!S23 + '01_WHOQOL_Items'!T23 + '01_WHOQOL_Items'!U23)/7)</f>
        <v>12.571428571428571</v>
      </c>
      <c r="D23" s="4">
        <f>4*(((6-'01_WHOQOL_Items'!AF23) + (6-'01_WHOQOL_Items'!AG23) + '01_WHOQOL_Items'!AM23 + '01_WHOQOL_Items'!AR23 + '01_WHOQOL_Items'!AS23 + '01_WHOQOL_Items'!AT23 + '01_WHOQOL_Items'!AU23)/7)</f>
        <v>13.142857142857142</v>
      </c>
      <c r="E23" s="4">
        <f t="shared" si="0"/>
        <v>53.571428571428569</v>
      </c>
      <c r="F23" s="4">
        <f t="shared" si="1"/>
        <v>57.142857142857139</v>
      </c>
      <c r="G23" s="5">
        <f t="shared" si="2"/>
        <v>6.6666666666666638E-2</v>
      </c>
      <c r="H23" s="4">
        <f>4*(('01_WHOQOL_Items'!H23 + '01_WHOQOL_Items'!I23 + '01_WHOQOL_Items'!J23 + '01_WHOQOL_Items'!N23 + '01_WHOQOL_Items'!V23 + (6-'01_WHOQOL_Items'!AC23))/6)</f>
        <v>10</v>
      </c>
      <c r="I23" s="4">
        <f>4*(('01_WHOQOL_Items'!AH23 + '01_WHOQOL_Items'!AI23 + '01_WHOQOL_Items'!AJ23 + '01_WHOQOL_Items'!AN23 + '01_WHOQOL_Items'!AV23 + (6-'01_WHOQOL_Items'!BC23))/6)</f>
        <v>10.666666666666666</v>
      </c>
      <c r="J23" s="4">
        <f t="shared" si="3"/>
        <v>37.5</v>
      </c>
      <c r="K23" s="4">
        <f t="shared" si="4"/>
        <v>41.666666666666664</v>
      </c>
      <c r="L23" s="5">
        <f t="shared" si="5"/>
        <v>0.11111111111111105</v>
      </c>
      <c r="M23" s="4">
        <f>4*(('01_WHOQOL_Items'!W23 + '01_WHOQOL_Items'!X23 + '01_WHOQOL_Items'!Y23)/3)</f>
        <v>10.666666666666666</v>
      </c>
      <c r="N23" s="4">
        <f>4*(('01_WHOQOL_Items'!AW23 + '01_WHOQOL_Items'!AX23 + '01_WHOQOL_Items'!AY23)/3)</f>
        <v>12</v>
      </c>
      <c r="O23" s="4">
        <f t="shared" si="6"/>
        <v>41.666666666666664</v>
      </c>
      <c r="P23" s="4">
        <f t="shared" si="7"/>
        <v>50</v>
      </c>
      <c r="Q23" s="5">
        <f t="shared" si="8"/>
        <v>0.20000000000000007</v>
      </c>
      <c r="R23" s="4">
        <f>4*(('01_WHOQOL_Items'!K23 + '01_WHOQOL_Items'!L23 + '01_WHOQOL_Items'!O23 + '01_WHOQOL_Items'!P23 + '01_WHOQOL_Items'!Q23 + '01_WHOQOL_Items'!Z23 + '01_WHOQOL_Items'!AA23 + '01_WHOQOL_Items'!AB23)/8)</f>
        <v>13</v>
      </c>
      <c r="S23" s="4">
        <f>4*(('01_WHOQOL_Items'!AK23 + '01_WHOQOL_Items'!AL23 + '01_WHOQOL_Items'!AO23 + '01_WHOQOL_Items'!AP23 + '01_WHOQOL_Items'!AQ23 + '01_WHOQOL_Items'!AZ23 + '01_WHOQOL_Items'!BA23 + '01_WHOQOL_Items'!BB23)/8)</f>
        <v>13.5</v>
      </c>
      <c r="T23" s="4">
        <f t="shared" si="9"/>
        <v>56.25</v>
      </c>
      <c r="U23" s="4">
        <f t="shared" si="10"/>
        <v>59.375</v>
      </c>
      <c r="V23" s="5">
        <f t="shared" si="11"/>
        <v>5.5555555555555552E-2</v>
      </c>
      <c r="W23" s="4">
        <f t="shared" si="12"/>
        <v>47.24702380952381</v>
      </c>
      <c r="X23" s="4">
        <f t="shared" si="13"/>
        <v>52.046130952380949</v>
      </c>
      <c r="Y23" s="5">
        <f t="shared" si="14"/>
        <v>0.10157480314960621</v>
      </c>
      <c r="Z23" s="1">
        <f>'01_WHOQOL_Items'!D23</f>
        <v>2</v>
      </c>
      <c r="AA23" s="1">
        <f>'01_WHOQOL_Items'!AD23</f>
        <v>4</v>
      </c>
      <c r="AB23" s="1">
        <f>'01_WHOQOL_Items'!E23</f>
        <v>3</v>
      </c>
      <c r="AC23" s="1">
        <f>'01_WHOQOL_Items'!AE23</f>
        <v>3</v>
      </c>
    </row>
    <row r="24" spans="1:29">
      <c r="A24" s="1" t="str">
        <f>'01_WHOQOL_Items'!A24</f>
        <v>EXP-023</v>
      </c>
      <c r="B24" s="1" t="str">
        <f>'01_WHOQOL_Items'!B24</f>
        <v>Experimental</v>
      </c>
      <c r="C24" s="4">
        <f>4*(((6-'01_WHOQOL_Items'!F24) + (6-'01_WHOQOL_Items'!G24) + '01_WHOQOL_Items'!M24 + '01_WHOQOL_Items'!R24 + '01_WHOQOL_Items'!S24 + '01_WHOQOL_Items'!T24 + '01_WHOQOL_Items'!U24)/7)</f>
        <v>13.142857142857142</v>
      </c>
      <c r="D24" s="4">
        <f>4*(((6-'01_WHOQOL_Items'!AF24) + (6-'01_WHOQOL_Items'!AG24) + '01_WHOQOL_Items'!AM24 + '01_WHOQOL_Items'!AR24 + '01_WHOQOL_Items'!AS24 + '01_WHOQOL_Items'!AT24 + '01_WHOQOL_Items'!AU24)/7)</f>
        <v>14.285714285714286</v>
      </c>
      <c r="E24" s="4">
        <f t="shared" si="0"/>
        <v>57.142857142857139</v>
      </c>
      <c r="F24" s="4">
        <f t="shared" si="1"/>
        <v>64.285714285714292</v>
      </c>
      <c r="G24" s="5">
        <f t="shared" si="2"/>
        <v>0.12500000000000019</v>
      </c>
      <c r="H24" s="4">
        <f>4*(('01_WHOQOL_Items'!H24 + '01_WHOQOL_Items'!I24 + '01_WHOQOL_Items'!J24 + '01_WHOQOL_Items'!N24 + '01_WHOQOL_Items'!V24 + (6-'01_WHOQOL_Items'!AC24))/6)</f>
        <v>13.333333333333334</v>
      </c>
      <c r="I24" s="4">
        <f>4*(('01_WHOQOL_Items'!AH24 + '01_WHOQOL_Items'!AI24 + '01_WHOQOL_Items'!AJ24 + '01_WHOQOL_Items'!AN24 + '01_WHOQOL_Items'!AV24 + (6-'01_WHOQOL_Items'!BC24))/6)</f>
        <v>15.333333333333334</v>
      </c>
      <c r="J24" s="4">
        <f t="shared" si="3"/>
        <v>58.333333333333336</v>
      </c>
      <c r="K24" s="4">
        <f t="shared" si="4"/>
        <v>70.833333333333343</v>
      </c>
      <c r="L24" s="5">
        <f t="shared" si="5"/>
        <v>0.21428571428571441</v>
      </c>
      <c r="M24" s="4">
        <f>4*(('01_WHOQOL_Items'!W24 + '01_WHOQOL_Items'!X24 + '01_WHOQOL_Items'!Y24)/3)</f>
        <v>12</v>
      </c>
      <c r="N24" s="4">
        <f>4*(('01_WHOQOL_Items'!AW24 + '01_WHOQOL_Items'!AX24 + '01_WHOQOL_Items'!AY24)/3)</f>
        <v>16</v>
      </c>
      <c r="O24" s="4">
        <f t="shared" si="6"/>
        <v>50</v>
      </c>
      <c r="P24" s="4">
        <f t="shared" si="7"/>
        <v>75</v>
      </c>
      <c r="Q24" s="5">
        <f t="shared" si="8"/>
        <v>0.5</v>
      </c>
      <c r="R24" s="4">
        <f>4*(('01_WHOQOL_Items'!K24 + '01_WHOQOL_Items'!L24 + '01_WHOQOL_Items'!O24 + '01_WHOQOL_Items'!P24 + '01_WHOQOL_Items'!Q24 + '01_WHOQOL_Items'!Z24 + '01_WHOQOL_Items'!AA24 + '01_WHOQOL_Items'!AB24)/8)</f>
        <v>12.5</v>
      </c>
      <c r="S24" s="4">
        <f>4*(('01_WHOQOL_Items'!AK24 + '01_WHOQOL_Items'!AL24 + '01_WHOQOL_Items'!AO24 + '01_WHOQOL_Items'!AP24 + '01_WHOQOL_Items'!AQ24 + '01_WHOQOL_Items'!AZ24 + '01_WHOQOL_Items'!BA24 + '01_WHOQOL_Items'!BB24)/8)</f>
        <v>16</v>
      </c>
      <c r="T24" s="4">
        <f t="shared" si="9"/>
        <v>53.125</v>
      </c>
      <c r="U24" s="4">
        <f t="shared" si="10"/>
        <v>75</v>
      </c>
      <c r="V24" s="5">
        <f t="shared" si="11"/>
        <v>0.41176470588235292</v>
      </c>
      <c r="W24" s="4">
        <f t="shared" si="12"/>
        <v>54.65029761904762</v>
      </c>
      <c r="X24" s="4">
        <f t="shared" si="13"/>
        <v>71.279761904761912</v>
      </c>
      <c r="Y24" s="5">
        <f t="shared" si="14"/>
        <v>0.30428863172226017</v>
      </c>
      <c r="Z24" s="1">
        <f>'01_WHOQOL_Items'!D24</f>
        <v>4</v>
      </c>
      <c r="AA24" s="1">
        <f>'01_WHOQOL_Items'!AD24</f>
        <v>4</v>
      </c>
      <c r="AB24" s="1">
        <f>'01_WHOQOL_Items'!E24</f>
        <v>3</v>
      </c>
      <c r="AC24" s="1">
        <f>'01_WHOQOL_Items'!AE24</f>
        <v>3</v>
      </c>
    </row>
    <row r="25" spans="1:29">
      <c r="A25" s="1" t="str">
        <f>'01_WHOQOL_Items'!A25</f>
        <v>EXP-024</v>
      </c>
      <c r="B25" s="1" t="str">
        <f>'01_WHOQOL_Items'!B25</f>
        <v>Experimental</v>
      </c>
      <c r="C25" s="4">
        <f>4*(((6-'01_WHOQOL_Items'!F25) + (6-'01_WHOQOL_Items'!G25) + '01_WHOQOL_Items'!M25 + '01_WHOQOL_Items'!R25 + '01_WHOQOL_Items'!S25 + '01_WHOQOL_Items'!T25 + '01_WHOQOL_Items'!U25)/7)</f>
        <v>11.428571428571429</v>
      </c>
      <c r="D25" s="4">
        <f>4*(((6-'01_WHOQOL_Items'!AF25) + (6-'01_WHOQOL_Items'!AG25) + '01_WHOQOL_Items'!AM25 + '01_WHOQOL_Items'!AR25 + '01_WHOQOL_Items'!AS25 + '01_WHOQOL_Items'!AT25 + '01_WHOQOL_Items'!AU25)/7)</f>
        <v>12.571428571428571</v>
      </c>
      <c r="E25" s="4">
        <f t="shared" si="0"/>
        <v>46.428571428571431</v>
      </c>
      <c r="F25" s="4">
        <f t="shared" si="1"/>
        <v>53.571428571428569</v>
      </c>
      <c r="G25" s="5">
        <f t="shared" si="2"/>
        <v>0.15384615384615374</v>
      </c>
      <c r="H25" s="4">
        <f>4*(('01_WHOQOL_Items'!H25 + '01_WHOQOL_Items'!I25 + '01_WHOQOL_Items'!J25 + '01_WHOQOL_Items'!N25 + '01_WHOQOL_Items'!V25 + (6-'01_WHOQOL_Items'!AC25))/6)</f>
        <v>8.6666666666666661</v>
      </c>
      <c r="I25" s="4">
        <f>4*(('01_WHOQOL_Items'!AH25 + '01_WHOQOL_Items'!AI25 + '01_WHOQOL_Items'!AJ25 + '01_WHOQOL_Items'!AN25 + '01_WHOQOL_Items'!AV25 + (6-'01_WHOQOL_Items'!BC25))/6)</f>
        <v>12</v>
      </c>
      <c r="J25" s="4">
        <f t="shared" si="3"/>
        <v>29.166666666666664</v>
      </c>
      <c r="K25" s="4">
        <f t="shared" si="4"/>
        <v>50</v>
      </c>
      <c r="L25" s="5">
        <f t="shared" si="5"/>
        <v>0.71428571428571441</v>
      </c>
      <c r="M25" s="4">
        <f>4*(('01_WHOQOL_Items'!W25 + '01_WHOQOL_Items'!X25 + '01_WHOQOL_Items'!Y25)/3)</f>
        <v>9.3333333333333339</v>
      </c>
      <c r="N25" s="4">
        <f>4*(('01_WHOQOL_Items'!AW25 + '01_WHOQOL_Items'!AX25 + '01_WHOQOL_Items'!AY25)/3)</f>
        <v>13.333333333333334</v>
      </c>
      <c r="O25" s="4">
        <f t="shared" si="6"/>
        <v>33.333333333333336</v>
      </c>
      <c r="P25" s="4">
        <f t="shared" si="7"/>
        <v>58.333333333333336</v>
      </c>
      <c r="Q25" s="5">
        <f t="shared" si="8"/>
        <v>0.75</v>
      </c>
      <c r="R25" s="4">
        <f>4*(('01_WHOQOL_Items'!K25 + '01_WHOQOL_Items'!L25 + '01_WHOQOL_Items'!O25 + '01_WHOQOL_Items'!P25 + '01_WHOQOL_Items'!Q25 + '01_WHOQOL_Items'!Z25 + '01_WHOQOL_Items'!AA25 + '01_WHOQOL_Items'!AB25)/8)</f>
        <v>15.5</v>
      </c>
      <c r="S25" s="4">
        <f>4*(('01_WHOQOL_Items'!AK25 + '01_WHOQOL_Items'!AL25 + '01_WHOQOL_Items'!AO25 + '01_WHOQOL_Items'!AP25 + '01_WHOQOL_Items'!AQ25 + '01_WHOQOL_Items'!AZ25 + '01_WHOQOL_Items'!BA25 + '01_WHOQOL_Items'!BB25)/8)</f>
        <v>14.5</v>
      </c>
      <c r="T25" s="4">
        <f t="shared" si="9"/>
        <v>71.875</v>
      </c>
      <c r="U25" s="4">
        <f t="shared" si="10"/>
        <v>65.625</v>
      </c>
      <c r="V25" s="5">
        <f t="shared" si="11"/>
        <v>-8.6956521739130432E-2</v>
      </c>
      <c r="W25" s="4">
        <f t="shared" si="12"/>
        <v>45.200892857142861</v>
      </c>
      <c r="X25" s="4">
        <f t="shared" si="13"/>
        <v>56.882440476190474</v>
      </c>
      <c r="Y25" s="5">
        <f t="shared" si="14"/>
        <v>0.25843621399176941</v>
      </c>
      <c r="Z25" s="1">
        <f>'01_WHOQOL_Items'!D25</f>
        <v>3</v>
      </c>
      <c r="AA25" s="1">
        <f>'01_WHOQOL_Items'!AD25</f>
        <v>4</v>
      </c>
      <c r="AB25" s="1">
        <f>'01_WHOQOL_Items'!E25</f>
        <v>3</v>
      </c>
      <c r="AC25" s="1">
        <f>'01_WHOQOL_Items'!AE25</f>
        <v>4</v>
      </c>
    </row>
    <row r="26" spans="1:29">
      <c r="A26" s="1" t="str">
        <f>'01_WHOQOL_Items'!A26</f>
        <v>EXP-025</v>
      </c>
      <c r="B26" s="1" t="str">
        <f>'01_WHOQOL_Items'!B26</f>
        <v>Experimental</v>
      </c>
      <c r="C26" s="4">
        <f>4*(((6-'01_WHOQOL_Items'!F26) + (6-'01_WHOQOL_Items'!G26) + '01_WHOQOL_Items'!M26 + '01_WHOQOL_Items'!R26 + '01_WHOQOL_Items'!S26 + '01_WHOQOL_Items'!T26 + '01_WHOQOL_Items'!U26)/7)</f>
        <v>12.571428571428571</v>
      </c>
      <c r="D26" s="4">
        <f>4*(((6-'01_WHOQOL_Items'!AF26) + (6-'01_WHOQOL_Items'!AG26) + '01_WHOQOL_Items'!AM26 + '01_WHOQOL_Items'!AR26 + '01_WHOQOL_Items'!AS26 + '01_WHOQOL_Items'!AT26 + '01_WHOQOL_Items'!AU26)/7)</f>
        <v>17.142857142857142</v>
      </c>
      <c r="E26" s="4">
        <f t="shared" si="0"/>
        <v>53.571428571428569</v>
      </c>
      <c r="F26" s="4">
        <f t="shared" si="1"/>
        <v>82.142857142857139</v>
      </c>
      <c r="G26" s="5">
        <f t="shared" si="2"/>
        <v>0.53333333333333333</v>
      </c>
      <c r="H26" s="4">
        <f>4*(('01_WHOQOL_Items'!H26 + '01_WHOQOL_Items'!I26 + '01_WHOQOL_Items'!J26 + '01_WHOQOL_Items'!N26 + '01_WHOQOL_Items'!V26 + (6-'01_WHOQOL_Items'!AC26))/6)</f>
        <v>12.666666666666666</v>
      </c>
      <c r="I26" s="4">
        <f>4*(('01_WHOQOL_Items'!AH26 + '01_WHOQOL_Items'!AI26 + '01_WHOQOL_Items'!AJ26 + '01_WHOQOL_Items'!AN26 + '01_WHOQOL_Items'!AV26 + (6-'01_WHOQOL_Items'!BC26))/6)</f>
        <v>14</v>
      </c>
      <c r="J26" s="4">
        <f t="shared" si="3"/>
        <v>54.166666666666664</v>
      </c>
      <c r="K26" s="4">
        <f t="shared" si="4"/>
        <v>62.5</v>
      </c>
      <c r="L26" s="5">
        <f t="shared" si="5"/>
        <v>0.15384615384615391</v>
      </c>
      <c r="M26" s="4">
        <f>4*(('01_WHOQOL_Items'!W26 + '01_WHOQOL_Items'!X26 + '01_WHOQOL_Items'!Y26)/3)</f>
        <v>14.666666666666666</v>
      </c>
      <c r="N26" s="4">
        <f>4*(('01_WHOQOL_Items'!AW26 + '01_WHOQOL_Items'!AX26 + '01_WHOQOL_Items'!AY26)/3)</f>
        <v>14.666666666666666</v>
      </c>
      <c r="O26" s="4">
        <f t="shared" si="6"/>
        <v>66.666666666666657</v>
      </c>
      <c r="P26" s="4">
        <f t="shared" si="7"/>
        <v>66.666666666666657</v>
      </c>
      <c r="Q26" s="5">
        <f t="shared" si="8"/>
        <v>0</v>
      </c>
      <c r="R26" s="4">
        <f>4*(('01_WHOQOL_Items'!K26 + '01_WHOQOL_Items'!L26 + '01_WHOQOL_Items'!O26 + '01_WHOQOL_Items'!P26 + '01_WHOQOL_Items'!Q26 + '01_WHOQOL_Items'!Z26 + '01_WHOQOL_Items'!AA26 + '01_WHOQOL_Items'!AB26)/8)</f>
        <v>10</v>
      </c>
      <c r="S26" s="4">
        <f>4*(('01_WHOQOL_Items'!AK26 + '01_WHOQOL_Items'!AL26 + '01_WHOQOL_Items'!AO26 + '01_WHOQOL_Items'!AP26 + '01_WHOQOL_Items'!AQ26 + '01_WHOQOL_Items'!AZ26 + '01_WHOQOL_Items'!BA26 + '01_WHOQOL_Items'!BB26)/8)</f>
        <v>12</v>
      </c>
      <c r="T26" s="4">
        <f t="shared" si="9"/>
        <v>37.5</v>
      </c>
      <c r="U26" s="4">
        <f t="shared" si="10"/>
        <v>50</v>
      </c>
      <c r="V26" s="5">
        <f t="shared" si="11"/>
        <v>0.33333333333333331</v>
      </c>
      <c r="W26" s="4">
        <f t="shared" si="12"/>
        <v>52.976190476190474</v>
      </c>
      <c r="X26" s="4">
        <f t="shared" si="13"/>
        <v>65.327380952380949</v>
      </c>
      <c r="Y26" s="5">
        <f t="shared" si="14"/>
        <v>0.23314606741573032</v>
      </c>
      <c r="Z26" s="1">
        <f>'01_WHOQOL_Items'!D26</f>
        <v>3</v>
      </c>
      <c r="AA26" s="1">
        <f>'01_WHOQOL_Items'!AD26</f>
        <v>3</v>
      </c>
      <c r="AB26" s="1">
        <f>'01_WHOQOL_Items'!E26</f>
        <v>4</v>
      </c>
      <c r="AC26" s="1">
        <f>'01_WHOQOL_Items'!AE26</f>
        <v>4</v>
      </c>
    </row>
    <row r="27" spans="1:29">
      <c r="A27" s="1" t="str">
        <f>'01_WHOQOL_Items'!A27</f>
        <v>EXP-026</v>
      </c>
      <c r="B27" s="1" t="str">
        <f>'01_WHOQOL_Items'!B27</f>
        <v>Experimental</v>
      </c>
      <c r="C27" s="4">
        <f>4*(((6-'01_WHOQOL_Items'!F27) + (6-'01_WHOQOL_Items'!G27) + '01_WHOQOL_Items'!M27 + '01_WHOQOL_Items'!R27 + '01_WHOQOL_Items'!S27 + '01_WHOQOL_Items'!T27 + '01_WHOQOL_Items'!U27)/7)</f>
        <v>10.285714285714286</v>
      </c>
      <c r="D27" s="4">
        <f>4*(((6-'01_WHOQOL_Items'!AF27) + (6-'01_WHOQOL_Items'!AG27) + '01_WHOQOL_Items'!AM27 + '01_WHOQOL_Items'!AR27 + '01_WHOQOL_Items'!AS27 + '01_WHOQOL_Items'!AT27 + '01_WHOQOL_Items'!AU27)/7)</f>
        <v>12.571428571428571</v>
      </c>
      <c r="E27" s="4">
        <f t="shared" si="0"/>
        <v>39.285714285714292</v>
      </c>
      <c r="F27" s="4">
        <f t="shared" si="1"/>
        <v>53.571428571428569</v>
      </c>
      <c r="G27" s="5">
        <f t="shared" si="2"/>
        <v>0.36363636363636337</v>
      </c>
      <c r="H27" s="4">
        <f>4*(('01_WHOQOL_Items'!H27 + '01_WHOQOL_Items'!I27 + '01_WHOQOL_Items'!J27 + '01_WHOQOL_Items'!N27 + '01_WHOQOL_Items'!V27 + (6-'01_WHOQOL_Items'!AC27))/6)</f>
        <v>13.333333333333334</v>
      </c>
      <c r="I27" s="4">
        <f>4*(('01_WHOQOL_Items'!AH27 + '01_WHOQOL_Items'!AI27 + '01_WHOQOL_Items'!AJ27 + '01_WHOQOL_Items'!AN27 + '01_WHOQOL_Items'!AV27 + (6-'01_WHOQOL_Items'!BC27))/6)</f>
        <v>14.666666666666666</v>
      </c>
      <c r="J27" s="4">
        <f t="shared" si="3"/>
        <v>58.333333333333336</v>
      </c>
      <c r="K27" s="4">
        <f t="shared" si="4"/>
        <v>66.666666666666657</v>
      </c>
      <c r="L27" s="5">
        <f t="shared" si="5"/>
        <v>0.14285714285714265</v>
      </c>
      <c r="M27" s="4">
        <f>4*(('01_WHOQOL_Items'!W27 + '01_WHOQOL_Items'!X27 + '01_WHOQOL_Items'!Y27)/3)</f>
        <v>12</v>
      </c>
      <c r="N27" s="4">
        <f>4*(('01_WHOQOL_Items'!AW27 + '01_WHOQOL_Items'!AX27 + '01_WHOQOL_Items'!AY27)/3)</f>
        <v>12</v>
      </c>
      <c r="O27" s="4">
        <f t="shared" si="6"/>
        <v>50</v>
      </c>
      <c r="P27" s="4">
        <f t="shared" si="7"/>
        <v>50</v>
      </c>
      <c r="Q27" s="5">
        <f t="shared" si="8"/>
        <v>0</v>
      </c>
      <c r="R27" s="4">
        <f>4*(('01_WHOQOL_Items'!K27 + '01_WHOQOL_Items'!L27 + '01_WHOQOL_Items'!O27 + '01_WHOQOL_Items'!P27 + '01_WHOQOL_Items'!Q27 + '01_WHOQOL_Items'!Z27 + '01_WHOQOL_Items'!AA27 + '01_WHOQOL_Items'!AB27)/8)</f>
        <v>10</v>
      </c>
      <c r="S27" s="4">
        <f>4*(('01_WHOQOL_Items'!AK27 + '01_WHOQOL_Items'!AL27 + '01_WHOQOL_Items'!AO27 + '01_WHOQOL_Items'!AP27 + '01_WHOQOL_Items'!AQ27 + '01_WHOQOL_Items'!AZ27 + '01_WHOQOL_Items'!BA27 + '01_WHOQOL_Items'!BB27)/8)</f>
        <v>12</v>
      </c>
      <c r="T27" s="4">
        <f t="shared" si="9"/>
        <v>37.5</v>
      </c>
      <c r="U27" s="4">
        <f t="shared" si="10"/>
        <v>50</v>
      </c>
      <c r="V27" s="5">
        <f t="shared" si="11"/>
        <v>0.33333333333333331</v>
      </c>
      <c r="W27" s="4">
        <f t="shared" si="12"/>
        <v>46.279761904761905</v>
      </c>
      <c r="X27" s="4">
        <f t="shared" si="13"/>
        <v>55.05952380952381</v>
      </c>
      <c r="Y27" s="5">
        <f t="shared" si="14"/>
        <v>0.1897106109324759</v>
      </c>
      <c r="Z27" s="1">
        <f>'01_WHOQOL_Items'!D27</f>
        <v>3</v>
      </c>
      <c r="AA27" s="1">
        <f>'01_WHOQOL_Items'!AD27</f>
        <v>3</v>
      </c>
      <c r="AB27" s="1">
        <f>'01_WHOQOL_Items'!E27</f>
        <v>3</v>
      </c>
      <c r="AC27" s="1">
        <f>'01_WHOQOL_Items'!AE27</f>
        <v>3</v>
      </c>
    </row>
    <row r="28" spans="1:29">
      <c r="A28" s="1" t="str">
        <f>'01_WHOQOL_Items'!A28</f>
        <v>EXP-027</v>
      </c>
      <c r="B28" s="1" t="str">
        <f>'01_WHOQOL_Items'!B28</f>
        <v>Experimental</v>
      </c>
      <c r="C28" s="4">
        <f>4*(((6-'01_WHOQOL_Items'!F28) + (6-'01_WHOQOL_Items'!G28) + '01_WHOQOL_Items'!M28 + '01_WHOQOL_Items'!R28 + '01_WHOQOL_Items'!S28 + '01_WHOQOL_Items'!T28 + '01_WHOQOL_Items'!U28)/7)</f>
        <v>10.857142857142858</v>
      </c>
      <c r="D28" s="4">
        <f>4*(((6-'01_WHOQOL_Items'!AF28) + (6-'01_WHOQOL_Items'!AG28) + '01_WHOQOL_Items'!AM28 + '01_WHOQOL_Items'!AR28 + '01_WHOQOL_Items'!AS28 + '01_WHOQOL_Items'!AT28 + '01_WHOQOL_Items'!AU28)/7)</f>
        <v>10.857142857142858</v>
      </c>
      <c r="E28" s="4">
        <f t="shared" si="0"/>
        <v>42.857142857142861</v>
      </c>
      <c r="F28" s="4">
        <f t="shared" si="1"/>
        <v>42.857142857142861</v>
      </c>
      <c r="G28" s="5">
        <f t="shared" si="2"/>
        <v>0</v>
      </c>
      <c r="H28" s="4">
        <f>4*(('01_WHOQOL_Items'!H28 + '01_WHOQOL_Items'!I28 + '01_WHOQOL_Items'!J28 + '01_WHOQOL_Items'!N28 + '01_WHOQOL_Items'!V28 + (6-'01_WHOQOL_Items'!AC28))/6)</f>
        <v>12</v>
      </c>
      <c r="I28" s="4">
        <f>4*(('01_WHOQOL_Items'!AH28 + '01_WHOQOL_Items'!AI28 + '01_WHOQOL_Items'!AJ28 + '01_WHOQOL_Items'!AN28 + '01_WHOQOL_Items'!AV28 + (6-'01_WHOQOL_Items'!BC28))/6)</f>
        <v>14.666666666666666</v>
      </c>
      <c r="J28" s="4">
        <f t="shared" si="3"/>
        <v>50</v>
      </c>
      <c r="K28" s="4">
        <f t="shared" si="4"/>
        <v>66.666666666666657</v>
      </c>
      <c r="L28" s="5">
        <f t="shared" si="5"/>
        <v>0.33333333333333315</v>
      </c>
      <c r="M28" s="4">
        <f>4*(('01_WHOQOL_Items'!W28 + '01_WHOQOL_Items'!X28 + '01_WHOQOL_Items'!Y28)/3)</f>
        <v>13.333333333333334</v>
      </c>
      <c r="N28" s="4">
        <f>4*(('01_WHOQOL_Items'!AW28 + '01_WHOQOL_Items'!AX28 + '01_WHOQOL_Items'!AY28)/3)</f>
        <v>16</v>
      </c>
      <c r="O28" s="4">
        <f t="shared" si="6"/>
        <v>58.333333333333336</v>
      </c>
      <c r="P28" s="4">
        <f t="shared" si="7"/>
        <v>75</v>
      </c>
      <c r="Q28" s="5">
        <f t="shared" si="8"/>
        <v>0.28571428571428564</v>
      </c>
      <c r="R28" s="4">
        <f>4*(('01_WHOQOL_Items'!K28 + '01_WHOQOL_Items'!L28 + '01_WHOQOL_Items'!O28 + '01_WHOQOL_Items'!P28 + '01_WHOQOL_Items'!Q28 + '01_WHOQOL_Items'!Z28 + '01_WHOQOL_Items'!AA28 + '01_WHOQOL_Items'!AB28)/8)</f>
        <v>11</v>
      </c>
      <c r="S28" s="4">
        <f>4*(('01_WHOQOL_Items'!AK28 + '01_WHOQOL_Items'!AL28 + '01_WHOQOL_Items'!AO28 + '01_WHOQOL_Items'!AP28 + '01_WHOQOL_Items'!AQ28 + '01_WHOQOL_Items'!AZ28 + '01_WHOQOL_Items'!BA28 + '01_WHOQOL_Items'!BB28)/8)</f>
        <v>14</v>
      </c>
      <c r="T28" s="4">
        <f t="shared" si="9"/>
        <v>43.75</v>
      </c>
      <c r="U28" s="4">
        <f t="shared" si="10"/>
        <v>62.5</v>
      </c>
      <c r="V28" s="5">
        <f t="shared" si="11"/>
        <v>0.42857142857142855</v>
      </c>
      <c r="W28" s="4">
        <f t="shared" si="12"/>
        <v>48.735119047619051</v>
      </c>
      <c r="X28" s="4">
        <f t="shared" si="13"/>
        <v>61.75595238095238</v>
      </c>
      <c r="Y28" s="5">
        <f t="shared" si="14"/>
        <v>0.26717557251908386</v>
      </c>
      <c r="Z28" s="1">
        <f>'01_WHOQOL_Items'!D28</f>
        <v>3</v>
      </c>
      <c r="AA28" s="1">
        <f>'01_WHOQOL_Items'!AD28</f>
        <v>4</v>
      </c>
      <c r="AB28" s="1">
        <f>'01_WHOQOL_Items'!E28</f>
        <v>3</v>
      </c>
      <c r="AC28" s="1">
        <f>'01_WHOQOL_Items'!AE28</f>
        <v>3</v>
      </c>
    </row>
    <row r="29" spans="1:29">
      <c r="A29" s="1" t="str">
        <f>'01_WHOQOL_Items'!A29</f>
        <v>EXP-028</v>
      </c>
      <c r="B29" s="1" t="str">
        <f>'01_WHOQOL_Items'!B29</f>
        <v>Experimental</v>
      </c>
      <c r="C29" s="4">
        <f>4*(((6-'01_WHOQOL_Items'!F29) + (6-'01_WHOQOL_Items'!G29) + '01_WHOQOL_Items'!M29 + '01_WHOQOL_Items'!R29 + '01_WHOQOL_Items'!S29 + '01_WHOQOL_Items'!T29 + '01_WHOQOL_Items'!U29)/7)</f>
        <v>12.571428571428571</v>
      </c>
      <c r="D29" s="4">
        <f>4*(((6-'01_WHOQOL_Items'!AF29) + (6-'01_WHOQOL_Items'!AG29) + '01_WHOQOL_Items'!AM29 + '01_WHOQOL_Items'!AR29 + '01_WHOQOL_Items'!AS29 + '01_WHOQOL_Items'!AT29 + '01_WHOQOL_Items'!AU29)/7)</f>
        <v>15.428571428571429</v>
      </c>
      <c r="E29" s="4">
        <f t="shared" si="0"/>
        <v>53.571428571428569</v>
      </c>
      <c r="F29" s="4">
        <f t="shared" si="1"/>
        <v>71.428571428571431</v>
      </c>
      <c r="G29" s="5">
        <f t="shared" si="2"/>
        <v>0.33333333333333343</v>
      </c>
      <c r="H29" s="4">
        <f>4*(('01_WHOQOL_Items'!H29 + '01_WHOQOL_Items'!I29 + '01_WHOQOL_Items'!J29 + '01_WHOQOL_Items'!N29 + '01_WHOQOL_Items'!V29 + (6-'01_WHOQOL_Items'!AC29))/6)</f>
        <v>12.666666666666666</v>
      </c>
      <c r="I29" s="4">
        <f>4*(('01_WHOQOL_Items'!AH29 + '01_WHOQOL_Items'!AI29 + '01_WHOQOL_Items'!AJ29 + '01_WHOQOL_Items'!AN29 + '01_WHOQOL_Items'!AV29 + (6-'01_WHOQOL_Items'!BC29))/6)</f>
        <v>16</v>
      </c>
      <c r="J29" s="4">
        <f t="shared" si="3"/>
        <v>54.166666666666664</v>
      </c>
      <c r="K29" s="4">
        <f t="shared" si="4"/>
        <v>75</v>
      </c>
      <c r="L29" s="5">
        <f t="shared" si="5"/>
        <v>0.38461538461538469</v>
      </c>
      <c r="M29" s="4">
        <f>4*(('01_WHOQOL_Items'!W29 + '01_WHOQOL_Items'!X29 + '01_WHOQOL_Items'!Y29)/3)</f>
        <v>13.333333333333334</v>
      </c>
      <c r="N29" s="4">
        <f>4*(('01_WHOQOL_Items'!AW29 + '01_WHOQOL_Items'!AX29 + '01_WHOQOL_Items'!AY29)/3)</f>
        <v>14.666666666666666</v>
      </c>
      <c r="O29" s="4">
        <f t="shared" si="6"/>
        <v>58.333333333333336</v>
      </c>
      <c r="P29" s="4">
        <f t="shared" si="7"/>
        <v>66.666666666666657</v>
      </c>
      <c r="Q29" s="5">
        <f t="shared" si="8"/>
        <v>0.14285714285714265</v>
      </c>
      <c r="R29" s="4">
        <f>4*(('01_WHOQOL_Items'!K29 + '01_WHOQOL_Items'!L29 + '01_WHOQOL_Items'!O29 + '01_WHOQOL_Items'!P29 + '01_WHOQOL_Items'!Q29 + '01_WHOQOL_Items'!Z29 + '01_WHOQOL_Items'!AA29 + '01_WHOQOL_Items'!AB29)/8)</f>
        <v>13</v>
      </c>
      <c r="S29" s="4">
        <f>4*(('01_WHOQOL_Items'!AK29 + '01_WHOQOL_Items'!AL29 + '01_WHOQOL_Items'!AO29 + '01_WHOQOL_Items'!AP29 + '01_WHOQOL_Items'!AQ29 + '01_WHOQOL_Items'!AZ29 + '01_WHOQOL_Items'!BA29 + '01_WHOQOL_Items'!BB29)/8)</f>
        <v>16</v>
      </c>
      <c r="T29" s="4">
        <f t="shared" si="9"/>
        <v>56.25</v>
      </c>
      <c r="U29" s="4">
        <f t="shared" si="10"/>
        <v>75</v>
      </c>
      <c r="V29" s="5">
        <f t="shared" si="11"/>
        <v>0.33333333333333331</v>
      </c>
      <c r="W29" s="4">
        <f t="shared" si="12"/>
        <v>55.580357142857146</v>
      </c>
      <c r="X29" s="4">
        <f t="shared" si="13"/>
        <v>72.023809523809518</v>
      </c>
      <c r="Y29" s="5">
        <f t="shared" si="14"/>
        <v>0.29585006693440413</v>
      </c>
      <c r="Z29" s="1">
        <f>'01_WHOQOL_Items'!D29</f>
        <v>3</v>
      </c>
      <c r="AA29" s="1">
        <f>'01_WHOQOL_Items'!AD29</f>
        <v>4</v>
      </c>
      <c r="AB29" s="1">
        <f>'01_WHOQOL_Items'!E29</f>
        <v>3</v>
      </c>
      <c r="AC29" s="1">
        <f>'01_WHOQOL_Items'!AE29</f>
        <v>3</v>
      </c>
    </row>
    <row r="30" spans="1:29">
      <c r="A30" s="1" t="str">
        <f>'01_WHOQOL_Items'!A30</f>
        <v>EXP-029</v>
      </c>
      <c r="B30" s="1" t="str">
        <f>'01_WHOQOL_Items'!B30</f>
        <v>Experimental</v>
      </c>
      <c r="C30" s="4">
        <f>4*(((6-'01_WHOQOL_Items'!F30) + (6-'01_WHOQOL_Items'!G30) + '01_WHOQOL_Items'!M30 + '01_WHOQOL_Items'!R30 + '01_WHOQOL_Items'!S30 + '01_WHOQOL_Items'!T30 + '01_WHOQOL_Items'!U30)/7)</f>
        <v>12</v>
      </c>
      <c r="D30" s="4">
        <f>4*(((6-'01_WHOQOL_Items'!AF30) + (6-'01_WHOQOL_Items'!AG30) + '01_WHOQOL_Items'!AM30 + '01_WHOQOL_Items'!AR30 + '01_WHOQOL_Items'!AS30 + '01_WHOQOL_Items'!AT30 + '01_WHOQOL_Items'!AU30)/7)</f>
        <v>16</v>
      </c>
      <c r="E30" s="4">
        <f t="shared" si="0"/>
        <v>50</v>
      </c>
      <c r="F30" s="4">
        <f t="shared" si="1"/>
        <v>75</v>
      </c>
      <c r="G30" s="5">
        <f t="shared" si="2"/>
        <v>0.5</v>
      </c>
      <c r="H30" s="4">
        <f>4*(('01_WHOQOL_Items'!H30 + '01_WHOQOL_Items'!I30 + '01_WHOQOL_Items'!J30 + '01_WHOQOL_Items'!N30 + '01_WHOQOL_Items'!V30 + (6-'01_WHOQOL_Items'!AC30))/6)</f>
        <v>12.666666666666666</v>
      </c>
      <c r="I30" s="4">
        <f>4*(('01_WHOQOL_Items'!AH30 + '01_WHOQOL_Items'!AI30 + '01_WHOQOL_Items'!AJ30 + '01_WHOQOL_Items'!AN30 + '01_WHOQOL_Items'!AV30 + (6-'01_WHOQOL_Items'!BC30))/6)</f>
        <v>12.666666666666666</v>
      </c>
      <c r="J30" s="4">
        <f t="shared" si="3"/>
        <v>54.166666666666664</v>
      </c>
      <c r="K30" s="4">
        <f t="shared" si="4"/>
        <v>54.166666666666664</v>
      </c>
      <c r="L30" s="5">
        <f t="shared" si="5"/>
        <v>0</v>
      </c>
      <c r="M30" s="4">
        <f>4*(('01_WHOQOL_Items'!W30 + '01_WHOQOL_Items'!X30 + '01_WHOQOL_Items'!Y30)/3)</f>
        <v>6.666666666666667</v>
      </c>
      <c r="N30" s="4">
        <f>4*(('01_WHOQOL_Items'!AW30 + '01_WHOQOL_Items'!AX30 + '01_WHOQOL_Items'!AY30)/3)</f>
        <v>10.666666666666666</v>
      </c>
      <c r="O30" s="4">
        <f t="shared" si="6"/>
        <v>16.666666666666668</v>
      </c>
      <c r="P30" s="4">
        <f t="shared" si="7"/>
        <v>41.666666666666664</v>
      </c>
      <c r="Q30" s="5">
        <f t="shared" si="8"/>
        <v>1.4999999999999998</v>
      </c>
      <c r="R30" s="4">
        <f>4*(('01_WHOQOL_Items'!K30 + '01_WHOQOL_Items'!L30 + '01_WHOQOL_Items'!O30 + '01_WHOQOL_Items'!P30 + '01_WHOQOL_Items'!Q30 + '01_WHOQOL_Items'!Z30 + '01_WHOQOL_Items'!AA30 + '01_WHOQOL_Items'!AB30)/8)</f>
        <v>9.5</v>
      </c>
      <c r="S30" s="4">
        <f>4*(('01_WHOQOL_Items'!AK30 + '01_WHOQOL_Items'!AL30 + '01_WHOQOL_Items'!AO30 + '01_WHOQOL_Items'!AP30 + '01_WHOQOL_Items'!AQ30 + '01_WHOQOL_Items'!AZ30 + '01_WHOQOL_Items'!BA30 + '01_WHOQOL_Items'!BB30)/8)</f>
        <v>9.5</v>
      </c>
      <c r="T30" s="4">
        <f t="shared" si="9"/>
        <v>34.375</v>
      </c>
      <c r="U30" s="4">
        <f t="shared" si="10"/>
        <v>34.375</v>
      </c>
      <c r="V30" s="5">
        <f t="shared" si="11"/>
        <v>0</v>
      </c>
      <c r="W30" s="4">
        <f t="shared" si="12"/>
        <v>38.802083333333329</v>
      </c>
      <c r="X30" s="4">
        <f t="shared" si="13"/>
        <v>51.302083333333329</v>
      </c>
      <c r="Y30" s="5">
        <f t="shared" si="14"/>
        <v>0.32214765100671144</v>
      </c>
      <c r="Z30" s="1">
        <f>'01_WHOQOL_Items'!D30</f>
        <v>2</v>
      </c>
      <c r="AA30" s="1">
        <f>'01_WHOQOL_Items'!AD30</f>
        <v>3</v>
      </c>
      <c r="AB30" s="1">
        <f>'01_WHOQOL_Items'!E30</f>
        <v>3</v>
      </c>
      <c r="AC30" s="1">
        <f>'01_WHOQOL_Items'!AE30</f>
        <v>5</v>
      </c>
    </row>
    <row r="31" spans="1:29">
      <c r="A31" s="1" t="str">
        <f>'01_WHOQOL_Items'!A31</f>
        <v>EXP-030</v>
      </c>
      <c r="B31" s="1" t="str">
        <f>'01_WHOQOL_Items'!B31</f>
        <v>Experimental</v>
      </c>
      <c r="C31" s="4">
        <f>4*(((6-'01_WHOQOL_Items'!F31) + (6-'01_WHOQOL_Items'!G31) + '01_WHOQOL_Items'!M31 + '01_WHOQOL_Items'!R31 + '01_WHOQOL_Items'!S31 + '01_WHOQOL_Items'!T31 + '01_WHOQOL_Items'!U31)/7)</f>
        <v>14.285714285714286</v>
      </c>
      <c r="D31" s="4">
        <f>4*(((6-'01_WHOQOL_Items'!AF31) + (6-'01_WHOQOL_Items'!AG31) + '01_WHOQOL_Items'!AM31 + '01_WHOQOL_Items'!AR31 + '01_WHOQOL_Items'!AS31 + '01_WHOQOL_Items'!AT31 + '01_WHOQOL_Items'!AU31)/7)</f>
        <v>14.857142857142858</v>
      </c>
      <c r="E31" s="4">
        <f t="shared" si="0"/>
        <v>64.285714285714292</v>
      </c>
      <c r="F31" s="4">
        <f t="shared" si="1"/>
        <v>67.857142857142861</v>
      </c>
      <c r="G31" s="5">
        <f t="shared" si="2"/>
        <v>5.5555555555555518E-2</v>
      </c>
      <c r="H31" s="4">
        <f>4*(('01_WHOQOL_Items'!H31 + '01_WHOQOL_Items'!I31 + '01_WHOQOL_Items'!J31 + '01_WHOQOL_Items'!N31 + '01_WHOQOL_Items'!V31 + (6-'01_WHOQOL_Items'!AC31))/6)</f>
        <v>16.666666666666668</v>
      </c>
      <c r="I31" s="4">
        <f>4*(('01_WHOQOL_Items'!AH31 + '01_WHOQOL_Items'!AI31 + '01_WHOQOL_Items'!AJ31 + '01_WHOQOL_Items'!AN31 + '01_WHOQOL_Items'!AV31 + (6-'01_WHOQOL_Items'!BC31))/6)</f>
        <v>18.666666666666668</v>
      </c>
      <c r="J31" s="4">
        <f t="shared" si="3"/>
        <v>79.166666666666671</v>
      </c>
      <c r="K31" s="4">
        <f t="shared" si="4"/>
        <v>91.666666666666671</v>
      </c>
      <c r="L31" s="5">
        <f t="shared" si="5"/>
        <v>0.15789473684210525</v>
      </c>
      <c r="M31" s="4">
        <f>4*(('01_WHOQOL_Items'!W31 + '01_WHOQOL_Items'!X31 + '01_WHOQOL_Items'!Y31)/3)</f>
        <v>8</v>
      </c>
      <c r="N31" s="4">
        <f>4*(('01_WHOQOL_Items'!AW31 + '01_WHOQOL_Items'!AX31 + '01_WHOQOL_Items'!AY31)/3)</f>
        <v>12</v>
      </c>
      <c r="O31" s="4">
        <f t="shared" si="6"/>
        <v>25</v>
      </c>
      <c r="P31" s="4">
        <f t="shared" si="7"/>
        <v>50</v>
      </c>
      <c r="Q31" s="5">
        <f t="shared" si="8"/>
        <v>1</v>
      </c>
      <c r="R31" s="4">
        <f>4*(('01_WHOQOL_Items'!K31 + '01_WHOQOL_Items'!L31 + '01_WHOQOL_Items'!O31 + '01_WHOQOL_Items'!P31 + '01_WHOQOL_Items'!Q31 + '01_WHOQOL_Items'!Z31 + '01_WHOQOL_Items'!AA31 + '01_WHOQOL_Items'!AB31)/8)</f>
        <v>12</v>
      </c>
      <c r="S31" s="4">
        <f>4*(('01_WHOQOL_Items'!AK31 + '01_WHOQOL_Items'!AL31 + '01_WHOQOL_Items'!AO31 + '01_WHOQOL_Items'!AP31 + '01_WHOQOL_Items'!AQ31 + '01_WHOQOL_Items'!AZ31 + '01_WHOQOL_Items'!BA31 + '01_WHOQOL_Items'!BB31)/8)</f>
        <v>14</v>
      </c>
      <c r="T31" s="4">
        <f t="shared" si="9"/>
        <v>50</v>
      </c>
      <c r="U31" s="4">
        <f t="shared" si="10"/>
        <v>62.5</v>
      </c>
      <c r="V31" s="5">
        <f t="shared" si="11"/>
        <v>0.25</v>
      </c>
      <c r="W31" s="4">
        <f t="shared" si="12"/>
        <v>54.613095238095241</v>
      </c>
      <c r="X31" s="4">
        <f t="shared" si="13"/>
        <v>68.00595238095238</v>
      </c>
      <c r="Y31" s="5">
        <f t="shared" si="14"/>
        <v>0.24523160762942769</v>
      </c>
      <c r="Z31" s="1">
        <f>'01_WHOQOL_Items'!D31</f>
        <v>3</v>
      </c>
      <c r="AA31" s="1">
        <f>'01_WHOQOL_Items'!AD31</f>
        <v>3</v>
      </c>
      <c r="AB31" s="1">
        <f>'01_WHOQOL_Items'!E31</f>
        <v>3</v>
      </c>
      <c r="AC31" s="1">
        <f>'01_WHOQOL_Items'!AE31</f>
        <v>3</v>
      </c>
    </row>
    <row r="32" spans="1:29">
      <c r="A32" s="1" t="str">
        <f>'01_WHOQOL_Items'!A32</f>
        <v>EXP-031</v>
      </c>
      <c r="B32" s="1" t="str">
        <f>'01_WHOQOL_Items'!B32</f>
        <v>Experimental</v>
      </c>
      <c r="C32" s="4">
        <f>4*(((6-'01_WHOQOL_Items'!F32) + (6-'01_WHOQOL_Items'!G32) + '01_WHOQOL_Items'!M32 + '01_WHOQOL_Items'!R32 + '01_WHOQOL_Items'!S32 + '01_WHOQOL_Items'!T32 + '01_WHOQOL_Items'!U32)/7)</f>
        <v>14.285714285714286</v>
      </c>
      <c r="D32" s="4">
        <f>4*(((6-'01_WHOQOL_Items'!AF32) + (6-'01_WHOQOL_Items'!AG32) + '01_WHOQOL_Items'!AM32 + '01_WHOQOL_Items'!AR32 + '01_WHOQOL_Items'!AS32 + '01_WHOQOL_Items'!AT32 + '01_WHOQOL_Items'!AU32)/7)</f>
        <v>14.285714285714286</v>
      </c>
      <c r="E32" s="4">
        <f t="shared" si="0"/>
        <v>64.285714285714292</v>
      </c>
      <c r="F32" s="4">
        <f t="shared" si="1"/>
        <v>64.285714285714292</v>
      </c>
      <c r="G32" s="5">
        <f t="shared" si="2"/>
        <v>0</v>
      </c>
      <c r="H32" s="4">
        <f>4*(('01_WHOQOL_Items'!H32 + '01_WHOQOL_Items'!I32 + '01_WHOQOL_Items'!J32 + '01_WHOQOL_Items'!N32 + '01_WHOQOL_Items'!V32 + (6-'01_WHOQOL_Items'!AC32))/6)</f>
        <v>10.666666666666666</v>
      </c>
      <c r="I32" s="4">
        <f>4*(('01_WHOQOL_Items'!AH32 + '01_WHOQOL_Items'!AI32 + '01_WHOQOL_Items'!AJ32 + '01_WHOQOL_Items'!AN32 + '01_WHOQOL_Items'!AV32 + (6-'01_WHOQOL_Items'!BC32))/6)</f>
        <v>11.333333333333334</v>
      </c>
      <c r="J32" s="4">
        <f t="shared" si="3"/>
        <v>41.666666666666664</v>
      </c>
      <c r="K32" s="4">
        <f t="shared" si="4"/>
        <v>45.833333333333336</v>
      </c>
      <c r="L32" s="5">
        <f t="shared" si="5"/>
        <v>0.10000000000000012</v>
      </c>
      <c r="M32" s="4">
        <f>4*(('01_WHOQOL_Items'!W32 + '01_WHOQOL_Items'!X32 + '01_WHOQOL_Items'!Y32)/3)</f>
        <v>12</v>
      </c>
      <c r="N32" s="4">
        <f>4*(('01_WHOQOL_Items'!AW32 + '01_WHOQOL_Items'!AX32 + '01_WHOQOL_Items'!AY32)/3)</f>
        <v>13.333333333333334</v>
      </c>
      <c r="O32" s="4">
        <f t="shared" si="6"/>
        <v>50</v>
      </c>
      <c r="P32" s="4">
        <f t="shared" si="7"/>
        <v>58.333333333333336</v>
      </c>
      <c r="Q32" s="5">
        <f t="shared" si="8"/>
        <v>0.16666666666666671</v>
      </c>
      <c r="R32" s="4">
        <f>4*(('01_WHOQOL_Items'!K32 + '01_WHOQOL_Items'!L32 + '01_WHOQOL_Items'!O32 + '01_WHOQOL_Items'!P32 + '01_WHOQOL_Items'!Q32 + '01_WHOQOL_Items'!Z32 + '01_WHOQOL_Items'!AA32 + '01_WHOQOL_Items'!AB32)/8)</f>
        <v>11.5</v>
      </c>
      <c r="S32" s="4">
        <f>4*(('01_WHOQOL_Items'!AK32 + '01_WHOQOL_Items'!AL32 + '01_WHOQOL_Items'!AO32 + '01_WHOQOL_Items'!AP32 + '01_WHOQOL_Items'!AQ32 + '01_WHOQOL_Items'!AZ32 + '01_WHOQOL_Items'!BA32 + '01_WHOQOL_Items'!BB32)/8)</f>
        <v>15</v>
      </c>
      <c r="T32" s="4">
        <f t="shared" si="9"/>
        <v>46.875</v>
      </c>
      <c r="U32" s="4">
        <f t="shared" si="10"/>
        <v>68.75</v>
      </c>
      <c r="V32" s="5">
        <f t="shared" si="11"/>
        <v>0.46666666666666667</v>
      </c>
      <c r="W32" s="4">
        <f t="shared" si="12"/>
        <v>50.706845238095241</v>
      </c>
      <c r="X32" s="4">
        <f t="shared" si="13"/>
        <v>59.300595238095241</v>
      </c>
      <c r="Y32" s="5">
        <f t="shared" si="14"/>
        <v>0.16947909024211297</v>
      </c>
      <c r="Z32" s="1">
        <f>'01_WHOQOL_Items'!D32</f>
        <v>2</v>
      </c>
      <c r="AA32" s="1">
        <f>'01_WHOQOL_Items'!AD32</f>
        <v>4</v>
      </c>
      <c r="AB32" s="1">
        <f>'01_WHOQOL_Items'!E32</f>
        <v>3</v>
      </c>
      <c r="AC32" s="1">
        <f>'01_WHOQOL_Items'!AE32</f>
        <v>3</v>
      </c>
    </row>
    <row r="33" spans="1:29">
      <c r="A33" s="1" t="str">
        <f>'01_WHOQOL_Items'!A33</f>
        <v>EXP-032</v>
      </c>
      <c r="B33" s="1" t="str">
        <f>'01_WHOQOL_Items'!B33</f>
        <v>Experimental</v>
      </c>
      <c r="C33" s="4">
        <f>4*(((6-'01_WHOQOL_Items'!F33) + (6-'01_WHOQOL_Items'!G33) + '01_WHOQOL_Items'!M33 + '01_WHOQOL_Items'!R33 + '01_WHOQOL_Items'!S33 + '01_WHOQOL_Items'!T33 + '01_WHOQOL_Items'!U33)/7)</f>
        <v>16.571428571428573</v>
      </c>
      <c r="D33" s="4">
        <f>4*(((6-'01_WHOQOL_Items'!AF33) + (6-'01_WHOQOL_Items'!AG33) + '01_WHOQOL_Items'!AM33 + '01_WHOQOL_Items'!AR33 + '01_WHOQOL_Items'!AS33 + '01_WHOQOL_Items'!AT33 + '01_WHOQOL_Items'!AU33)/7)</f>
        <v>17.142857142857142</v>
      </c>
      <c r="E33" s="4">
        <f t="shared" si="0"/>
        <v>78.571428571428584</v>
      </c>
      <c r="F33" s="4">
        <f t="shared" si="1"/>
        <v>82.142857142857139</v>
      </c>
      <c r="G33" s="5">
        <f t="shared" si="2"/>
        <v>4.5454545454545241E-2</v>
      </c>
      <c r="H33" s="4">
        <f>4*(('01_WHOQOL_Items'!H33 + '01_WHOQOL_Items'!I33 + '01_WHOQOL_Items'!J33 + '01_WHOQOL_Items'!N33 + '01_WHOQOL_Items'!V33 + (6-'01_WHOQOL_Items'!AC33))/6)</f>
        <v>8</v>
      </c>
      <c r="I33" s="4">
        <f>4*(('01_WHOQOL_Items'!AH33 + '01_WHOQOL_Items'!AI33 + '01_WHOQOL_Items'!AJ33 + '01_WHOQOL_Items'!AN33 + '01_WHOQOL_Items'!AV33 + (6-'01_WHOQOL_Items'!BC33))/6)</f>
        <v>14</v>
      </c>
      <c r="J33" s="4">
        <f t="shared" si="3"/>
        <v>25</v>
      </c>
      <c r="K33" s="4">
        <f t="shared" si="4"/>
        <v>62.5</v>
      </c>
      <c r="L33" s="5">
        <f t="shared" si="5"/>
        <v>1.5</v>
      </c>
      <c r="M33" s="4">
        <f>4*(('01_WHOQOL_Items'!W33 + '01_WHOQOL_Items'!X33 + '01_WHOQOL_Items'!Y33)/3)</f>
        <v>9.3333333333333339</v>
      </c>
      <c r="N33" s="4">
        <f>4*(('01_WHOQOL_Items'!AW33 + '01_WHOQOL_Items'!AX33 + '01_WHOQOL_Items'!AY33)/3)</f>
        <v>16</v>
      </c>
      <c r="O33" s="4">
        <f t="shared" si="6"/>
        <v>33.333333333333336</v>
      </c>
      <c r="P33" s="4">
        <f t="shared" si="7"/>
        <v>75</v>
      </c>
      <c r="Q33" s="5">
        <f t="shared" si="8"/>
        <v>1.2499999999999998</v>
      </c>
      <c r="R33" s="4">
        <f>4*(('01_WHOQOL_Items'!K33 + '01_WHOQOL_Items'!L33 + '01_WHOQOL_Items'!O33 + '01_WHOQOL_Items'!P33 + '01_WHOQOL_Items'!Q33 + '01_WHOQOL_Items'!Z33 + '01_WHOQOL_Items'!AA33 + '01_WHOQOL_Items'!AB33)/8)</f>
        <v>9</v>
      </c>
      <c r="S33" s="4">
        <f>4*(('01_WHOQOL_Items'!AK33 + '01_WHOQOL_Items'!AL33 + '01_WHOQOL_Items'!AO33 + '01_WHOQOL_Items'!AP33 + '01_WHOQOL_Items'!AQ33 + '01_WHOQOL_Items'!AZ33 + '01_WHOQOL_Items'!BA33 + '01_WHOQOL_Items'!BB33)/8)</f>
        <v>8</v>
      </c>
      <c r="T33" s="4">
        <f t="shared" si="9"/>
        <v>31.25</v>
      </c>
      <c r="U33" s="4">
        <f t="shared" si="10"/>
        <v>25</v>
      </c>
      <c r="V33" s="5">
        <f t="shared" si="11"/>
        <v>-0.2</v>
      </c>
      <c r="W33" s="4">
        <f t="shared" si="12"/>
        <v>42.038690476190482</v>
      </c>
      <c r="X33" s="4">
        <f t="shared" si="13"/>
        <v>61.160714285714285</v>
      </c>
      <c r="Y33" s="5">
        <f t="shared" si="14"/>
        <v>0.45486725663716793</v>
      </c>
      <c r="Z33" s="1">
        <f>'01_WHOQOL_Items'!D33</f>
        <v>4</v>
      </c>
      <c r="AA33" s="1">
        <f>'01_WHOQOL_Items'!AD33</f>
        <v>4</v>
      </c>
      <c r="AB33" s="1">
        <f>'01_WHOQOL_Items'!E33</f>
        <v>4</v>
      </c>
      <c r="AC33" s="1">
        <f>'01_WHOQOL_Items'!AE33</f>
        <v>4</v>
      </c>
    </row>
    <row r="34" spans="1:29">
      <c r="A34" s="1" t="str">
        <f>'01_WHOQOL_Items'!A34</f>
        <v>EXP-033</v>
      </c>
      <c r="B34" s="1" t="str">
        <f>'01_WHOQOL_Items'!B34</f>
        <v>Experimental</v>
      </c>
      <c r="C34" s="4">
        <f>4*(((6-'01_WHOQOL_Items'!F34) + (6-'01_WHOQOL_Items'!G34) + '01_WHOQOL_Items'!M34 + '01_WHOQOL_Items'!R34 + '01_WHOQOL_Items'!S34 + '01_WHOQOL_Items'!T34 + '01_WHOQOL_Items'!U34)/7)</f>
        <v>15.428571428571429</v>
      </c>
      <c r="D34" s="4">
        <f>4*(((6-'01_WHOQOL_Items'!AF34) + (6-'01_WHOQOL_Items'!AG34) + '01_WHOQOL_Items'!AM34 + '01_WHOQOL_Items'!AR34 + '01_WHOQOL_Items'!AS34 + '01_WHOQOL_Items'!AT34 + '01_WHOQOL_Items'!AU34)/7)</f>
        <v>16.571428571428573</v>
      </c>
      <c r="E34" s="4">
        <f t="shared" si="0"/>
        <v>71.428571428571431</v>
      </c>
      <c r="F34" s="4">
        <f t="shared" si="1"/>
        <v>78.571428571428584</v>
      </c>
      <c r="G34" s="5">
        <f t="shared" si="2"/>
        <v>0.10000000000000014</v>
      </c>
      <c r="H34" s="4">
        <f>4*(('01_WHOQOL_Items'!H34 + '01_WHOQOL_Items'!I34 + '01_WHOQOL_Items'!J34 + '01_WHOQOL_Items'!N34 + '01_WHOQOL_Items'!V34 + (6-'01_WHOQOL_Items'!AC34))/6)</f>
        <v>13.333333333333334</v>
      </c>
      <c r="I34" s="4">
        <f>4*(('01_WHOQOL_Items'!AH34 + '01_WHOQOL_Items'!AI34 + '01_WHOQOL_Items'!AJ34 + '01_WHOQOL_Items'!AN34 + '01_WHOQOL_Items'!AV34 + (6-'01_WHOQOL_Items'!BC34))/6)</f>
        <v>14.666666666666666</v>
      </c>
      <c r="J34" s="4">
        <f t="shared" si="3"/>
        <v>58.333333333333336</v>
      </c>
      <c r="K34" s="4">
        <f t="shared" si="4"/>
        <v>66.666666666666657</v>
      </c>
      <c r="L34" s="5">
        <f t="shared" si="5"/>
        <v>0.14285714285714265</v>
      </c>
      <c r="M34" s="4">
        <f>4*(('01_WHOQOL_Items'!W34 + '01_WHOQOL_Items'!X34 + '01_WHOQOL_Items'!Y34)/3)</f>
        <v>9.3333333333333339</v>
      </c>
      <c r="N34" s="4">
        <f>4*(('01_WHOQOL_Items'!AW34 + '01_WHOQOL_Items'!AX34 + '01_WHOQOL_Items'!AY34)/3)</f>
        <v>14.666666666666666</v>
      </c>
      <c r="O34" s="4">
        <f t="shared" si="6"/>
        <v>33.333333333333336</v>
      </c>
      <c r="P34" s="4">
        <f t="shared" si="7"/>
        <v>66.666666666666657</v>
      </c>
      <c r="Q34" s="5">
        <f t="shared" si="8"/>
        <v>0.99999999999999956</v>
      </c>
      <c r="R34" s="4">
        <f>4*(('01_WHOQOL_Items'!K34 + '01_WHOQOL_Items'!L34 + '01_WHOQOL_Items'!O34 + '01_WHOQOL_Items'!P34 + '01_WHOQOL_Items'!Q34 + '01_WHOQOL_Items'!Z34 + '01_WHOQOL_Items'!AA34 + '01_WHOQOL_Items'!AB34)/8)</f>
        <v>12.5</v>
      </c>
      <c r="S34" s="4">
        <f>4*(('01_WHOQOL_Items'!AK34 + '01_WHOQOL_Items'!AL34 + '01_WHOQOL_Items'!AO34 + '01_WHOQOL_Items'!AP34 + '01_WHOQOL_Items'!AQ34 + '01_WHOQOL_Items'!AZ34 + '01_WHOQOL_Items'!BA34 + '01_WHOQOL_Items'!BB34)/8)</f>
        <v>16</v>
      </c>
      <c r="T34" s="4">
        <f t="shared" si="9"/>
        <v>53.125</v>
      </c>
      <c r="U34" s="4">
        <f t="shared" si="10"/>
        <v>75</v>
      </c>
      <c r="V34" s="5">
        <f t="shared" si="11"/>
        <v>0.41176470588235292</v>
      </c>
      <c r="W34" s="4">
        <f t="shared" si="12"/>
        <v>54.055059523809526</v>
      </c>
      <c r="X34" s="4">
        <f t="shared" si="13"/>
        <v>71.726190476190482</v>
      </c>
      <c r="Y34" s="5">
        <f t="shared" si="14"/>
        <v>0.32690984170681353</v>
      </c>
      <c r="Z34" s="1">
        <f>'01_WHOQOL_Items'!D34</f>
        <v>4</v>
      </c>
      <c r="AA34" s="1">
        <f>'01_WHOQOL_Items'!AD34</f>
        <v>4</v>
      </c>
      <c r="AB34" s="1">
        <f>'01_WHOQOL_Items'!E34</f>
        <v>3</v>
      </c>
      <c r="AC34" s="1">
        <f>'01_WHOQOL_Items'!AE34</f>
        <v>4</v>
      </c>
    </row>
    <row r="35" spans="1:29">
      <c r="A35" s="1" t="str">
        <f>'01_WHOQOL_Items'!A35</f>
        <v>EXP-034</v>
      </c>
      <c r="B35" s="1" t="str">
        <f>'01_WHOQOL_Items'!B35</f>
        <v>Experimental</v>
      </c>
      <c r="C35" s="4">
        <f>4*(((6-'01_WHOQOL_Items'!F35) + (6-'01_WHOQOL_Items'!G35) + '01_WHOQOL_Items'!M35 + '01_WHOQOL_Items'!R35 + '01_WHOQOL_Items'!S35 + '01_WHOQOL_Items'!T35 + '01_WHOQOL_Items'!U35)/7)</f>
        <v>12</v>
      </c>
      <c r="D35" s="4">
        <f>4*(((6-'01_WHOQOL_Items'!AF35) + (6-'01_WHOQOL_Items'!AG35) + '01_WHOQOL_Items'!AM35 + '01_WHOQOL_Items'!AR35 + '01_WHOQOL_Items'!AS35 + '01_WHOQOL_Items'!AT35 + '01_WHOQOL_Items'!AU35)/7)</f>
        <v>15.428571428571429</v>
      </c>
      <c r="E35" s="4">
        <f t="shared" si="0"/>
        <v>50</v>
      </c>
      <c r="F35" s="4">
        <f t="shared" si="1"/>
        <v>71.428571428571431</v>
      </c>
      <c r="G35" s="5">
        <f t="shared" si="2"/>
        <v>0.4285714285714286</v>
      </c>
      <c r="H35" s="4">
        <f>4*(('01_WHOQOL_Items'!H35 + '01_WHOQOL_Items'!I35 + '01_WHOQOL_Items'!J35 + '01_WHOQOL_Items'!N35 + '01_WHOQOL_Items'!V35 + (6-'01_WHOQOL_Items'!AC35))/6)</f>
        <v>8.6666666666666661</v>
      </c>
      <c r="I35" s="4">
        <f>4*(('01_WHOQOL_Items'!AH35 + '01_WHOQOL_Items'!AI35 + '01_WHOQOL_Items'!AJ35 + '01_WHOQOL_Items'!AN35 + '01_WHOQOL_Items'!AV35 + (6-'01_WHOQOL_Items'!BC35))/6)</f>
        <v>11.333333333333334</v>
      </c>
      <c r="J35" s="4">
        <f t="shared" si="3"/>
        <v>29.166666666666664</v>
      </c>
      <c r="K35" s="4">
        <f t="shared" si="4"/>
        <v>45.833333333333336</v>
      </c>
      <c r="L35" s="5">
        <f t="shared" si="5"/>
        <v>0.57142857142857162</v>
      </c>
      <c r="M35" s="4">
        <f>4*(('01_WHOQOL_Items'!W35 + '01_WHOQOL_Items'!X35 + '01_WHOQOL_Items'!Y35)/3)</f>
        <v>10.666666666666666</v>
      </c>
      <c r="N35" s="4">
        <f>4*(('01_WHOQOL_Items'!AW35 + '01_WHOQOL_Items'!AX35 + '01_WHOQOL_Items'!AY35)/3)</f>
        <v>12</v>
      </c>
      <c r="O35" s="4">
        <f t="shared" si="6"/>
        <v>41.666666666666664</v>
      </c>
      <c r="P35" s="4">
        <f t="shared" si="7"/>
        <v>50</v>
      </c>
      <c r="Q35" s="5">
        <f t="shared" si="8"/>
        <v>0.20000000000000007</v>
      </c>
      <c r="R35" s="4">
        <f>4*(('01_WHOQOL_Items'!K35 + '01_WHOQOL_Items'!L35 + '01_WHOQOL_Items'!O35 + '01_WHOQOL_Items'!P35 + '01_WHOQOL_Items'!Q35 + '01_WHOQOL_Items'!Z35 + '01_WHOQOL_Items'!AA35 + '01_WHOQOL_Items'!AB35)/8)</f>
        <v>11.5</v>
      </c>
      <c r="S35" s="4">
        <f>4*(('01_WHOQOL_Items'!AK35 + '01_WHOQOL_Items'!AL35 + '01_WHOQOL_Items'!AO35 + '01_WHOQOL_Items'!AP35 + '01_WHOQOL_Items'!AQ35 + '01_WHOQOL_Items'!AZ35 + '01_WHOQOL_Items'!BA35 + '01_WHOQOL_Items'!BB35)/8)</f>
        <v>13.5</v>
      </c>
      <c r="T35" s="4">
        <f t="shared" si="9"/>
        <v>46.875</v>
      </c>
      <c r="U35" s="4">
        <f t="shared" si="10"/>
        <v>59.375</v>
      </c>
      <c r="V35" s="5">
        <f t="shared" si="11"/>
        <v>0.26666666666666666</v>
      </c>
      <c r="W35" s="4">
        <f t="shared" si="12"/>
        <v>41.927083333333329</v>
      </c>
      <c r="X35" s="4">
        <f t="shared" si="13"/>
        <v>56.65922619047619</v>
      </c>
      <c r="Y35" s="5">
        <f t="shared" si="14"/>
        <v>0.3513753327417925</v>
      </c>
      <c r="Z35" s="1">
        <f>'01_WHOQOL_Items'!D35</f>
        <v>4</v>
      </c>
      <c r="AA35" s="1">
        <f>'01_WHOQOL_Items'!AD35</f>
        <v>3</v>
      </c>
      <c r="AB35" s="1">
        <f>'01_WHOQOL_Items'!E35</f>
        <v>3</v>
      </c>
      <c r="AC35" s="1">
        <f>'01_WHOQOL_Items'!AE35</f>
        <v>4</v>
      </c>
    </row>
    <row r="36" spans="1:29">
      <c r="A36" s="1" t="str">
        <f>'01_WHOQOL_Items'!A36</f>
        <v>EXP-035</v>
      </c>
      <c r="B36" s="1" t="str">
        <f>'01_WHOQOL_Items'!B36</f>
        <v>Experimental</v>
      </c>
      <c r="C36" s="4">
        <f>4*(((6-'01_WHOQOL_Items'!F36) + (6-'01_WHOQOL_Items'!G36) + '01_WHOQOL_Items'!M36 + '01_WHOQOL_Items'!R36 + '01_WHOQOL_Items'!S36 + '01_WHOQOL_Items'!T36 + '01_WHOQOL_Items'!U36)/7)</f>
        <v>14.285714285714286</v>
      </c>
      <c r="D36" s="4">
        <f>4*(((6-'01_WHOQOL_Items'!AF36) + (6-'01_WHOQOL_Items'!AG36) + '01_WHOQOL_Items'!AM36 + '01_WHOQOL_Items'!AR36 + '01_WHOQOL_Items'!AS36 + '01_WHOQOL_Items'!AT36 + '01_WHOQOL_Items'!AU36)/7)</f>
        <v>14.285714285714286</v>
      </c>
      <c r="E36" s="4">
        <f t="shared" si="0"/>
        <v>64.285714285714292</v>
      </c>
      <c r="F36" s="4">
        <f t="shared" si="1"/>
        <v>64.285714285714292</v>
      </c>
      <c r="G36" s="5">
        <f t="shared" si="2"/>
        <v>0</v>
      </c>
      <c r="H36" s="4">
        <f>4*(('01_WHOQOL_Items'!H36 + '01_WHOQOL_Items'!I36 + '01_WHOQOL_Items'!J36 + '01_WHOQOL_Items'!N36 + '01_WHOQOL_Items'!V36 + (6-'01_WHOQOL_Items'!AC36))/6)</f>
        <v>12.666666666666666</v>
      </c>
      <c r="I36" s="4">
        <f>4*(('01_WHOQOL_Items'!AH36 + '01_WHOQOL_Items'!AI36 + '01_WHOQOL_Items'!AJ36 + '01_WHOQOL_Items'!AN36 + '01_WHOQOL_Items'!AV36 + (6-'01_WHOQOL_Items'!BC36))/6)</f>
        <v>14.666666666666666</v>
      </c>
      <c r="J36" s="4">
        <f t="shared" si="3"/>
        <v>54.166666666666664</v>
      </c>
      <c r="K36" s="4">
        <f t="shared" si="4"/>
        <v>66.666666666666657</v>
      </c>
      <c r="L36" s="5">
        <f t="shared" si="5"/>
        <v>0.23076923076923064</v>
      </c>
      <c r="M36" s="4">
        <f>4*(('01_WHOQOL_Items'!W36 + '01_WHOQOL_Items'!X36 + '01_WHOQOL_Items'!Y36)/3)</f>
        <v>10.666666666666666</v>
      </c>
      <c r="N36" s="4">
        <f>4*(('01_WHOQOL_Items'!AW36 + '01_WHOQOL_Items'!AX36 + '01_WHOQOL_Items'!AY36)/3)</f>
        <v>14.666666666666666</v>
      </c>
      <c r="O36" s="4">
        <f t="shared" si="6"/>
        <v>41.666666666666664</v>
      </c>
      <c r="P36" s="4">
        <f t="shared" si="7"/>
        <v>66.666666666666657</v>
      </c>
      <c r="Q36" s="5">
        <f t="shared" si="8"/>
        <v>0.59999999999999987</v>
      </c>
      <c r="R36" s="4">
        <f>4*(('01_WHOQOL_Items'!K36 + '01_WHOQOL_Items'!L36 + '01_WHOQOL_Items'!O36 + '01_WHOQOL_Items'!P36 + '01_WHOQOL_Items'!Q36 + '01_WHOQOL_Items'!Z36 + '01_WHOQOL_Items'!AA36 + '01_WHOQOL_Items'!AB36)/8)</f>
        <v>12</v>
      </c>
      <c r="S36" s="4">
        <f>4*(('01_WHOQOL_Items'!AK36 + '01_WHOQOL_Items'!AL36 + '01_WHOQOL_Items'!AO36 + '01_WHOQOL_Items'!AP36 + '01_WHOQOL_Items'!AQ36 + '01_WHOQOL_Items'!AZ36 + '01_WHOQOL_Items'!BA36 + '01_WHOQOL_Items'!BB36)/8)</f>
        <v>11.5</v>
      </c>
      <c r="T36" s="4">
        <f t="shared" si="9"/>
        <v>50</v>
      </c>
      <c r="U36" s="4">
        <f t="shared" si="10"/>
        <v>46.875</v>
      </c>
      <c r="V36" s="5">
        <f t="shared" si="11"/>
        <v>-6.25E-2</v>
      </c>
      <c r="W36" s="4">
        <f t="shared" si="12"/>
        <v>52.529761904761905</v>
      </c>
      <c r="X36" s="4">
        <f t="shared" si="13"/>
        <v>61.123511904761905</v>
      </c>
      <c r="Y36" s="5">
        <f t="shared" si="14"/>
        <v>0.16359773371104816</v>
      </c>
      <c r="Z36" s="1">
        <f>'01_WHOQOL_Items'!D36</f>
        <v>3</v>
      </c>
      <c r="AA36" s="1">
        <f>'01_WHOQOL_Items'!AD36</f>
        <v>3</v>
      </c>
      <c r="AB36" s="1">
        <f>'01_WHOQOL_Items'!E36</f>
        <v>4</v>
      </c>
      <c r="AC36" s="1">
        <f>'01_WHOQOL_Items'!AE36</f>
        <v>3</v>
      </c>
    </row>
    <row r="37" spans="1:29">
      <c r="A37" s="1" t="str">
        <f>'01_WHOQOL_Items'!A37</f>
        <v>EXP-036</v>
      </c>
      <c r="B37" s="1" t="str">
        <f>'01_WHOQOL_Items'!B37</f>
        <v>Experimental</v>
      </c>
      <c r="C37" s="4">
        <f>4*(((6-'01_WHOQOL_Items'!F37) + (6-'01_WHOQOL_Items'!G37) + '01_WHOQOL_Items'!M37 + '01_WHOQOL_Items'!R37 + '01_WHOQOL_Items'!S37 + '01_WHOQOL_Items'!T37 + '01_WHOQOL_Items'!U37)/7)</f>
        <v>12.571428571428571</v>
      </c>
      <c r="D37" s="4">
        <f>4*(((6-'01_WHOQOL_Items'!AF37) + (6-'01_WHOQOL_Items'!AG37) + '01_WHOQOL_Items'!AM37 + '01_WHOQOL_Items'!AR37 + '01_WHOQOL_Items'!AS37 + '01_WHOQOL_Items'!AT37 + '01_WHOQOL_Items'!AU37)/7)</f>
        <v>16</v>
      </c>
      <c r="E37" s="4">
        <f t="shared" si="0"/>
        <v>53.571428571428569</v>
      </c>
      <c r="F37" s="4">
        <f t="shared" si="1"/>
        <v>75</v>
      </c>
      <c r="G37" s="5">
        <f t="shared" si="2"/>
        <v>0.40000000000000008</v>
      </c>
      <c r="H37" s="4">
        <f>4*(('01_WHOQOL_Items'!H37 + '01_WHOQOL_Items'!I37 + '01_WHOQOL_Items'!J37 + '01_WHOQOL_Items'!N37 + '01_WHOQOL_Items'!V37 + (6-'01_WHOQOL_Items'!AC37))/6)</f>
        <v>13.333333333333334</v>
      </c>
      <c r="I37" s="4">
        <f>4*(('01_WHOQOL_Items'!AH37 + '01_WHOQOL_Items'!AI37 + '01_WHOQOL_Items'!AJ37 + '01_WHOQOL_Items'!AN37 + '01_WHOQOL_Items'!AV37 + (6-'01_WHOQOL_Items'!BC37))/6)</f>
        <v>14.666666666666666</v>
      </c>
      <c r="J37" s="4">
        <f t="shared" si="3"/>
        <v>58.333333333333336</v>
      </c>
      <c r="K37" s="4">
        <f t="shared" si="4"/>
        <v>66.666666666666657</v>
      </c>
      <c r="L37" s="5">
        <f t="shared" si="5"/>
        <v>0.14285714285714265</v>
      </c>
      <c r="M37" s="4">
        <f>4*(('01_WHOQOL_Items'!W37 + '01_WHOQOL_Items'!X37 + '01_WHOQOL_Items'!Y37)/3)</f>
        <v>12</v>
      </c>
      <c r="N37" s="4">
        <f>4*(('01_WHOQOL_Items'!AW37 + '01_WHOQOL_Items'!AX37 + '01_WHOQOL_Items'!AY37)/3)</f>
        <v>16</v>
      </c>
      <c r="O37" s="4">
        <f t="shared" si="6"/>
        <v>50</v>
      </c>
      <c r="P37" s="4">
        <f t="shared" si="7"/>
        <v>75</v>
      </c>
      <c r="Q37" s="5">
        <f t="shared" si="8"/>
        <v>0.5</v>
      </c>
      <c r="R37" s="4">
        <f>4*(('01_WHOQOL_Items'!K37 + '01_WHOQOL_Items'!L37 + '01_WHOQOL_Items'!O37 + '01_WHOQOL_Items'!P37 + '01_WHOQOL_Items'!Q37 + '01_WHOQOL_Items'!Z37 + '01_WHOQOL_Items'!AA37 + '01_WHOQOL_Items'!AB37)/8)</f>
        <v>15.5</v>
      </c>
      <c r="S37" s="4">
        <f>4*(('01_WHOQOL_Items'!AK37 + '01_WHOQOL_Items'!AL37 + '01_WHOQOL_Items'!AO37 + '01_WHOQOL_Items'!AP37 + '01_WHOQOL_Items'!AQ37 + '01_WHOQOL_Items'!AZ37 + '01_WHOQOL_Items'!BA37 + '01_WHOQOL_Items'!BB37)/8)</f>
        <v>15</v>
      </c>
      <c r="T37" s="4">
        <f t="shared" si="9"/>
        <v>71.875</v>
      </c>
      <c r="U37" s="4">
        <f t="shared" si="10"/>
        <v>68.75</v>
      </c>
      <c r="V37" s="5">
        <f t="shared" si="11"/>
        <v>-4.3478260869565216E-2</v>
      </c>
      <c r="W37" s="4">
        <f t="shared" si="12"/>
        <v>58.444940476190474</v>
      </c>
      <c r="X37" s="4">
        <f t="shared" si="13"/>
        <v>71.354166666666657</v>
      </c>
      <c r="Y37" s="5">
        <f t="shared" si="14"/>
        <v>0.22087842138765104</v>
      </c>
      <c r="Z37" s="1">
        <f>'01_WHOQOL_Items'!D37</f>
        <v>4</v>
      </c>
      <c r="AA37" s="1">
        <f>'01_WHOQOL_Items'!AD37</f>
        <v>3</v>
      </c>
      <c r="AB37" s="1">
        <f>'01_WHOQOL_Items'!E37</f>
        <v>3</v>
      </c>
      <c r="AC37" s="1">
        <f>'01_WHOQOL_Items'!AE37</f>
        <v>4</v>
      </c>
    </row>
    <row r="38" spans="1:29">
      <c r="A38" s="1" t="str">
        <f>'01_WHOQOL_Items'!A38</f>
        <v>EXP-037</v>
      </c>
      <c r="B38" s="1" t="str">
        <f>'01_WHOQOL_Items'!B38</f>
        <v>Experimental</v>
      </c>
      <c r="C38" s="4">
        <f>4*(((6-'01_WHOQOL_Items'!F38) + (6-'01_WHOQOL_Items'!G38) + '01_WHOQOL_Items'!M38 + '01_WHOQOL_Items'!R38 + '01_WHOQOL_Items'!S38 + '01_WHOQOL_Items'!T38 + '01_WHOQOL_Items'!U38)/7)</f>
        <v>14.285714285714286</v>
      </c>
      <c r="D38" s="4">
        <f>4*(((6-'01_WHOQOL_Items'!AF38) + (6-'01_WHOQOL_Items'!AG38) + '01_WHOQOL_Items'!AM38 + '01_WHOQOL_Items'!AR38 + '01_WHOQOL_Items'!AS38 + '01_WHOQOL_Items'!AT38 + '01_WHOQOL_Items'!AU38)/7)</f>
        <v>12.571428571428571</v>
      </c>
      <c r="E38" s="4">
        <f t="shared" si="0"/>
        <v>64.285714285714292</v>
      </c>
      <c r="F38" s="4">
        <f t="shared" si="1"/>
        <v>53.571428571428569</v>
      </c>
      <c r="G38" s="5">
        <f t="shared" si="2"/>
        <v>-0.16666666666666677</v>
      </c>
      <c r="H38" s="4">
        <f>4*(('01_WHOQOL_Items'!H38 + '01_WHOQOL_Items'!I38 + '01_WHOQOL_Items'!J38 + '01_WHOQOL_Items'!N38 + '01_WHOQOL_Items'!V38 + (6-'01_WHOQOL_Items'!AC38))/6)</f>
        <v>9.3333333333333339</v>
      </c>
      <c r="I38" s="4">
        <f>4*(('01_WHOQOL_Items'!AH38 + '01_WHOQOL_Items'!AI38 + '01_WHOQOL_Items'!AJ38 + '01_WHOQOL_Items'!AN38 + '01_WHOQOL_Items'!AV38 + (6-'01_WHOQOL_Items'!BC38))/6)</f>
        <v>12</v>
      </c>
      <c r="J38" s="4">
        <f t="shared" si="3"/>
        <v>33.333333333333336</v>
      </c>
      <c r="K38" s="4">
        <f t="shared" si="4"/>
        <v>50</v>
      </c>
      <c r="L38" s="5">
        <f t="shared" si="5"/>
        <v>0.49999999999999989</v>
      </c>
      <c r="M38" s="4">
        <f>4*(('01_WHOQOL_Items'!W38 + '01_WHOQOL_Items'!X38 + '01_WHOQOL_Items'!Y38)/3)</f>
        <v>12</v>
      </c>
      <c r="N38" s="4">
        <f>4*(('01_WHOQOL_Items'!AW38 + '01_WHOQOL_Items'!AX38 + '01_WHOQOL_Items'!AY38)/3)</f>
        <v>16</v>
      </c>
      <c r="O38" s="4">
        <f t="shared" si="6"/>
        <v>50</v>
      </c>
      <c r="P38" s="4">
        <f t="shared" si="7"/>
        <v>75</v>
      </c>
      <c r="Q38" s="5">
        <f t="shared" si="8"/>
        <v>0.5</v>
      </c>
      <c r="R38" s="4">
        <f>4*(('01_WHOQOL_Items'!K38 + '01_WHOQOL_Items'!L38 + '01_WHOQOL_Items'!O38 + '01_WHOQOL_Items'!P38 + '01_WHOQOL_Items'!Q38 + '01_WHOQOL_Items'!Z38 + '01_WHOQOL_Items'!AA38 + '01_WHOQOL_Items'!AB38)/8)</f>
        <v>10.5</v>
      </c>
      <c r="S38" s="4">
        <f>4*(('01_WHOQOL_Items'!AK38 + '01_WHOQOL_Items'!AL38 + '01_WHOQOL_Items'!AO38 + '01_WHOQOL_Items'!AP38 + '01_WHOQOL_Items'!AQ38 + '01_WHOQOL_Items'!AZ38 + '01_WHOQOL_Items'!BA38 + '01_WHOQOL_Items'!BB38)/8)</f>
        <v>11.5</v>
      </c>
      <c r="T38" s="4">
        <f t="shared" si="9"/>
        <v>40.625</v>
      </c>
      <c r="U38" s="4">
        <f t="shared" si="10"/>
        <v>46.875</v>
      </c>
      <c r="V38" s="5">
        <f t="shared" si="11"/>
        <v>0.15384615384615385</v>
      </c>
      <c r="W38" s="4">
        <f t="shared" si="12"/>
        <v>47.061011904761905</v>
      </c>
      <c r="X38" s="4">
        <f t="shared" si="13"/>
        <v>56.361607142857139</v>
      </c>
      <c r="Y38" s="5">
        <f t="shared" si="14"/>
        <v>0.19762845849802363</v>
      </c>
      <c r="Z38" s="1">
        <f>'01_WHOQOL_Items'!D38</f>
        <v>2</v>
      </c>
      <c r="AA38" s="1">
        <f>'01_WHOQOL_Items'!AD38</f>
        <v>3</v>
      </c>
      <c r="AB38" s="1">
        <f>'01_WHOQOL_Items'!E38</f>
        <v>3</v>
      </c>
      <c r="AC38" s="1">
        <f>'01_WHOQOL_Items'!AE38</f>
        <v>4</v>
      </c>
    </row>
    <row r="39" spans="1:29">
      <c r="A39" s="1" t="str">
        <f>'01_WHOQOL_Items'!A39</f>
        <v>EXP-038</v>
      </c>
      <c r="B39" s="1" t="str">
        <f>'01_WHOQOL_Items'!B39</f>
        <v>Experimental</v>
      </c>
      <c r="C39" s="4">
        <f>4*(((6-'01_WHOQOL_Items'!F39) + (6-'01_WHOQOL_Items'!G39) + '01_WHOQOL_Items'!M39 + '01_WHOQOL_Items'!R39 + '01_WHOQOL_Items'!S39 + '01_WHOQOL_Items'!T39 + '01_WHOQOL_Items'!U39)/7)</f>
        <v>12</v>
      </c>
      <c r="D39" s="4">
        <f>4*(((6-'01_WHOQOL_Items'!AF39) + (6-'01_WHOQOL_Items'!AG39) + '01_WHOQOL_Items'!AM39 + '01_WHOQOL_Items'!AR39 + '01_WHOQOL_Items'!AS39 + '01_WHOQOL_Items'!AT39 + '01_WHOQOL_Items'!AU39)/7)</f>
        <v>14.285714285714286</v>
      </c>
      <c r="E39" s="4">
        <f t="shared" si="0"/>
        <v>50</v>
      </c>
      <c r="F39" s="4">
        <f t="shared" si="1"/>
        <v>64.285714285714292</v>
      </c>
      <c r="G39" s="5">
        <f t="shared" si="2"/>
        <v>0.28571428571428581</v>
      </c>
      <c r="H39" s="4">
        <f>4*(('01_WHOQOL_Items'!H39 + '01_WHOQOL_Items'!I39 + '01_WHOQOL_Items'!J39 + '01_WHOQOL_Items'!N39 + '01_WHOQOL_Items'!V39 + (6-'01_WHOQOL_Items'!AC39))/6)</f>
        <v>16</v>
      </c>
      <c r="I39" s="4">
        <f>4*(('01_WHOQOL_Items'!AH39 + '01_WHOQOL_Items'!AI39 + '01_WHOQOL_Items'!AJ39 + '01_WHOQOL_Items'!AN39 + '01_WHOQOL_Items'!AV39 + (6-'01_WHOQOL_Items'!BC39))/6)</f>
        <v>15.333333333333334</v>
      </c>
      <c r="J39" s="4">
        <f t="shared" si="3"/>
        <v>75</v>
      </c>
      <c r="K39" s="4">
        <f t="shared" si="4"/>
        <v>70.833333333333343</v>
      </c>
      <c r="L39" s="5">
        <f t="shared" si="5"/>
        <v>-5.5555555555555428E-2</v>
      </c>
      <c r="M39" s="4">
        <f>4*(('01_WHOQOL_Items'!W39 + '01_WHOQOL_Items'!X39 + '01_WHOQOL_Items'!Y39)/3)</f>
        <v>10.666666666666666</v>
      </c>
      <c r="N39" s="4">
        <f>4*(('01_WHOQOL_Items'!AW39 + '01_WHOQOL_Items'!AX39 + '01_WHOQOL_Items'!AY39)/3)</f>
        <v>14.666666666666666</v>
      </c>
      <c r="O39" s="4">
        <f t="shared" si="6"/>
        <v>41.666666666666664</v>
      </c>
      <c r="P39" s="4">
        <f t="shared" si="7"/>
        <v>66.666666666666657</v>
      </c>
      <c r="Q39" s="5">
        <f t="shared" si="8"/>
        <v>0.59999999999999987</v>
      </c>
      <c r="R39" s="4">
        <f>4*(('01_WHOQOL_Items'!K39 + '01_WHOQOL_Items'!L39 + '01_WHOQOL_Items'!O39 + '01_WHOQOL_Items'!P39 + '01_WHOQOL_Items'!Q39 + '01_WHOQOL_Items'!Z39 + '01_WHOQOL_Items'!AA39 + '01_WHOQOL_Items'!AB39)/8)</f>
        <v>13</v>
      </c>
      <c r="S39" s="4">
        <f>4*(('01_WHOQOL_Items'!AK39 + '01_WHOQOL_Items'!AL39 + '01_WHOQOL_Items'!AO39 + '01_WHOQOL_Items'!AP39 + '01_WHOQOL_Items'!AQ39 + '01_WHOQOL_Items'!AZ39 + '01_WHOQOL_Items'!BA39 + '01_WHOQOL_Items'!BB39)/8)</f>
        <v>13</v>
      </c>
      <c r="T39" s="4">
        <f t="shared" si="9"/>
        <v>56.25</v>
      </c>
      <c r="U39" s="4">
        <f t="shared" si="10"/>
        <v>56.25</v>
      </c>
      <c r="V39" s="5">
        <f t="shared" si="11"/>
        <v>0</v>
      </c>
      <c r="W39" s="4">
        <f t="shared" si="12"/>
        <v>55.729166666666664</v>
      </c>
      <c r="X39" s="4">
        <f t="shared" si="13"/>
        <v>64.508928571428584</v>
      </c>
      <c r="Y39" s="5">
        <f t="shared" si="14"/>
        <v>0.15754339118825128</v>
      </c>
      <c r="Z39" s="1">
        <f>'01_WHOQOL_Items'!D39</f>
        <v>4</v>
      </c>
      <c r="AA39" s="1">
        <f>'01_WHOQOL_Items'!AD39</f>
        <v>4</v>
      </c>
      <c r="AB39" s="1">
        <f>'01_WHOQOL_Items'!E39</f>
        <v>2</v>
      </c>
      <c r="AC39" s="1">
        <f>'01_WHOQOL_Items'!AE39</f>
        <v>4</v>
      </c>
    </row>
    <row r="40" spans="1:29">
      <c r="A40" s="1" t="str">
        <f>'01_WHOQOL_Items'!A40</f>
        <v>EXP-039</v>
      </c>
      <c r="B40" s="1" t="str">
        <f>'01_WHOQOL_Items'!B40</f>
        <v>Experimental</v>
      </c>
      <c r="C40" s="4">
        <f>4*(((6-'01_WHOQOL_Items'!F40) + (6-'01_WHOQOL_Items'!G40) + '01_WHOQOL_Items'!M40 + '01_WHOQOL_Items'!R40 + '01_WHOQOL_Items'!S40 + '01_WHOQOL_Items'!T40 + '01_WHOQOL_Items'!U40)/7)</f>
        <v>14.857142857142858</v>
      </c>
      <c r="D40" s="4">
        <f>4*(((6-'01_WHOQOL_Items'!AF40) + (6-'01_WHOQOL_Items'!AG40) + '01_WHOQOL_Items'!AM40 + '01_WHOQOL_Items'!AR40 + '01_WHOQOL_Items'!AS40 + '01_WHOQOL_Items'!AT40 + '01_WHOQOL_Items'!AU40)/7)</f>
        <v>16.571428571428573</v>
      </c>
      <c r="E40" s="4">
        <f t="shared" si="0"/>
        <v>67.857142857142861</v>
      </c>
      <c r="F40" s="4">
        <f t="shared" si="1"/>
        <v>78.571428571428584</v>
      </c>
      <c r="G40" s="5">
        <f t="shared" si="2"/>
        <v>0.15789473684210537</v>
      </c>
      <c r="H40" s="4">
        <f>4*(('01_WHOQOL_Items'!H40 + '01_WHOQOL_Items'!I40 + '01_WHOQOL_Items'!J40 + '01_WHOQOL_Items'!N40 + '01_WHOQOL_Items'!V40 + (6-'01_WHOQOL_Items'!AC40))/6)</f>
        <v>12.666666666666666</v>
      </c>
      <c r="I40" s="4">
        <f>4*(('01_WHOQOL_Items'!AH40 + '01_WHOQOL_Items'!AI40 + '01_WHOQOL_Items'!AJ40 + '01_WHOQOL_Items'!AN40 + '01_WHOQOL_Items'!AV40 + (6-'01_WHOQOL_Items'!BC40))/6)</f>
        <v>14.666666666666666</v>
      </c>
      <c r="J40" s="4">
        <f t="shared" si="3"/>
        <v>54.166666666666664</v>
      </c>
      <c r="K40" s="4">
        <f t="shared" si="4"/>
        <v>66.666666666666657</v>
      </c>
      <c r="L40" s="5">
        <f t="shared" si="5"/>
        <v>0.23076923076923064</v>
      </c>
      <c r="M40" s="4">
        <f>4*(('01_WHOQOL_Items'!W40 + '01_WHOQOL_Items'!X40 + '01_WHOQOL_Items'!Y40)/3)</f>
        <v>10.666666666666666</v>
      </c>
      <c r="N40" s="4">
        <f>4*(('01_WHOQOL_Items'!AW40 + '01_WHOQOL_Items'!AX40 + '01_WHOQOL_Items'!AY40)/3)</f>
        <v>16</v>
      </c>
      <c r="O40" s="4">
        <f t="shared" si="6"/>
        <v>41.666666666666664</v>
      </c>
      <c r="P40" s="4">
        <f t="shared" si="7"/>
        <v>75</v>
      </c>
      <c r="Q40" s="5">
        <f t="shared" si="8"/>
        <v>0.80000000000000016</v>
      </c>
      <c r="R40" s="4">
        <f>4*(('01_WHOQOL_Items'!K40 + '01_WHOQOL_Items'!L40 + '01_WHOQOL_Items'!O40 + '01_WHOQOL_Items'!P40 + '01_WHOQOL_Items'!Q40 + '01_WHOQOL_Items'!Z40 + '01_WHOQOL_Items'!AA40 + '01_WHOQOL_Items'!AB40)/8)</f>
        <v>13</v>
      </c>
      <c r="S40" s="4">
        <f>4*(('01_WHOQOL_Items'!AK40 + '01_WHOQOL_Items'!AL40 + '01_WHOQOL_Items'!AO40 + '01_WHOQOL_Items'!AP40 + '01_WHOQOL_Items'!AQ40 + '01_WHOQOL_Items'!AZ40 + '01_WHOQOL_Items'!BA40 + '01_WHOQOL_Items'!BB40)/8)</f>
        <v>15.5</v>
      </c>
      <c r="T40" s="4">
        <f t="shared" si="9"/>
        <v>56.25</v>
      </c>
      <c r="U40" s="4">
        <f t="shared" si="10"/>
        <v>71.875</v>
      </c>
      <c r="V40" s="5">
        <f t="shared" si="11"/>
        <v>0.27777777777777779</v>
      </c>
      <c r="W40" s="4">
        <f t="shared" si="12"/>
        <v>54.985119047619044</v>
      </c>
      <c r="X40" s="4">
        <f t="shared" si="13"/>
        <v>73.02827380952381</v>
      </c>
      <c r="Y40" s="5">
        <f t="shared" si="14"/>
        <v>0.32814614343707721</v>
      </c>
      <c r="Z40" s="1">
        <f>'01_WHOQOL_Items'!D40</f>
        <v>4</v>
      </c>
      <c r="AA40" s="1">
        <f>'01_WHOQOL_Items'!AD40</f>
        <v>3</v>
      </c>
      <c r="AB40" s="1">
        <f>'01_WHOQOL_Items'!E40</f>
        <v>4</v>
      </c>
      <c r="AC40" s="1">
        <f>'01_WHOQOL_Items'!AE40</f>
        <v>3</v>
      </c>
    </row>
    <row r="41" spans="1:29">
      <c r="A41" s="1" t="str">
        <f>'01_WHOQOL_Items'!A41</f>
        <v>EXP-040</v>
      </c>
      <c r="B41" s="1" t="str">
        <f>'01_WHOQOL_Items'!B41</f>
        <v>Experimental</v>
      </c>
      <c r="C41" s="4">
        <f>4*(((6-'01_WHOQOL_Items'!F41) + (6-'01_WHOQOL_Items'!G41) + '01_WHOQOL_Items'!M41 + '01_WHOQOL_Items'!R41 + '01_WHOQOL_Items'!S41 + '01_WHOQOL_Items'!T41 + '01_WHOQOL_Items'!U41)/7)</f>
        <v>11.428571428571429</v>
      </c>
      <c r="D41" s="4">
        <f>4*(((6-'01_WHOQOL_Items'!AF41) + (6-'01_WHOQOL_Items'!AG41) + '01_WHOQOL_Items'!AM41 + '01_WHOQOL_Items'!AR41 + '01_WHOQOL_Items'!AS41 + '01_WHOQOL_Items'!AT41 + '01_WHOQOL_Items'!AU41)/7)</f>
        <v>11.428571428571429</v>
      </c>
      <c r="E41" s="4">
        <f t="shared" si="0"/>
        <v>46.428571428571431</v>
      </c>
      <c r="F41" s="4">
        <f t="shared" si="1"/>
        <v>46.428571428571431</v>
      </c>
      <c r="G41" s="5">
        <f t="shared" si="2"/>
        <v>0</v>
      </c>
      <c r="H41" s="4">
        <f>4*(('01_WHOQOL_Items'!H41 + '01_WHOQOL_Items'!I41 + '01_WHOQOL_Items'!J41 + '01_WHOQOL_Items'!N41 + '01_WHOQOL_Items'!V41 + (6-'01_WHOQOL_Items'!AC41))/6)</f>
        <v>10</v>
      </c>
      <c r="I41" s="4">
        <f>4*(('01_WHOQOL_Items'!AH41 + '01_WHOQOL_Items'!AI41 + '01_WHOQOL_Items'!AJ41 + '01_WHOQOL_Items'!AN41 + '01_WHOQOL_Items'!AV41 + (6-'01_WHOQOL_Items'!BC41))/6)</f>
        <v>14</v>
      </c>
      <c r="J41" s="4">
        <f t="shared" si="3"/>
        <v>37.5</v>
      </c>
      <c r="K41" s="4">
        <f t="shared" si="4"/>
        <v>62.5</v>
      </c>
      <c r="L41" s="5">
        <f t="shared" si="5"/>
        <v>0.66666666666666663</v>
      </c>
      <c r="M41" s="4">
        <f>4*(('01_WHOQOL_Items'!W41 + '01_WHOQOL_Items'!X41 + '01_WHOQOL_Items'!Y41)/3)</f>
        <v>10.666666666666666</v>
      </c>
      <c r="N41" s="4">
        <f>4*(('01_WHOQOL_Items'!AW41 + '01_WHOQOL_Items'!AX41 + '01_WHOQOL_Items'!AY41)/3)</f>
        <v>13.333333333333334</v>
      </c>
      <c r="O41" s="4">
        <f t="shared" si="6"/>
        <v>41.666666666666664</v>
      </c>
      <c r="P41" s="4">
        <f t="shared" si="7"/>
        <v>58.333333333333336</v>
      </c>
      <c r="Q41" s="5">
        <f t="shared" si="8"/>
        <v>0.40000000000000013</v>
      </c>
      <c r="R41" s="4">
        <f>4*(('01_WHOQOL_Items'!K41 + '01_WHOQOL_Items'!L41 + '01_WHOQOL_Items'!O41 + '01_WHOQOL_Items'!P41 + '01_WHOQOL_Items'!Q41 + '01_WHOQOL_Items'!Z41 + '01_WHOQOL_Items'!AA41 + '01_WHOQOL_Items'!AB41)/8)</f>
        <v>14</v>
      </c>
      <c r="S41" s="4">
        <f>4*(('01_WHOQOL_Items'!AK41 + '01_WHOQOL_Items'!AL41 + '01_WHOQOL_Items'!AO41 + '01_WHOQOL_Items'!AP41 + '01_WHOQOL_Items'!AQ41 + '01_WHOQOL_Items'!AZ41 + '01_WHOQOL_Items'!BA41 + '01_WHOQOL_Items'!BB41)/8)</f>
        <v>13.5</v>
      </c>
      <c r="T41" s="4">
        <f t="shared" si="9"/>
        <v>62.5</v>
      </c>
      <c r="U41" s="4">
        <f t="shared" si="10"/>
        <v>59.375</v>
      </c>
      <c r="V41" s="5">
        <f t="shared" si="11"/>
        <v>-0.05</v>
      </c>
      <c r="W41" s="4">
        <f t="shared" si="12"/>
        <v>47.023809523809526</v>
      </c>
      <c r="X41" s="4">
        <f t="shared" si="13"/>
        <v>56.65922619047619</v>
      </c>
      <c r="Y41" s="5">
        <f t="shared" si="14"/>
        <v>0.20490506329113919</v>
      </c>
      <c r="Z41" s="1">
        <f>'01_WHOQOL_Items'!D41</f>
        <v>3</v>
      </c>
      <c r="AA41" s="1">
        <f>'01_WHOQOL_Items'!AD41</f>
        <v>3</v>
      </c>
      <c r="AB41" s="1">
        <f>'01_WHOQOL_Items'!E41</f>
        <v>3</v>
      </c>
      <c r="AC41" s="1">
        <f>'01_WHOQOL_Items'!AE41</f>
        <v>2</v>
      </c>
    </row>
    <row r="42" spans="1:29">
      <c r="A42" s="1" t="str">
        <f>'01_WHOQOL_Items'!A42</f>
        <v>EXP-041</v>
      </c>
      <c r="B42" s="1" t="str">
        <f>'01_WHOQOL_Items'!B42</f>
        <v>Experimental</v>
      </c>
      <c r="C42" s="4">
        <f>4*(((6-'01_WHOQOL_Items'!F42) + (6-'01_WHOQOL_Items'!G42) + '01_WHOQOL_Items'!M42 + '01_WHOQOL_Items'!R42 + '01_WHOQOL_Items'!S42 + '01_WHOQOL_Items'!T42 + '01_WHOQOL_Items'!U42)/7)</f>
        <v>14.857142857142858</v>
      </c>
      <c r="D42" s="4">
        <f>4*(((6-'01_WHOQOL_Items'!AF42) + (6-'01_WHOQOL_Items'!AG42) + '01_WHOQOL_Items'!AM42 + '01_WHOQOL_Items'!AR42 + '01_WHOQOL_Items'!AS42 + '01_WHOQOL_Items'!AT42 + '01_WHOQOL_Items'!AU42)/7)</f>
        <v>16.571428571428573</v>
      </c>
      <c r="E42" s="4">
        <f t="shared" si="0"/>
        <v>67.857142857142861</v>
      </c>
      <c r="F42" s="4">
        <f t="shared" si="1"/>
        <v>78.571428571428584</v>
      </c>
      <c r="G42" s="5">
        <f t="shared" si="2"/>
        <v>0.15789473684210537</v>
      </c>
      <c r="H42" s="4">
        <f>4*(('01_WHOQOL_Items'!H42 + '01_WHOQOL_Items'!I42 + '01_WHOQOL_Items'!J42 + '01_WHOQOL_Items'!N42 + '01_WHOQOL_Items'!V42 + (6-'01_WHOQOL_Items'!AC42))/6)</f>
        <v>10</v>
      </c>
      <c r="I42" s="4">
        <f>4*(('01_WHOQOL_Items'!AH42 + '01_WHOQOL_Items'!AI42 + '01_WHOQOL_Items'!AJ42 + '01_WHOQOL_Items'!AN42 + '01_WHOQOL_Items'!AV42 + (6-'01_WHOQOL_Items'!BC42))/6)</f>
        <v>13.333333333333334</v>
      </c>
      <c r="J42" s="4">
        <f t="shared" si="3"/>
        <v>37.5</v>
      </c>
      <c r="K42" s="4">
        <f t="shared" si="4"/>
        <v>58.333333333333336</v>
      </c>
      <c r="L42" s="5">
        <f t="shared" si="5"/>
        <v>0.55555555555555558</v>
      </c>
      <c r="M42" s="4">
        <f>4*(('01_WHOQOL_Items'!W42 + '01_WHOQOL_Items'!X42 + '01_WHOQOL_Items'!Y42)/3)</f>
        <v>12</v>
      </c>
      <c r="N42" s="4">
        <f>4*(('01_WHOQOL_Items'!AW42 + '01_WHOQOL_Items'!AX42 + '01_WHOQOL_Items'!AY42)/3)</f>
        <v>13.333333333333334</v>
      </c>
      <c r="O42" s="4">
        <f t="shared" si="6"/>
        <v>50</v>
      </c>
      <c r="P42" s="4">
        <f t="shared" si="7"/>
        <v>58.333333333333336</v>
      </c>
      <c r="Q42" s="5">
        <f t="shared" si="8"/>
        <v>0.16666666666666671</v>
      </c>
      <c r="R42" s="4">
        <f>4*(('01_WHOQOL_Items'!K42 + '01_WHOQOL_Items'!L42 + '01_WHOQOL_Items'!O42 + '01_WHOQOL_Items'!P42 + '01_WHOQOL_Items'!Q42 + '01_WHOQOL_Items'!Z42 + '01_WHOQOL_Items'!AA42 + '01_WHOQOL_Items'!AB42)/8)</f>
        <v>13</v>
      </c>
      <c r="S42" s="4">
        <f>4*(('01_WHOQOL_Items'!AK42 + '01_WHOQOL_Items'!AL42 + '01_WHOQOL_Items'!AO42 + '01_WHOQOL_Items'!AP42 + '01_WHOQOL_Items'!AQ42 + '01_WHOQOL_Items'!AZ42 + '01_WHOQOL_Items'!BA42 + '01_WHOQOL_Items'!BB42)/8)</f>
        <v>12.5</v>
      </c>
      <c r="T42" s="4">
        <f t="shared" si="9"/>
        <v>56.25</v>
      </c>
      <c r="U42" s="4">
        <f t="shared" si="10"/>
        <v>53.125</v>
      </c>
      <c r="V42" s="5">
        <f t="shared" si="11"/>
        <v>-5.5555555555555552E-2</v>
      </c>
      <c r="W42" s="4">
        <f t="shared" si="12"/>
        <v>52.901785714285715</v>
      </c>
      <c r="X42" s="4">
        <f t="shared" si="13"/>
        <v>62.090773809523817</v>
      </c>
      <c r="Y42" s="5">
        <f t="shared" si="14"/>
        <v>0.17369901547116751</v>
      </c>
      <c r="Z42" s="1">
        <f>'01_WHOQOL_Items'!D42</f>
        <v>3</v>
      </c>
      <c r="AA42" s="1">
        <f>'01_WHOQOL_Items'!AD42</f>
        <v>3</v>
      </c>
      <c r="AB42" s="1">
        <f>'01_WHOQOL_Items'!E42</f>
        <v>4</v>
      </c>
      <c r="AC42" s="1">
        <f>'01_WHOQOL_Items'!AE42</f>
        <v>4</v>
      </c>
    </row>
    <row r="43" spans="1:29">
      <c r="A43" s="1" t="str">
        <f>'01_WHOQOL_Items'!A43</f>
        <v>EXP-042</v>
      </c>
      <c r="B43" s="1" t="str">
        <f>'01_WHOQOL_Items'!B43</f>
        <v>Experimental</v>
      </c>
      <c r="C43" s="4">
        <f>4*(((6-'01_WHOQOL_Items'!F43) + (6-'01_WHOQOL_Items'!G43) + '01_WHOQOL_Items'!M43 + '01_WHOQOL_Items'!R43 + '01_WHOQOL_Items'!S43 + '01_WHOQOL_Items'!T43 + '01_WHOQOL_Items'!U43)/7)</f>
        <v>13.142857142857142</v>
      </c>
      <c r="D43" s="4">
        <f>4*(((6-'01_WHOQOL_Items'!AF43) + (6-'01_WHOQOL_Items'!AG43) + '01_WHOQOL_Items'!AM43 + '01_WHOQOL_Items'!AR43 + '01_WHOQOL_Items'!AS43 + '01_WHOQOL_Items'!AT43 + '01_WHOQOL_Items'!AU43)/7)</f>
        <v>14.285714285714286</v>
      </c>
      <c r="E43" s="4">
        <f t="shared" si="0"/>
        <v>57.142857142857139</v>
      </c>
      <c r="F43" s="4">
        <f t="shared" si="1"/>
        <v>64.285714285714292</v>
      </c>
      <c r="G43" s="5">
        <f t="shared" si="2"/>
        <v>0.12500000000000019</v>
      </c>
      <c r="H43" s="4">
        <f>4*(('01_WHOQOL_Items'!H43 + '01_WHOQOL_Items'!I43 + '01_WHOQOL_Items'!J43 + '01_WHOQOL_Items'!N43 + '01_WHOQOL_Items'!V43 + (6-'01_WHOQOL_Items'!AC43))/6)</f>
        <v>10.666666666666666</v>
      </c>
      <c r="I43" s="4">
        <f>4*(('01_WHOQOL_Items'!AH43 + '01_WHOQOL_Items'!AI43 + '01_WHOQOL_Items'!AJ43 + '01_WHOQOL_Items'!AN43 + '01_WHOQOL_Items'!AV43 + (6-'01_WHOQOL_Items'!BC43))/6)</f>
        <v>11.333333333333334</v>
      </c>
      <c r="J43" s="4">
        <f t="shared" si="3"/>
        <v>41.666666666666664</v>
      </c>
      <c r="K43" s="4">
        <f t="shared" si="4"/>
        <v>45.833333333333336</v>
      </c>
      <c r="L43" s="5">
        <f t="shared" si="5"/>
        <v>0.10000000000000012</v>
      </c>
      <c r="M43" s="4">
        <f>4*(('01_WHOQOL_Items'!W43 + '01_WHOQOL_Items'!X43 + '01_WHOQOL_Items'!Y43)/3)</f>
        <v>10.666666666666666</v>
      </c>
      <c r="N43" s="4">
        <f>4*(('01_WHOQOL_Items'!AW43 + '01_WHOQOL_Items'!AX43 + '01_WHOQOL_Items'!AY43)/3)</f>
        <v>9.3333333333333339</v>
      </c>
      <c r="O43" s="4">
        <f t="shared" si="6"/>
        <v>41.666666666666664</v>
      </c>
      <c r="P43" s="4">
        <f t="shared" si="7"/>
        <v>33.333333333333336</v>
      </c>
      <c r="Q43" s="5">
        <f t="shared" si="8"/>
        <v>-0.1999999999999999</v>
      </c>
      <c r="R43" s="4">
        <f>4*(('01_WHOQOL_Items'!K43 + '01_WHOQOL_Items'!L43 + '01_WHOQOL_Items'!O43 + '01_WHOQOL_Items'!P43 + '01_WHOQOL_Items'!Q43 + '01_WHOQOL_Items'!Z43 + '01_WHOQOL_Items'!AA43 + '01_WHOQOL_Items'!AB43)/8)</f>
        <v>13.5</v>
      </c>
      <c r="S43" s="4">
        <f>4*(('01_WHOQOL_Items'!AK43 + '01_WHOQOL_Items'!AL43 + '01_WHOQOL_Items'!AO43 + '01_WHOQOL_Items'!AP43 + '01_WHOQOL_Items'!AQ43 + '01_WHOQOL_Items'!AZ43 + '01_WHOQOL_Items'!BA43 + '01_WHOQOL_Items'!BB43)/8)</f>
        <v>18.5</v>
      </c>
      <c r="T43" s="4">
        <f t="shared" si="9"/>
        <v>59.375</v>
      </c>
      <c r="U43" s="4">
        <f t="shared" si="10"/>
        <v>90.625</v>
      </c>
      <c r="V43" s="5">
        <f t="shared" si="11"/>
        <v>0.52631578947368418</v>
      </c>
      <c r="W43" s="4">
        <f t="shared" si="12"/>
        <v>49.962797619047613</v>
      </c>
      <c r="X43" s="4">
        <f t="shared" si="13"/>
        <v>58.519345238095241</v>
      </c>
      <c r="Y43" s="5">
        <f t="shared" si="14"/>
        <v>0.17125837676842909</v>
      </c>
      <c r="Z43" s="1">
        <f>'01_WHOQOL_Items'!D43</f>
        <v>2</v>
      </c>
      <c r="AA43" s="1">
        <f>'01_WHOQOL_Items'!AD43</f>
        <v>4</v>
      </c>
      <c r="AB43" s="1">
        <f>'01_WHOQOL_Items'!E43</f>
        <v>3</v>
      </c>
      <c r="AC43" s="1">
        <f>'01_WHOQOL_Items'!AE43</f>
        <v>3</v>
      </c>
    </row>
    <row r="44" spans="1:29">
      <c r="A44" s="1" t="str">
        <f>'01_WHOQOL_Items'!A44</f>
        <v>EXP-043</v>
      </c>
      <c r="B44" s="1" t="str">
        <f>'01_WHOQOL_Items'!B44</f>
        <v>Experimental</v>
      </c>
      <c r="C44" s="4">
        <f>4*(((6-'01_WHOQOL_Items'!F44) + (6-'01_WHOQOL_Items'!G44) + '01_WHOQOL_Items'!M44 + '01_WHOQOL_Items'!R44 + '01_WHOQOL_Items'!S44 + '01_WHOQOL_Items'!T44 + '01_WHOQOL_Items'!U44)/7)</f>
        <v>14.857142857142858</v>
      </c>
      <c r="D44" s="4">
        <f>4*(((6-'01_WHOQOL_Items'!AF44) + (6-'01_WHOQOL_Items'!AG44) + '01_WHOQOL_Items'!AM44 + '01_WHOQOL_Items'!AR44 + '01_WHOQOL_Items'!AS44 + '01_WHOQOL_Items'!AT44 + '01_WHOQOL_Items'!AU44)/7)</f>
        <v>14.857142857142858</v>
      </c>
      <c r="E44" s="4">
        <f t="shared" si="0"/>
        <v>67.857142857142861</v>
      </c>
      <c r="F44" s="4">
        <f t="shared" si="1"/>
        <v>67.857142857142861</v>
      </c>
      <c r="G44" s="5">
        <f t="shared" si="2"/>
        <v>0</v>
      </c>
      <c r="H44" s="4">
        <f>4*(('01_WHOQOL_Items'!H44 + '01_WHOQOL_Items'!I44 + '01_WHOQOL_Items'!J44 + '01_WHOQOL_Items'!N44 + '01_WHOQOL_Items'!V44 + (6-'01_WHOQOL_Items'!AC44))/6)</f>
        <v>11.333333333333334</v>
      </c>
      <c r="I44" s="4">
        <f>4*(('01_WHOQOL_Items'!AH44 + '01_WHOQOL_Items'!AI44 + '01_WHOQOL_Items'!AJ44 + '01_WHOQOL_Items'!AN44 + '01_WHOQOL_Items'!AV44 + (6-'01_WHOQOL_Items'!BC44))/6)</f>
        <v>13.333333333333334</v>
      </c>
      <c r="J44" s="4">
        <f t="shared" si="3"/>
        <v>45.833333333333336</v>
      </c>
      <c r="K44" s="4">
        <f t="shared" si="4"/>
        <v>58.333333333333336</v>
      </c>
      <c r="L44" s="5">
        <f t="shared" si="5"/>
        <v>0.27272727272727271</v>
      </c>
      <c r="M44" s="4">
        <f>4*(('01_WHOQOL_Items'!W44 + '01_WHOQOL_Items'!X44 + '01_WHOQOL_Items'!Y44)/3)</f>
        <v>9.3333333333333339</v>
      </c>
      <c r="N44" s="4">
        <f>4*(('01_WHOQOL_Items'!AW44 + '01_WHOQOL_Items'!AX44 + '01_WHOQOL_Items'!AY44)/3)</f>
        <v>10.666666666666666</v>
      </c>
      <c r="O44" s="4">
        <f t="shared" si="6"/>
        <v>33.333333333333336</v>
      </c>
      <c r="P44" s="4">
        <f t="shared" si="7"/>
        <v>41.666666666666664</v>
      </c>
      <c r="Q44" s="5">
        <f t="shared" si="8"/>
        <v>0.24999999999999983</v>
      </c>
      <c r="R44" s="4">
        <f>4*(('01_WHOQOL_Items'!K44 + '01_WHOQOL_Items'!L44 + '01_WHOQOL_Items'!O44 + '01_WHOQOL_Items'!P44 + '01_WHOQOL_Items'!Q44 + '01_WHOQOL_Items'!Z44 + '01_WHOQOL_Items'!AA44 + '01_WHOQOL_Items'!AB44)/8)</f>
        <v>10</v>
      </c>
      <c r="S44" s="4">
        <f>4*(('01_WHOQOL_Items'!AK44 + '01_WHOQOL_Items'!AL44 + '01_WHOQOL_Items'!AO44 + '01_WHOQOL_Items'!AP44 + '01_WHOQOL_Items'!AQ44 + '01_WHOQOL_Items'!AZ44 + '01_WHOQOL_Items'!BA44 + '01_WHOQOL_Items'!BB44)/8)</f>
        <v>9</v>
      </c>
      <c r="T44" s="4">
        <f t="shared" si="9"/>
        <v>37.5</v>
      </c>
      <c r="U44" s="4">
        <f t="shared" si="10"/>
        <v>31.25</v>
      </c>
      <c r="V44" s="5">
        <f t="shared" si="11"/>
        <v>-0.16666666666666666</v>
      </c>
      <c r="W44" s="4">
        <f t="shared" si="12"/>
        <v>46.130952380952387</v>
      </c>
      <c r="X44" s="4">
        <f t="shared" si="13"/>
        <v>49.776785714285715</v>
      </c>
      <c r="Y44" s="5">
        <f t="shared" si="14"/>
        <v>7.9032258064516012E-2</v>
      </c>
      <c r="Z44" s="1">
        <f>'01_WHOQOL_Items'!D44</f>
        <v>3</v>
      </c>
      <c r="AA44" s="1">
        <f>'01_WHOQOL_Items'!AD44</f>
        <v>4</v>
      </c>
      <c r="AB44" s="1">
        <f>'01_WHOQOL_Items'!E44</f>
        <v>4</v>
      </c>
      <c r="AC44" s="1">
        <f>'01_WHOQOL_Items'!AE44</f>
        <v>4</v>
      </c>
    </row>
    <row r="45" spans="1:29">
      <c r="A45" s="1" t="str">
        <f>'01_WHOQOL_Items'!A45</f>
        <v>EXP-044</v>
      </c>
      <c r="B45" s="1" t="str">
        <f>'01_WHOQOL_Items'!B45</f>
        <v>Experimental</v>
      </c>
      <c r="C45" s="4">
        <f>4*(((6-'01_WHOQOL_Items'!F45) + (6-'01_WHOQOL_Items'!G45) + '01_WHOQOL_Items'!M45 + '01_WHOQOL_Items'!R45 + '01_WHOQOL_Items'!S45 + '01_WHOQOL_Items'!T45 + '01_WHOQOL_Items'!U45)/7)</f>
        <v>9.7142857142857135</v>
      </c>
      <c r="D45" s="4">
        <f>4*(((6-'01_WHOQOL_Items'!AF45) + (6-'01_WHOQOL_Items'!AG45) + '01_WHOQOL_Items'!AM45 + '01_WHOQOL_Items'!AR45 + '01_WHOQOL_Items'!AS45 + '01_WHOQOL_Items'!AT45 + '01_WHOQOL_Items'!AU45)/7)</f>
        <v>9.1428571428571423</v>
      </c>
      <c r="E45" s="4">
        <f t="shared" si="0"/>
        <v>35.714285714285708</v>
      </c>
      <c r="F45" s="4">
        <f t="shared" si="1"/>
        <v>32.142857142857139</v>
      </c>
      <c r="G45" s="5">
        <f t="shared" si="2"/>
        <v>-9.9999999999999964E-2</v>
      </c>
      <c r="H45" s="4">
        <f>4*(('01_WHOQOL_Items'!H45 + '01_WHOQOL_Items'!I45 + '01_WHOQOL_Items'!J45 + '01_WHOQOL_Items'!N45 + '01_WHOQOL_Items'!V45 + (6-'01_WHOQOL_Items'!AC45))/6)</f>
        <v>15.333333333333334</v>
      </c>
      <c r="I45" s="4">
        <f>4*(('01_WHOQOL_Items'!AH45 + '01_WHOQOL_Items'!AI45 + '01_WHOQOL_Items'!AJ45 + '01_WHOQOL_Items'!AN45 + '01_WHOQOL_Items'!AV45 + (6-'01_WHOQOL_Items'!BC45))/6)</f>
        <v>14</v>
      </c>
      <c r="J45" s="4">
        <f t="shared" si="3"/>
        <v>70.833333333333343</v>
      </c>
      <c r="K45" s="4">
        <f t="shared" si="4"/>
        <v>62.5</v>
      </c>
      <c r="L45" s="5">
        <f t="shared" si="5"/>
        <v>-0.11764705882352954</v>
      </c>
      <c r="M45" s="4">
        <f>4*(('01_WHOQOL_Items'!W45 + '01_WHOQOL_Items'!X45 + '01_WHOQOL_Items'!Y45)/3)</f>
        <v>12</v>
      </c>
      <c r="N45" s="4">
        <f>4*(('01_WHOQOL_Items'!AW45 + '01_WHOQOL_Items'!AX45 + '01_WHOQOL_Items'!AY45)/3)</f>
        <v>14.666666666666666</v>
      </c>
      <c r="O45" s="4">
        <f t="shared" si="6"/>
        <v>50</v>
      </c>
      <c r="P45" s="4">
        <f t="shared" si="7"/>
        <v>66.666666666666657</v>
      </c>
      <c r="Q45" s="5">
        <f t="shared" si="8"/>
        <v>0.33333333333333315</v>
      </c>
      <c r="R45" s="4">
        <f>4*(('01_WHOQOL_Items'!K45 + '01_WHOQOL_Items'!L45 + '01_WHOQOL_Items'!O45 + '01_WHOQOL_Items'!P45 + '01_WHOQOL_Items'!Q45 + '01_WHOQOL_Items'!Z45 + '01_WHOQOL_Items'!AA45 + '01_WHOQOL_Items'!AB45)/8)</f>
        <v>13.5</v>
      </c>
      <c r="S45" s="4">
        <f>4*(('01_WHOQOL_Items'!AK45 + '01_WHOQOL_Items'!AL45 + '01_WHOQOL_Items'!AO45 + '01_WHOQOL_Items'!AP45 + '01_WHOQOL_Items'!AQ45 + '01_WHOQOL_Items'!AZ45 + '01_WHOQOL_Items'!BA45 + '01_WHOQOL_Items'!BB45)/8)</f>
        <v>14</v>
      </c>
      <c r="T45" s="4">
        <f t="shared" si="9"/>
        <v>59.375</v>
      </c>
      <c r="U45" s="4">
        <f t="shared" si="10"/>
        <v>62.5</v>
      </c>
      <c r="V45" s="5">
        <f t="shared" si="11"/>
        <v>5.2631578947368418E-2</v>
      </c>
      <c r="W45" s="4">
        <f t="shared" si="12"/>
        <v>53.980654761904759</v>
      </c>
      <c r="X45" s="4">
        <f t="shared" si="13"/>
        <v>55.952380952380949</v>
      </c>
      <c r="Y45" s="5">
        <f t="shared" si="14"/>
        <v>3.6526533425223974E-2</v>
      </c>
      <c r="Z45" s="1">
        <f>'01_WHOQOL_Items'!D45</f>
        <v>3</v>
      </c>
      <c r="AA45" s="1">
        <f>'01_WHOQOL_Items'!AD45</f>
        <v>3</v>
      </c>
      <c r="AB45" s="1">
        <f>'01_WHOQOL_Items'!E45</f>
        <v>2</v>
      </c>
      <c r="AC45" s="1">
        <f>'01_WHOQOL_Items'!AE45</f>
        <v>2</v>
      </c>
    </row>
    <row r="46" spans="1:29">
      <c r="A46" s="1" t="str">
        <f>'01_WHOQOL_Items'!A46</f>
        <v>EXP-045</v>
      </c>
      <c r="B46" s="1" t="str">
        <f>'01_WHOQOL_Items'!B46</f>
        <v>Experimental</v>
      </c>
      <c r="C46" s="4">
        <f>4*(((6-'01_WHOQOL_Items'!F46) + (6-'01_WHOQOL_Items'!G46) + '01_WHOQOL_Items'!M46 + '01_WHOQOL_Items'!R46 + '01_WHOQOL_Items'!S46 + '01_WHOQOL_Items'!T46 + '01_WHOQOL_Items'!U46)/7)</f>
        <v>9.7142857142857135</v>
      </c>
      <c r="D46" s="4">
        <f>4*(((6-'01_WHOQOL_Items'!AF46) + (6-'01_WHOQOL_Items'!AG46) + '01_WHOQOL_Items'!AM46 + '01_WHOQOL_Items'!AR46 + '01_WHOQOL_Items'!AS46 + '01_WHOQOL_Items'!AT46 + '01_WHOQOL_Items'!AU46)/7)</f>
        <v>13.142857142857142</v>
      </c>
      <c r="E46" s="4">
        <f t="shared" si="0"/>
        <v>35.714285714285708</v>
      </c>
      <c r="F46" s="4">
        <f t="shared" si="1"/>
        <v>57.142857142857139</v>
      </c>
      <c r="G46" s="5">
        <f t="shared" si="2"/>
        <v>0.6000000000000002</v>
      </c>
      <c r="H46" s="4">
        <f>4*(('01_WHOQOL_Items'!H46 + '01_WHOQOL_Items'!I46 + '01_WHOQOL_Items'!J46 + '01_WHOQOL_Items'!N46 + '01_WHOQOL_Items'!V46 + (6-'01_WHOQOL_Items'!AC46))/6)</f>
        <v>14.666666666666666</v>
      </c>
      <c r="I46" s="4">
        <f>4*(('01_WHOQOL_Items'!AH46 + '01_WHOQOL_Items'!AI46 + '01_WHOQOL_Items'!AJ46 + '01_WHOQOL_Items'!AN46 + '01_WHOQOL_Items'!AV46 + (6-'01_WHOQOL_Items'!BC46))/6)</f>
        <v>14.666666666666666</v>
      </c>
      <c r="J46" s="4">
        <f t="shared" si="3"/>
        <v>66.666666666666657</v>
      </c>
      <c r="K46" s="4">
        <f t="shared" si="4"/>
        <v>66.666666666666657</v>
      </c>
      <c r="L46" s="5">
        <f t="shared" si="5"/>
        <v>0</v>
      </c>
      <c r="M46" s="4">
        <f>4*(('01_WHOQOL_Items'!W46 + '01_WHOQOL_Items'!X46 + '01_WHOQOL_Items'!Y46)/3)</f>
        <v>10.666666666666666</v>
      </c>
      <c r="N46" s="4">
        <f>4*(('01_WHOQOL_Items'!AW46 + '01_WHOQOL_Items'!AX46 + '01_WHOQOL_Items'!AY46)/3)</f>
        <v>9.3333333333333339</v>
      </c>
      <c r="O46" s="4">
        <f t="shared" si="6"/>
        <v>41.666666666666664</v>
      </c>
      <c r="P46" s="4">
        <f t="shared" si="7"/>
        <v>33.333333333333336</v>
      </c>
      <c r="Q46" s="5">
        <f t="shared" si="8"/>
        <v>-0.1999999999999999</v>
      </c>
      <c r="R46" s="4">
        <f>4*(('01_WHOQOL_Items'!K46 + '01_WHOQOL_Items'!L46 + '01_WHOQOL_Items'!O46 + '01_WHOQOL_Items'!P46 + '01_WHOQOL_Items'!Q46 + '01_WHOQOL_Items'!Z46 + '01_WHOQOL_Items'!AA46 + '01_WHOQOL_Items'!AB46)/8)</f>
        <v>18</v>
      </c>
      <c r="S46" s="4">
        <f>4*(('01_WHOQOL_Items'!AK46 + '01_WHOQOL_Items'!AL46 + '01_WHOQOL_Items'!AO46 + '01_WHOQOL_Items'!AP46 + '01_WHOQOL_Items'!AQ46 + '01_WHOQOL_Items'!AZ46 + '01_WHOQOL_Items'!BA46 + '01_WHOQOL_Items'!BB46)/8)</f>
        <v>19.5</v>
      </c>
      <c r="T46" s="4">
        <f t="shared" si="9"/>
        <v>87.5</v>
      </c>
      <c r="U46" s="4">
        <f t="shared" si="10"/>
        <v>96.875</v>
      </c>
      <c r="V46" s="5">
        <f t="shared" si="11"/>
        <v>0.10714285714285714</v>
      </c>
      <c r="W46" s="4">
        <f t="shared" si="12"/>
        <v>57.886904761904759</v>
      </c>
      <c r="X46" s="4">
        <f t="shared" si="13"/>
        <v>63.504464285714285</v>
      </c>
      <c r="Y46" s="5">
        <f t="shared" si="14"/>
        <v>9.704370179948589E-2</v>
      </c>
      <c r="Z46" s="1">
        <f>'01_WHOQOL_Items'!D46</f>
        <v>2</v>
      </c>
      <c r="AA46" s="1">
        <f>'01_WHOQOL_Items'!AD46</f>
        <v>4</v>
      </c>
      <c r="AB46" s="1">
        <f>'01_WHOQOL_Items'!E46</f>
        <v>3</v>
      </c>
      <c r="AC46" s="1">
        <f>'01_WHOQOL_Items'!AE46</f>
        <v>3</v>
      </c>
    </row>
    <row r="47" spans="1:29">
      <c r="A47" s="1" t="str">
        <f>'01_WHOQOL_Items'!A47</f>
        <v>EXP-046</v>
      </c>
      <c r="B47" s="1" t="str">
        <f>'01_WHOQOL_Items'!B47</f>
        <v>Experimental</v>
      </c>
      <c r="C47" s="4">
        <f>4*(((6-'01_WHOQOL_Items'!F47) + (6-'01_WHOQOL_Items'!G47) + '01_WHOQOL_Items'!M47 + '01_WHOQOL_Items'!R47 + '01_WHOQOL_Items'!S47 + '01_WHOQOL_Items'!T47 + '01_WHOQOL_Items'!U47)/7)</f>
        <v>11.428571428571429</v>
      </c>
      <c r="D47" s="4">
        <f>4*(((6-'01_WHOQOL_Items'!AF47) + (6-'01_WHOQOL_Items'!AG47) + '01_WHOQOL_Items'!AM47 + '01_WHOQOL_Items'!AR47 + '01_WHOQOL_Items'!AS47 + '01_WHOQOL_Items'!AT47 + '01_WHOQOL_Items'!AU47)/7)</f>
        <v>13.142857142857142</v>
      </c>
      <c r="E47" s="4">
        <f t="shared" si="0"/>
        <v>46.428571428571431</v>
      </c>
      <c r="F47" s="4">
        <f t="shared" si="1"/>
        <v>57.142857142857139</v>
      </c>
      <c r="G47" s="5">
        <f t="shared" si="2"/>
        <v>0.23076923076923062</v>
      </c>
      <c r="H47" s="4">
        <f>4*(('01_WHOQOL_Items'!H47 + '01_WHOQOL_Items'!I47 + '01_WHOQOL_Items'!J47 + '01_WHOQOL_Items'!N47 + '01_WHOQOL_Items'!V47 + (6-'01_WHOQOL_Items'!AC47))/6)</f>
        <v>15.333333333333334</v>
      </c>
      <c r="I47" s="4">
        <f>4*(('01_WHOQOL_Items'!AH47 + '01_WHOQOL_Items'!AI47 + '01_WHOQOL_Items'!AJ47 + '01_WHOQOL_Items'!AN47 + '01_WHOQOL_Items'!AV47 + (6-'01_WHOQOL_Items'!BC47))/6)</f>
        <v>16.666666666666668</v>
      </c>
      <c r="J47" s="4">
        <f t="shared" si="3"/>
        <v>70.833333333333343</v>
      </c>
      <c r="K47" s="4">
        <f t="shared" si="4"/>
        <v>79.166666666666671</v>
      </c>
      <c r="L47" s="5">
        <f t="shared" si="5"/>
        <v>0.11764705882352933</v>
      </c>
      <c r="M47" s="4">
        <f>4*(('01_WHOQOL_Items'!W47 + '01_WHOQOL_Items'!X47 + '01_WHOQOL_Items'!Y47)/3)</f>
        <v>10.666666666666666</v>
      </c>
      <c r="N47" s="4">
        <f>4*(('01_WHOQOL_Items'!AW47 + '01_WHOQOL_Items'!AX47 + '01_WHOQOL_Items'!AY47)/3)</f>
        <v>13.333333333333334</v>
      </c>
      <c r="O47" s="4">
        <f t="shared" si="6"/>
        <v>41.666666666666664</v>
      </c>
      <c r="P47" s="4">
        <f t="shared" si="7"/>
        <v>58.333333333333336</v>
      </c>
      <c r="Q47" s="5">
        <f t="shared" si="8"/>
        <v>0.40000000000000013</v>
      </c>
      <c r="R47" s="4">
        <f>4*(('01_WHOQOL_Items'!K47 + '01_WHOQOL_Items'!L47 + '01_WHOQOL_Items'!O47 + '01_WHOQOL_Items'!P47 + '01_WHOQOL_Items'!Q47 + '01_WHOQOL_Items'!Z47 + '01_WHOQOL_Items'!AA47 + '01_WHOQOL_Items'!AB47)/8)</f>
        <v>14</v>
      </c>
      <c r="S47" s="4">
        <f>4*(('01_WHOQOL_Items'!AK47 + '01_WHOQOL_Items'!AL47 + '01_WHOQOL_Items'!AO47 + '01_WHOQOL_Items'!AP47 + '01_WHOQOL_Items'!AQ47 + '01_WHOQOL_Items'!AZ47 + '01_WHOQOL_Items'!BA47 + '01_WHOQOL_Items'!BB47)/8)</f>
        <v>12</v>
      </c>
      <c r="T47" s="4">
        <f t="shared" si="9"/>
        <v>62.5</v>
      </c>
      <c r="U47" s="4">
        <f t="shared" si="10"/>
        <v>50</v>
      </c>
      <c r="V47" s="5">
        <f t="shared" si="11"/>
        <v>-0.2</v>
      </c>
      <c r="W47" s="4">
        <f t="shared" si="12"/>
        <v>55.357142857142861</v>
      </c>
      <c r="X47" s="4">
        <f t="shared" si="13"/>
        <v>61.160714285714285</v>
      </c>
      <c r="Y47" s="5">
        <f t="shared" si="14"/>
        <v>0.10483870967741926</v>
      </c>
      <c r="Z47" s="1">
        <f>'01_WHOQOL_Items'!D47</f>
        <v>3</v>
      </c>
      <c r="AA47" s="1">
        <f>'01_WHOQOL_Items'!AD47</f>
        <v>4</v>
      </c>
      <c r="AB47" s="1">
        <f>'01_WHOQOL_Items'!E47</f>
        <v>2</v>
      </c>
      <c r="AC47" s="1">
        <f>'01_WHOQOL_Items'!AE47</f>
        <v>3</v>
      </c>
    </row>
    <row r="48" spans="1:29">
      <c r="A48" s="1" t="str">
        <f>'01_WHOQOL_Items'!A48</f>
        <v>EXP-047</v>
      </c>
      <c r="B48" s="1" t="str">
        <f>'01_WHOQOL_Items'!B48</f>
        <v>Experimental</v>
      </c>
      <c r="C48" s="4">
        <f>4*(((6-'01_WHOQOL_Items'!F48) + (6-'01_WHOQOL_Items'!G48) + '01_WHOQOL_Items'!M48 + '01_WHOQOL_Items'!R48 + '01_WHOQOL_Items'!S48 + '01_WHOQOL_Items'!T48 + '01_WHOQOL_Items'!U48)/7)</f>
        <v>13.142857142857142</v>
      </c>
      <c r="D48" s="4">
        <f>4*(((6-'01_WHOQOL_Items'!AF48) + (6-'01_WHOQOL_Items'!AG48) + '01_WHOQOL_Items'!AM48 + '01_WHOQOL_Items'!AR48 + '01_WHOQOL_Items'!AS48 + '01_WHOQOL_Items'!AT48 + '01_WHOQOL_Items'!AU48)/7)</f>
        <v>13.142857142857142</v>
      </c>
      <c r="E48" s="4">
        <f t="shared" si="0"/>
        <v>57.142857142857139</v>
      </c>
      <c r="F48" s="4">
        <f t="shared" si="1"/>
        <v>57.142857142857139</v>
      </c>
      <c r="G48" s="5">
        <f t="shared" si="2"/>
        <v>0</v>
      </c>
      <c r="H48" s="4">
        <f>4*(('01_WHOQOL_Items'!H48 + '01_WHOQOL_Items'!I48 + '01_WHOQOL_Items'!J48 + '01_WHOQOL_Items'!N48 + '01_WHOQOL_Items'!V48 + (6-'01_WHOQOL_Items'!AC48))/6)</f>
        <v>12</v>
      </c>
      <c r="I48" s="4">
        <f>4*(('01_WHOQOL_Items'!AH48 + '01_WHOQOL_Items'!AI48 + '01_WHOQOL_Items'!AJ48 + '01_WHOQOL_Items'!AN48 + '01_WHOQOL_Items'!AV48 + (6-'01_WHOQOL_Items'!BC48))/6)</f>
        <v>14</v>
      </c>
      <c r="J48" s="4">
        <f t="shared" si="3"/>
        <v>50</v>
      </c>
      <c r="K48" s="4">
        <f t="shared" si="4"/>
        <v>62.5</v>
      </c>
      <c r="L48" s="5">
        <f t="shared" si="5"/>
        <v>0.25</v>
      </c>
      <c r="M48" s="4">
        <f>4*(('01_WHOQOL_Items'!W48 + '01_WHOQOL_Items'!X48 + '01_WHOQOL_Items'!Y48)/3)</f>
        <v>14.666666666666666</v>
      </c>
      <c r="N48" s="4">
        <f>4*(('01_WHOQOL_Items'!AW48 + '01_WHOQOL_Items'!AX48 + '01_WHOQOL_Items'!AY48)/3)</f>
        <v>17.333333333333332</v>
      </c>
      <c r="O48" s="4">
        <f t="shared" si="6"/>
        <v>66.666666666666657</v>
      </c>
      <c r="P48" s="4">
        <f t="shared" si="7"/>
        <v>83.333333333333329</v>
      </c>
      <c r="Q48" s="5">
        <f t="shared" si="8"/>
        <v>0.25000000000000011</v>
      </c>
      <c r="R48" s="4">
        <f>4*(('01_WHOQOL_Items'!K48 + '01_WHOQOL_Items'!L48 + '01_WHOQOL_Items'!O48 + '01_WHOQOL_Items'!P48 + '01_WHOQOL_Items'!Q48 + '01_WHOQOL_Items'!Z48 + '01_WHOQOL_Items'!AA48 + '01_WHOQOL_Items'!AB48)/8)</f>
        <v>12.5</v>
      </c>
      <c r="S48" s="4">
        <f>4*(('01_WHOQOL_Items'!AK48 + '01_WHOQOL_Items'!AL48 + '01_WHOQOL_Items'!AO48 + '01_WHOQOL_Items'!AP48 + '01_WHOQOL_Items'!AQ48 + '01_WHOQOL_Items'!AZ48 + '01_WHOQOL_Items'!BA48 + '01_WHOQOL_Items'!BB48)/8)</f>
        <v>16</v>
      </c>
      <c r="T48" s="4">
        <f t="shared" si="9"/>
        <v>53.125</v>
      </c>
      <c r="U48" s="4">
        <f t="shared" si="10"/>
        <v>75</v>
      </c>
      <c r="V48" s="5">
        <f t="shared" si="11"/>
        <v>0.41176470588235292</v>
      </c>
      <c r="W48" s="4">
        <f t="shared" si="12"/>
        <v>56.733630952380949</v>
      </c>
      <c r="X48" s="4">
        <f t="shared" si="13"/>
        <v>69.49404761904762</v>
      </c>
      <c r="Y48" s="5">
        <f t="shared" si="14"/>
        <v>0.22491803278688535</v>
      </c>
      <c r="Z48" s="1">
        <f>'01_WHOQOL_Items'!D48</f>
        <v>4</v>
      </c>
      <c r="AA48" s="1">
        <f>'01_WHOQOL_Items'!AD48</f>
        <v>4</v>
      </c>
      <c r="AB48" s="1">
        <f>'01_WHOQOL_Items'!E48</f>
        <v>4</v>
      </c>
      <c r="AC48" s="1">
        <f>'01_WHOQOL_Items'!AE48</f>
        <v>3</v>
      </c>
    </row>
    <row r="49" spans="1:29">
      <c r="A49" s="1" t="str">
        <f>'01_WHOQOL_Items'!A49</f>
        <v>EXP-048</v>
      </c>
      <c r="B49" s="1" t="str">
        <f>'01_WHOQOL_Items'!B49</f>
        <v>Experimental</v>
      </c>
      <c r="C49" s="4">
        <f>4*(((6-'01_WHOQOL_Items'!F49) + (6-'01_WHOQOL_Items'!G49) + '01_WHOQOL_Items'!M49 + '01_WHOQOL_Items'!R49 + '01_WHOQOL_Items'!S49 + '01_WHOQOL_Items'!T49 + '01_WHOQOL_Items'!U49)/7)</f>
        <v>12</v>
      </c>
      <c r="D49" s="4">
        <f>4*(((6-'01_WHOQOL_Items'!AF49) + (6-'01_WHOQOL_Items'!AG49) + '01_WHOQOL_Items'!AM49 + '01_WHOQOL_Items'!AR49 + '01_WHOQOL_Items'!AS49 + '01_WHOQOL_Items'!AT49 + '01_WHOQOL_Items'!AU49)/7)</f>
        <v>14.857142857142858</v>
      </c>
      <c r="E49" s="4">
        <f t="shared" si="0"/>
        <v>50</v>
      </c>
      <c r="F49" s="4">
        <f t="shared" si="1"/>
        <v>67.857142857142861</v>
      </c>
      <c r="G49" s="5">
        <f t="shared" si="2"/>
        <v>0.35714285714285721</v>
      </c>
      <c r="H49" s="4">
        <f>4*(('01_WHOQOL_Items'!H49 + '01_WHOQOL_Items'!I49 + '01_WHOQOL_Items'!J49 + '01_WHOQOL_Items'!N49 + '01_WHOQOL_Items'!V49 + (6-'01_WHOQOL_Items'!AC49))/6)</f>
        <v>12.666666666666666</v>
      </c>
      <c r="I49" s="4">
        <f>4*(('01_WHOQOL_Items'!AH49 + '01_WHOQOL_Items'!AI49 + '01_WHOQOL_Items'!AJ49 + '01_WHOQOL_Items'!AN49 + '01_WHOQOL_Items'!AV49 + (6-'01_WHOQOL_Items'!BC49))/6)</f>
        <v>16.666666666666668</v>
      </c>
      <c r="J49" s="4">
        <f t="shared" si="3"/>
        <v>54.166666666666664</v>
      </c>
      <c r="K49" s="4">
        <f t="shared" si="4"/>
        <v>79.166666666666671</v>
      </c>
      <c r="L49" s="5">
        <f t="shared" si="5"/>
        <v>0.46153846153846168</v>
      </c>
      <c r="M49" s="4">
        <f>4*(('01_WHOQOL_Items'!W49 + '01_WHOQOL_Items'!X49 + '01_WHOQOL_Items'!Y49)/3)</f>
        <v>14.666666666666666</v>
      </c>
      <c r="N49" s="4">
        <f>4*(('01_WHOQOL_Items'!AW49 + '01_WHOQOL_Items'!AX49 + '01_WHOQOL_Items'!AY49)/3)</f>
        <v>14.666666666666666</v>
      </c>
      <c r="O49" s="4">
        <f t="shared" si="6"/>
        <v>66.666666666666657</v>
      </c>
      <c r="P49" s="4">
        <f t="shared" si="7"/>
        <v>66.666666666666657</v>
      </c>
      <c r="Q49" s="5">
        <f t="shared" si="8"/>
        <v>0</v>
      </c>
      <c r="R49" s="4">
        <f>4*(('01_WHOQOL_Items'!K49 + '01_WHOQOL_Items'!L49 + '01_WHOQOL_Items'!O49 + '01_WHOQOL_Items'!P49 + '01_WHOQOL_Items'!Q49 + '01_WHOQOL_Items'!Z49 + '01_WHOQOL_Items'!AA49 + '01_WHOQOL_Items'!AB49)/8)</f>
        <v>10.5</v>
      </c>
      <c r="S49" s="4">
        <f>4*(('01_WHOQOL_Items'!AK49 + '01_WHOQOL_Items'!AL49 + '01_WHOQOL_Items'!AO49 + '01_WHOQOL_Items'!AP49 + '01_WHOQOL_Items'!AQ49 + '01_WHOQOL_Items'!AZ49 + '01_WHOQOL_Items'!BA49 + '01_WHOQOL_Items'!BB49)/8)</f>
        <v>13</v>
      </c>
      <c r="T49" s="4">
        <f t="shared" si="9"/>
        <v>40.625</v>
      </c>
      <c r="U49" s="4">
        <f t="shared" si="10"/>
        <v>56.25</v>
      </c>
      <c r="V49" s="5">
        <f t="shared" si="11"/>
        <v>0.38461538461538464</v>
      </c>
      <c r="W49" s="4">
        <f t="shared" si="12"/>
        <v>52.864583333333329</v>
      </c>
      <c r="X49" s="4">
        <f t="shared" si="13"/>
        <v>67.485119047619037</v>
      </c>
      <c r="Y49" s="5">
        <f t="shared" si="14"/>
        <v>0.27656579873328635</v>
      </c>
      <c r="Z49" s="1">
        <f>'01_WHOQOL_Items'!D49</f>
        <v>2</v>
      </c>
      <c r="AA49" s="1">
        <f>'01_WHOQOL_Items'!AD49</f>
        <v>3</v>
      </c>
      <c r="AB49" s="1">
        <f>'01_WHOQOL_Items'!E49</f>
        <v>3</v>
      </c>
      <c r="AC49" s="1">
        <f>'01_WHOQOL_Items'!AE49</f>
        <v>5</v>
      </c>
    </row>
    <row r="50" spans="1:29">
      <c r="A50" s="1" t="str">
        <f>'01_WHOQOL_Items'!A50</f>
        <v>EXP-049</v>
      </c>
      <c r="B50" s="1" t="str">
        <f>'01_WHOQOL_Items'!B50</f>
        <v>Experimental</v>
      </c>
      <c r="C50" s="4">
        <f>4*(((6-'01_WHOQOL_Items'!F50) + (6-'01_WHOQOL_Items'!G50) + '01_WHOQOL_Items'!M50 + '01_WHOQOL_Items'!R50 + '01_WHOQOL_Items'!S50 + '01_WHOQOL_Items'!T50 + '01_WHOQOL_Items'!U50)/7)</f>
        <v>15.428571428571429</v>
      </c>
      <c r="D50" s="4">
        <f>4*(((6-'01_WHOQOL_Items'!AF50) + (6-'01_WHOQOL_Items'!AG50) + '01_WHOQOL_Items'!AM50 + '01_WHOQOL_Items'!AR50 + '01_WHOQOL_Items'!AS50 + '01_WHOQOL_Items'!AT50 + '01_WHOQOL_Items'!AU50)/7)</f>
        <v>16</v>
      </c>
      <c r="E50" s="4">
        <f t="shared" si="0"/>
        <v>71.428571428571431</v>
      </c>
      <c r="F50" s="4">
        <f t="shared" si="1"/>
        <v>75</v>
      </c>
      <c r="G50" s="5">
        <f t="shared" si="2"/>
        <v>4.9999999999999968E-2</v>
      </c>
      <c r="H50" s="4">
        <f>4*(('01_WHOQOL_Items'!H50 + '01_WHOQOL_Items'!I50 + '01_WHOQOL_Items'!J50 + '01_WHOQOL_Items'!N50 + '01_WHOQOL_Items'!V50 + (6-'01_WHOQOL_Items'!AC50))/6)</f>
        <v>12</v>
      </c>
      <c r="I50" s="4">
        <f>4*(('01_WHOQOL_Items'!AH50 + '01_WHOQOL_Items'!AI50 + '01_WHOQOL_Items'!AJ50 + '01_WHOQOL_Items'!AN50 + '01_WHOQOL_Items'!AV50 + (6-'01_WHOQOL_Items'!BC50))/6)</f>
        <v>18.666666666666668</v>
      </c>
      <c r="J50" s="4">
        <f t="shared" si="3"/>
        <v>50</v>
      </c>
      <c r="K50" s="4">
        <f t="shared" si="4"/>
        <v>91.666666666666671</v>
      </c>
      <c r="L50" s="5">
        <f t="shared" si="5"/>
        <v>0.83333333333333348</v>
      </c>
      <c r="M50" s="4">
        <f>4*(('01_WHOQOL_Items'!W50 + '01_WHOQOL_Items'!X50 + '01_WHOQOL_Items'!Y50)/3)</f>
        <v>8</v>
      </c>
      <c r="N50" s="4">
        <f>4*(('01_WHOQOL_Items'!AW50 + '01_WHOQOL_Items'!AX50 + '01_WHOQOL_Items'!AY50)/3)</f>
        <v>8</v>
      </c>
      <c r="O50" s="4">
        <f t="shared" si="6"/>
        <v>25</v>
      </c>
      <c r="P50" s="4">
        <f t="shared" si="7"/>
        <v>25</v>
      </c>
      <c r="Q50" s="5">
        <f t="shared" si="8"/>
        <v>0</v>
      </c>
      <c r="R50" s="4">
        <f>4*(('01_WHOQOL_Items'!K50 + '01_WHOQOL_Items'!L50 + '01_WHOQOL_Items'!O50 + '01_WHOQOL_Items'!P50 + '01_WHOQOL_Items'!Q50 + '01_WHOQOL_Items'!Z50 + '01_WHOQOL_Items'!AA50 + '01_WHOQOL_Items'!AB50)/8)</f>
        <v>12.5</v>
      </c>
      <c r="S50" s="4">
        <f>4*(('01_WHOQOL_Items'!AK50 + '01_WHOQOL_Items'!AL50 + '01_WHOQOL_Items'!AO50 + '01_WHOQOL_Items'!AP50 + '01_WHOQOL_Items'!AQ50 + '01_WHOQOL_Items'!AZ50 + '01_WHOQOL_Items'!BA50 + '01_WHOQOL_Items'!BB50)/8)</f>
        <v>14</v>
      </c>
      <c r="T50" s="4">
        <f t="shared" si="9"/>
        <v>53.125</v>
      </c>
      <c r="U50" s="4">
        <f t="shared" si="10"/>
        <v>62.5</v>
      </c>
      <c r="V50" s="5">
        <f t="shared" si="11"/>
        <v>0.17647058823529413</v>
      </c>
      <c r="W50" s="4">
        <f t="shared" si="12"/>
        <v>49.888392857142861</v>
      </c>
      <c r="X50" s="4">
        <f t="shared" si="13"/>
        <v>63.541666666666671</v>
      </c>
      <c r="Y50" s="5">
        <f t="shared" si="14"/>
        <v>0.27367636092468306</v>
      </c>
      <c r="Z50" s="1">
        <f>'01_WHOQOL_Items'!D50</f>
        <v>3</v>
      </c>
      <c r="AA50" s="1">
        <f>'01_WHOQOL_Items'!AD50</f>
        <v>3</v>
      </c>
      <c r="AB50" s="1">
        <f>'01_WHOQOL_Items'!E50</f>
        <v>4</v>
      </c>
      <c r="AC50" s="1">
        <f>'01_WHOQOL_Items'!AE50</f>
        <v>3</v>
      </c>
    </row>
    <row r="51" spans="1:29">
      <c r="A51" s="1" t="str">
        <f>'01_WHOQOL_Items'!A51</f>
        <v>EXP-050</v>
      </c>
      <c r="B51" s="1" t="str">
        <f>'01_WHOQOL_Items'!B51</f>
        <v>Experimental</v>
      </c>
      <c r="C51" s="4">
        <f>4*(((6-'01_WHOQOL_Items'!F51) + (6-'01_WHOQOL_Items'!G51) + '01_WHOQOL_Items'!M51 + '01_WHOQOL_Items'!R51 + '01_WHOQOL_Items'!S51 + '01_WHOQOL_Items'!T51 + '01_WHOQOL_Items'!U51)/7)</f>
        <v>14.857142857142858</v>
      </c>
      <c r="D51" s="4">
        <f>4*(((6-'01_WHOQOL_Items'!AF51) + (6-'01_WHOQOL_Items'!AG51) + '01_WHOQOL_Items'!AM51 + '01_WHOQOL_Items'!AR51 + '01_WHOQOL_Items'!AS51 + '01_WHOQOL_Items'!AT51 + '01_WHOQOL_Items'!AU51)/7)</f>
        <v>15.428571428571429</v>
      </c>
      <c r="E51" s="4">
        <f t="shared" si="0"/>
        <v>67.857142857142861</v>
      </c>
      <c r="F51" s="4">
        <f t="shared" si="1"/>
        <v>71.428571428571431</v>
      </c>
      <c r="G51" s="5">
        <f t="shared" si="2"/>
        <v>5.263157894736839E-2</v>
      </c>
      <c r="H51" s="4">
        <f>4*(('01_WHOQOL_Items'!H51 + '01_WHOQOL_Items'!I51 + '01_WHOQOL_Items'!J51 + '01_WHOQOL_Items'!N51 + '01_WHOQOL_Items'!V51 + (6-'01_WHOQOL_Items'!AC51))/6)</f>
        <v>8.6666666666666661</v>
      </c>
      <c r="I51" s="4">
        <f>4*(('01_WHOQOL_Items'!AH51 + '01_WHOQOL_Items'!AI51 + '01_WHOQOL_Items'!AJ51 + '01_WHOQOL_Items'!AN51 + '01_WHOQOL_Items'!AV51 + (6-'01_WHOQOL_Items'!BC51))/6)</f>
        <v>9.3333333333333339</v>
      </c>
      <c r="J51" s="4">
        <f t="shared" si="3"/>
        <v>29.166666666666664</v>
      </c>
      <c r="K51" s="4">
        <f t="shared" si="4"/>
        <v>33.333333333333336</v>
      </c>
      <c r="L51" s="5">
        <f t="shared" si="5"/>
        <v>0.14285714285714304</v>
      </c>
      <c r="M51" s="4">
        <f>4*(('01_WHOQOL_Items'!W51 + '01_WHOQOL_Items'!X51 + '01_WHOQOL_Items'!Y51)/3)</f>
        <v>12</v>
      </c>
      <c r="N51" s="4">
        <f>4*(('01_WHOQOL_Items'!AW51 + '01_WHOQOL_Items'!AX51 + '01_WHOQOL_Items'!AY51)/3)</f>
        <v>14.666666666666666</v>
      </c>
      <c r="O51" s="4">
        <f t="shared" si="6"/>
        <v>50</v>
      </c>
      <c r="P51" s="4">
        <f t="shared" si="7"/>
        <v>66.666666666666657</v>
      </c>
      <c r="Q51" s="5">
        <f t="shared" si="8"/>
        <v>0.33333333333333315</v>
      </c>
      <c r="R51" s="4">
        <f>4*(('01_WHOQOL_Items'!K51 + '01_WHOQOL_Items'!L51 + '01_WHOQOL_Items'!O51 + '01_WHOQOL_Items'!P51 + '01_WHOQOL_Items'!Q51 + '01_WHOQOL_Items'!Z51 + '01_WHOQOL_Items'!AA51 + '01_WHOQOL_Items'!AB51)/8)</f>
        <v>16</v>
      </c>
      <c r="S51" s="4">
        <f>4*(('01_WHOQOL_Items'!AK51 + '01_WHOQOL_Items'!AL51 + '01_WHOQOL_Items'!AO51 + '01_WHOQOL_Items'!AP51 + '01_WHOQOL_Items'!AQ51 + '01_WHOQOL_Items'!AZ51 + '01_WHOQOL_Items'!BA51 + '01_WHOQOL_Items'!BB51)/8)</f>
        <v>14.5</v>
      </c>
      <c r="T51" s="4">
        <f t="shared" si="9"/>
        <v>75</v>
      </c>
      <c r="U51" s="4">
        <f t="shared" si="10"/>
        <v>65.625</v>
      </c>
      <c r="V51" s="5">
        <f t="shared" si="11"/>
        <v>-0.125</v>
      </c>
      <c r="W51" s="4">
        <f t="shared" si="12"/>
        <v>55.50595238095238</v>
      </c>
      <c r="X51" s="4">
        <f t="shared" si="13"/>
        <v>59.263392857142854</v>
      </c>
      <c r="Y51" s="5">
        <f t="shared" si="14"/>
        <v>6.7694369973190324E-2</v>
      </c>
      <c r="Z51" s="1">
        <f>'01_WHOQOL_Items'!D51</f>
        <v>2</v>
      </c>
      <c r="AA51" s="1">
        <f>'01_WHOQOL_Items'!AD51</f>
        <v>4</v>
      </c>
      <c r="AB51" s="1">
        <f>'01_WHOQOL_Items'!E51</f>
        <v>4</v>
      </c>
      <c r="AC51" s="1">
        <f>'01_WHOQOL_Items'!AE51</f>
        <v>4</v>
      </c>
    </row>
    <row r="52" spans="1:29">
      <c r="A52" s="1" t="str">
        <f>'01_WHOQOL_Items'!A52</f>
        <v>EXP-051</v>
      </c>
      <c r="B52" s="1" t="str">
        <f>'01_WHOQOL_Items'!B52</f>
        <v>Experimental</v>
      </c>
      <c r="C52" s="4">
        <f>4*(((6-'01_WHOQOL_Items'!F52) + (6-'01_WHOQOL_Items'!G52) + '01_WHOQOL_Items'!M52 + '01_WHOQOL_Items'!R52 + '01_WHOQOL_Items'!S52 + '01_WHOQOL_Items'!T52 + '01_WHOQOL_Items'!U52)/7)</f>
        <v>11.428571428571429</v>
      </c>
      <c r="D52" s="4">
        <f>4*(((6-'01_WHOQOL_Items'!AF52) + (6-'01_WHOQOL_Items'!AG52) + '01_WHOQOL_Items'!AM52 + '01_WHOQOL_Items'!AR52 + '01_WHOQOL_Items'!AS52 + '01_WHOQOL_Items'!AT52 + '01_WHOQOL_Items'!AU52)/7)</f>
        <v>13.714285714285714</v>
      </c>
      <c r="E52" s="4">
        <f t="shared" si="0"/>
        <v>46.428571428571431</v>
      </c>
      <c r="F52" s="4">
        <f t="shared" si="1"/>
        <v>60.714285714285708</v>
      </c>
      <c r="G52" s="5">
        <f t="shared" si="2"/>
        <v>0.30769230769230749</v>
      </c>
      <c r="H52" s="4">
        <f>4*(('01_WHOQOL_Items'!H52 + '01_WHOQOL_Items'!I52 + '01_WHOQOL_Items'!J52 + '01_WHOQOL_Items'!N52 + '01_WHOQOL_Items'!V52 + (6-'01_WHOQOL_Items'!AC52))/6)</f>
        <v>10</v>
      </c>
      <c r="I52" s="4">
        <f>4*(('01_WHOQOL_Items'!AH52 + '01_WHOQOL_Items'!AI52 + '01_WHOQOL_Items'!AJ52 + '01_WHOQOL_Items'!AN52 + '01_WHOQOL_Items'!AV52 + (6-'01_WHOQOL_Items'!BC52))/6)</f>
        <v>12</v>
      </c>
      <c r="J52" s="4">
        <f t="shared" si="3"/>
        <v>37.5</v>
      </c>
      <c r="K52" s="4">
        <f t="shared" si="4"/>
        <v>50</v>
      </c>
      <c r="L52" s="5">
        <f t="shared" si="5"/>
        <v>0.33333333333333331</v>
      </c>
      <c r="M52" s="4">
        <f>4*(('01_WHOQOL_Items'!W52 + '01_WHOQOL_Items'!X52 + '01_WHOQOL_Items'!Y52)/3)</f>
        <v>10.666666666666666</v>
      </c>
      <c r="N52" s="4">
        <f>4*(('01_WHOQOL_Items'!AW52 + '01_WHOQOL_Items'!AX52 + '01_WHOQOL_Items'!AY52)/3)</f>
        <v>13.333333333333334</v>
      </c>
      <c r="O52" s="4">
        <f t="shared" si="6"/>
        <v>41.666666666666664</v>
      </c>
      <c r="P52" s="4">
        <f t="shared" si="7"/>
        <v>58.333333333333336</v>
      </c>
      <c r="Q52" s="5">
        <f t="shared" si="8"/>
        <v>0.40000000000000013</v>
      </c>
      <c r="R52" s="4">
        <f>4*(('01_WHOQOL_Items'!K52 + '01_WHOQOL_Items'!L52 + '01_WHOQOL_Items'!O52 + '01_WHOQOL_Items'!P52 + '01_WHOQOL_Items'!Q52 + '01_WHOQOL_Items'!Z52 + '01_WHOQOL_Items'!AA52 + '01_WHOQOL_Items'!AB52)/8)</f>
        <v>8.5</v>
      </c>
      <c r="S52" s="4">
        <f>4*(('01_WHOQOL_Items'!AK52 + '01_WHOQOL_Items'!AL52 + '01_WHOQOL_Items'!AO52 + '01_WHOQOL_Items'!AP52 + '01_WHOQOL_Items'!AQ52 + '01_WHOQOL_Items'!AZ52 + '01_WHOQOL_Items'!BA52 + '01_WHOQOL_Items'!BB52)/8)</f>
        <v>9.5</v>
      </c>
      <c r="T52" s="4">
        <f t="shared" si="9"/>
        <v>28.125</v>
      </c>
      <c r="U52" s="4">
        <f t="shared" si="10"/>
        <v>34.375</v>
      </c>
      <c r="V52" s="5">
        <f t="shared" si="11"/>
        <v>0.22222222222222221</v>
      </c>
      <c r="W52" s="4">
        <f t="shared" si="12"/>
        <v>38.430059523809526</v>
      </c>
      <c r="X52" s="4">
        <f t="shared" si="13"/>
        <v>50.855654761904759</v>
      </c>
      <c r="Y52" s="5">
        <f t="shared" si="14"/>
        <v>0.32333010648596311</v>
      </c>
      <c r="Z52" s="1">
        <f>'01_WHOQOL_Items'!D52</f>
        <v>2</v>
      </c>
      <c r="AA52" s="1">
        <f>'01_WHOQOL_Items'!AD52</f>
        <v>3</v>
      </c>
      <c r="AB52" s="1">
        <f>'01_WHOQOL_Items'!E52</f>
        <v>3</v>
      </c>
      <c r="AC52" s="1">
        <f>'01_WHOQOL_Items'!AE52</f>
        <v>3</v>
      </c>
    </row>
    <row r="53" spans="1:29">
      <c r="A53" s="1" t="str">
        <f>'01_WHOQOL_Items'!A53</f>
        <v>EXP-052</v>
      </c>
      <c r="B53" s="1" t="str">
        <f>'01_WHOQOL_Items'!B53</f>
        <v>Experimental</v>
      </c>
      <c r="C53" s="4">
        <f>4*(((6-'01_WHOQOL_Items'!F53) + (6-'01_WHOQOL_Items'!G53) + '01_WHOQOL_Items'!M53 + '01_WHOQOL_Items'!R53 + '01_WHOQOL_Items'!S53 + '01_WHOQOL_Items'!T53 + '01_WHOQOL_Items'!U53)/7)</f>
        <v>11.428571428571429</v>
      </c>
      <c r="D53" s="4">
        <f>4*(((6-'01_WHOQOL_Items'!AF53) + (6-'01_WHOQOL_Items'!AG53) + '01_WHOQOL_Items'!AM53 + '01_WHOQOL_Items'!AR53 + '01_WHOQOL_Items'!AS53 + '01_WHOQOL_Items'!AT53 + '01_WHOQOL_Items'!AU53)/7)</f>
        <v>13.714285714285714</v>
      </c>
      <c r="E53" s="4">
        <f t="shared" si="0"/>
        <v>46.428571428571431</v>
      </c>
      <c r="F53" s="4">
        <f t="shared" si="1"/>
        <v>60.714285714285708</v>
      </c>
      <c r="G53" s="5">
        <f t="shared" si="2"/>
        <v>0.30769230769230749</v>
      </c>
      <c r="H53" s="4">
        <f>4*(('01_WHOQOL_Items'!H53 + '01_WHOQOL_Items'!I53 + '01_WHOQOL_Items'!J53 + '01_WHOQOL_Items'!N53 + '01_WHOQOL_Items'!V53 + (6-'01_WHOQOL_Items'!AC53))/6)</f>
        <v>9.3333333333333339</v>
      </c>
      <c r="I53" s="4">
        <f>4*(('01_WHOQOL_Items'!AH53 + '01_WHOQOL_Items'!AI53 + '01_WHOQOL_Items'!AJ53 + '01_WHOQOL_Items'!AN53 + '01_WHOQOL_Items'!AV53 + (6-'01_WHOQOL_Items'!BC53))/6)</f>
        <v>14.666666666666666</v>
      </c>
      <c r="J53" s="4">
        <f t="shared" si="3"/>
        <v>33.333333333333336</v>
      </c>
      <c r="K53" s="4">
        <f t="shared" si="4"/>
        <v>66.666666666666657</v>
      </c>
      <c r="L53" s="5">
        <f t="shared" si="5"/>
        <v>0.99999999999999956</v>
      </c>
      <c r="M53" s="4">
        <f>4*(('01_WHOQOL_Items'!W53 + '01_WHOQOL_Items'!X53 + '01_WHOQOL_Items'!Y53)/3)</f>
        <v>14.666666666666666</v>
      </c>
      <c r="N53" s="4">
        <f>4*(('01_WHOQOL_Items'!AW53 + '01_WHOQOL_Items'!AX53 + '01_WHOQOL_Items'!AY53)/3)</f>
        <v>16</v>
      </c>
      <c r="O53" s="4">
        <f t="shared" si="6"/>
        <v>66.666666666666657</v>
      </c>
      <c r="P53" s="4">
        <f t="shared" si="7"/>
        <v>75</v>
      </c>
      <c r="Q53" s="5">
        <f t="shared" si="8"/>
        <v>0.12500000000000017</v>
      </c>
      <c r="R53" s="4">
        <f>4*(('01_WHOQOL_Items'!K53 + '01_WHOQOL_Items'!L53 + '01_WHOQOL_Items'!O53 + '01_WHOQOL_Items'!P53 + '01_WHOQOL_Items'!Q53 + '01_WHOQOL_Items'!Z53 + '01_WHOQOL_Items'!AA53 + '01_WHOQOL_Items'!AB53)/8)</f>
        <v>12.5</v>
      </c>
      <c r="S53" s="4">
        <f>4*(('01_WHOQOL_Items'!AK53 + '01_WHOQOL_Items'!AL53 + '01_WHOQOL_Items'!AO53 + '01_WHOQOL_Items'!AP53 + '01_WHOQOL_Items'!AQ53 + '01_WHOQOL_Items'!AZ53 + '01_WHOQOL_Items'!BA53 + '01_WHOQOL_Items'!BB53)/8)</f>
        <v>12.5</v>
      </c>
      <c r="T53" s="4">
        <f t="shared" si="9"/>
        <v>53.125</v>
      </c>
      <c r="U53" s="4">
        <f t="shared" si="10"/>
        <v>53.125</v>
      </c>
      <c r="V53" s="5">
        <f t="shared" si="11"/>
        <v>0</v>
      </c>
      <c r="W53" s="4">
        <f t="shared" si="12"/>
        <v>49.888392857142854</v>
      </c>
      <c r="X53" s="4">
        <f t="shared" si="13"/>
        <v>63.876488095238088</v>
      </c>
      <c r="Y53" s="5">
        <f t="shared" si="14"/>
        <v>0.28038777032065615</v>
      </c>
      <c r="Z53" s="1">
        <f>'01_WHOQOL_Items'!D53</f>
        <v>3</v>
      </c>
      <c r="AA53" s="1">
        <f>'01_WHOQOL_Items'!AD53</f>
        <v>3</v>
      </c>
      <c r="AB53" s="1">
        <f>'01_WHOQOL_Items'!E53</f>
        <v>2</v>
      </c>
      <c r="AC53" s="1">
        <f>'01_WHOQOL_Items'!AE53</f>
        <v>3</v>
      </c>
    </row>
    <row r="54" spans="1:29">
      <c r="A54" s="1" t="str">
        <f>'01_WHOQOL_Items'!A54</f>
        <v>EXP-053</v>
      </c>
      <c r="B54" s="1" t="str">
        <f>'01_WHOQOL_Items'!B54</f>
        <v>Experimental</v>
      </c>
      <c r="C54" s="4">
        <f>4*(((6-'01_WHOQOL_Items'!F54) + (6-'01_WHOQOL_Items'!G54) + '01_WHOQOL_Items'!M54 + '01_WHOQOL_Items'!R54 + '01_WHOQOL_Items'!S54 + '01_WHOQOL_Items'!T54 + '01_WHOQOL_Items'!U54)/7)</f>
        <v>7.4285714285714288</v>
      </c>
      <c r="D54" s="4">
        <f>4*(((6-'01_WHOQOL_Items'!AF54) + (6-'01_WHOQOL_Items'!AG54) + '01_WHOQOL_Items'!AM54 + '01_WHOQOL_Items'!AR54 + '01_WHOQOL_Items'!AS54 + '01_WHOQOL_Items'!AT54 + '01_WHOQOL_Items'!AU54)/7)</f>
        <v>8.5714285714285712</v>
      </c>
      <c r="E54" s="4">
        <f t="shared" si="0"/>
        <v>21.428571428571431</v>
      </c>
      <c r="F54" s="4">
        <f t="shared" si="1"/>
        <v>28.571428571428569</v>
      </c>
      <c r="G54" s="5">
        <f t="shared" si="2"/>
        <v>0.33333333333333309</v>
      </c>
      <c r="H54" s="4">
        <f>4*(('01_WHOQOL_Items'!H54 + '01_WHOQOL_Items'!I54 + '01_WHOQOL_Items'!J54 + '01_WHOQOL_Items'!N54 + '01_WHOQOL_Items'!V54 + (6-'01_WHOQOL_Items'!AC54))/6)</f>
        <v>13.333333333333334</v>
      </c>
      <c r="I54" s="4">
        <f>4*(('01_WHOQOL_Items'!AH54 + '01_WHOQOL_Items'!AI54 + '01_WHOQOL_Items'!AJ54 + '01_WHOQOL_Items'!AN54 + '01_WHOQOL_Items'!AV54 + (6-'01_WHOQOL_Items'!BC54))/6)</f>
        <v>16</v>
      </c>
      <c r="J54" s="4">
        <f t="shared" si="3"/>
        <v>58.333333333333336</v>
      </c>
      <c r="K54" s="4">
        <f t="shared" si="4"/>
        <v>75</v>
      </c>
      <c r="L54" s="5">
        <f t="shared" si="5"/>
        <v>0.28571428571428564</v>
      </c>
      <c r="M54" s="4">
        <f>4*(('01_WHOQOL_Items'!W54 + '01_WHOQOL_Items'!X54 + '01_WHOQOL_Items'!Y54)/3)</f>
        <v>12</v>
      </c>
      <c r="N54" s="4">
        <f>4*(('01_WHOQOL_Items'!AW54 + '01_WHOQOL_Items'!AX54 + '01_WHOQOL_Items'!AY54)/3)</f>
        <v>14.666666666666666</v>
      </c>
      <c r="O54" s="4">
        <f t="shared" si="6"/>
        <v>50</v>
      </c>
      <c r="P54" s="4">
        <f t="shared" si="7"/>
        <v>66.666666666666657</v>
      </c>
      <c r="Q54" s="5">
        <f t="shared" si="8"/>
        <v>0.33333333333333315</v>
      </c>
      <c r="R54" s="4">
        <f>4*(('01_WHOQOL_Items'!K54 + '01_WHOQOL_Items'!L54 + '01_WHOQOL_Items'!O54 + '01_WHOQOL_Items'!P54 + '01_WHOQOL_Items'!Q54 + '01_WHOQOL_Items'!Z54 + '01_WHOQOL_Items'!AA54 + '01_WHOQOL_Items'!AB54)/8)</f>
        <v>7.5</v>
      </c>
      <c r="S54" s="4">
        <f>4*(('01_WHOQOL_Items'!AK54 + '01_WHOQOL_Items'!AL54 + '01_WHOQOL_Items'!AO54 + '01_WHOQOL_Items'!AP54 + '01_WHOQOL_Items'!AQ54 + '01_WHOQOL_Items'!AZ54 + '01_WHOQOL_Items'!BA54 + '01_WHOQOL_Items'!BB54)/8)</f>
        <v>9</v>
      </c>
      <c r="T54" s="4">
        <f t="shared" si="9"/>
        <v>21.875</v>
      </c>
      <c r="U54" s="4">
        <f t="shared" si="10"/>
        <v>31.25</v>
      </c>
      <c r="V54" s="5">
        <f t="shared" si="11"/>
        <v>0.42857142857142855</v>
      </c>
      <c r="W54" s="4">
        <f t="shared" si="12"/>
        <v>37.90922619047619</v>
      </c>
      <c r="X54" s="4">
        <f t="shared" si="13"/>
        <v>50.37202380952381</v>
      </c>
      <c r="Y54" s="5">
        <f t="shared" si="14"/>
        <v>0.32875368007850836</v>
      </c>
      <c r="Z54" s="1">
        <f>'01_WHOQOL_Items'!D54</f>
        <v>3</v>
      </c>
      <c r="AA54" s="1">
        <f>'01_WHOQOL_Items'!AD54</f>
        <v>3</v>
      </c>
      <c r="AB54" s="1">
        <f>'01_WHOQOL_Items'!E54</f>
        <v>1</v>
      </c>
      <c r="AC54" s="1">
        <f>'01_WHOQOL_Items'!AE54</f>
        <v>3</v>
      </c>
    </row>
    <row r="55" spans="1:29">
      <c r="A55" s="1" t="str">
        <f>'01_WHOQOL_Items'!A55</f>
        <v>EXP-054</v>
      </c>
      <c r="B55" s="1" t="str">
        <f>'01_WHOQOL_Items'!B55</f>
        <v>Experimental</v>
      </c>
      <c r="C55" s="4">
        <f>4*(((6-'01_WHOQOL_Items'!F55) + (6-'01_WHOQOL_Items'!G55) + '01_WHOQOL_Items'!M55 + '01_WHOQOL_Items'!R55 + '01_WHOQOL_Items'!S55 + '01_WHOQOL_Items'!T55 + '01_WHOQOL_Items'!U55)/7)</f>
        <v>9.1428571428571423</v>
      </c>
      <c r="D55" s="4">
        <f>4*(((6-'01_WHOQOL_Items'!AF55) + (6-'01_WHOQOL_Items'!AG55) + '01_WHOQOL_Items'!AM55 + '01_WHOQOL_Items'!AR55 + '01_WHOQOL_Items'!AS55 + '01_WHOQOL_Items'!AT55 + '01_WHOQOL_Items'!AU55)/7)</f>
        <v>10.285714285714286</v>
      </c>
      <c r="E55" s="4">
        <f t="shared" si="0"/>
        <v>32.142857142857139</v>
      </c>
      <c r="F55" s="4">
        <f t="shared" si="1"/>
        <v>39.285714285714292</v>
      </c>
      <c r="G55" s="5">
        <f t="shared" si="2"/>
        <v>0.22222222222222257</v>
      </c>
      <c r="H55" s="4">
        <f>4*(('01_WHOQOL_Items'!H55 + '01_WHOQOL_Items'!I55 + '01_WHOQOL_Items'!J55 + '01_WHOQOL_Items'!N55 + '01_WHOQOL_Items'!V55 + (6-'01_WHOQOL_Items'!AC55))/6)</f>
        <v>15.333333333333334</v>
      </c>
      <c r="I55" s="4">
        <f>4*(('01_WHOQOL_Items'!AH55 + '01_WHOQOL_Items'!AI55 + '01_WHOQOL_Items'!AJ55 + '01_WHOQOL_Items'!AN55 + '01_WHOQOL_Items'!AV55 + (6-'01_WHOQOL_Items'!BC55))/6)</f>
        <v>18.666666666666668</v>
      </c>
      <c r="J55" s="4">
        <f t="shared" si="3"/>
        <v>70.833333333333343</v>
      </c>
      <c r="K55" s="4">
        <f t="shared" si="4"/>
        <v>91.666666666666671</v>
      </c>
      <c r="L55" s="5">
        <f t="shared" si="5"/>
        <v>0.29411764705882343</v>
      </c>
      <c r="M55" s="4">
        <f>4*(('01_WHOQOL_Items'!W55 + '01_WHOQOL_Items'!X55 + '01_WHOQOL_Items'!Y55)/3)</f>
        <v>12</v>
      </c>
      <c r="N55" s="4">
        <f>4*(('01_WHOQOL_Items'!AW55 + '01_WHOQOL_Items'!AX55 + '01_WHOQOL_Items'!AY55)/3)</f>
        <v>16</v>
      </c>
      <c r="O55" s="4">
        <f t="shared" si="6"/>
        <v>50</v>
      </c>
      <c r="P55" s="4">
        <f t="shared" si="7"/>
        <v>75</v>
      </c>
      <c r="Q55" s="5">
        <f t="shared" si="8"/>
        <v>0.5</v>
      </c>
      <c r="R55" s="4">
        <f>4*(('01_WHOQOL_Items'!K55 + '01_WHOQOL_Items'!L55 + '01_WHOQOL_Items'!O55 + '01_WHOQOL_Items'!P55 + '01_WHOQOL_Items'!Q55 + '01_WHOQOL_Items'!Z55 + '01_WHOQOL_Items'!AA55 + '01_WHOQOL_Items'!AB55)/8)</f>
        <v>16.5</v>
      </c>
      <c r="S55" s="4">
        <f>4*(('01_WHOQOL_Items'!AK55 + '01_WHOQOL_Items'!AL55 + '01_WHOQOL_Items'!AO55 + '01_WHOQOL_Items'!AP55 + '01_WHOQOL_Items'!AQ55 + '01_WHOQOL_Items'!AZ55 + '01_WHOQOL_Items'!BA55 + '01_WHOQOL_Items'!BB55)/8)</f>
        <v>17.5</v>
      </c>
      <c r="T55" s="4">
        <f t="shared" si="9"/>
        <v>78.125</v>
      </c>
      <c r="U55" s="4">
        <f t="shared" si="10"/>
        <v>84.375</v>
      </c>
      <c r="V55" s="5">
        <f t="shared" si="11"/>
        <v>0.08</v>
      </c>
      <c r="W55" s="4">
        <f t="shared" si="12"/>
        <v>57.77529761904762</v>
      </c>
      <c r="X55" s="4">
        <f t="shared" si="13"/>
        <v>72.581845238095241</v>
      </c>
      <c r="Y55" s="5">
        <f t="shared" si="14"/>
        <v>0.25627817128139085</v>
      </c>
      <c r="Z55" s="1">
        <f>'01_WHOQOL_Items'!D55</f>
        <v>3</v>
      </c>
      <c r="AA55" s="1">
        <f>'01_WHOQOL_Items'!AD55</f>
        <v>3</v>
      </c>
      <c r="AB55" s="1">
        <f>'01_WHOQOL_Items'!E55</f>
        <v>3</v>
      </c>
      <c r="AC55" s="1">
        <f>'01_WHOQOL_Items'!AE55</f>
        <v>3</v>
      </c>
    </row>
    <row r="56" spans="1:29">
      <c r="A56" s="1" t="str">
        <f>'01_WHOQOL_Items'!A56</f>
        <v>EXP-055</v>
      </c>
      <c r="B56" s="1" t="str">
        <f>'01_WHOQOL_Items'!B56</f>
        <v>Experimental</v>
      </c>
      <c r="C56" s="4">
        <f>4*(((6-'01_WHOQOL_Items'!F56) + (6-'01_WHOQOL_Items'!G56) + '01_WHOQOL_Items'!M56 + '01_WHOQOL_Items'!R56 + '01_WHOQOL_Items'!S56 + '01_WHOQOL_Items'!T56 + '01_WHOQOL_Items'!U56)/7)</f>
        <v>14.857142857142858</v>
      </c>
      <c r="D56" s="4">
        <f>4*(((6-'01_WHOQOL_Items'!AF56) + (6-'01_WHOQOL_Items'!AG56) + '01_WHOQOL_Items'!AM56 + '01_WHOQOL_Items'!AR56 + '01_WHOQOL_Items'!AS56 + '01_WHOQOL_Items'!AT56 + '01_WHOQOL_Items'!AU56)/7)</f>
        <v>14.857142857142858</v>
      </c>
      <c r="E56" s="4">
        <f t="shared" si="0"/>
        <v>67.857142857142861</v>
      </c>
      <c r="F56" s="4">
        <f t="shared" si="1"/>
        <v>67.857142857142861</v>
      </c>
      <c r="G56" s="5">
        <f t="shared" si="2"/>
        <v>0</v>
      </c>
      <c r="H56" s="4">
        <f>4*(('01_WHOQOL_Items'!H56 + '01_WHOQOL_Items'!I56 + '01_WHOQOL_Items'!J56 + '01_WHOQOL_Items'!N56 + '01_WHOQOL_Items'!V56 + (6-'01_WHOQOL_Items'!AC56))/6)</f>
        <v>12.666666666666666</v>
      </c>
      <c r="I56" s="4">
        <f>4*(('01_WHOQOL_Items'!AH56 + '01_WHOQOL_Items'!AI56 + '01_WHOQOL_Items'!AJ56 + '01_WHOQOL_Items'!AN56 + '01_WHOQOL_Items'!AV56 + (6-'01_WHOQOL_Items'!BC56))/6)</f>
        <v>16</v>
      </c>
      <c r="J56" s="4">
        <f t="shared" si="3"/>
        <v>54.166666666666664</v>
      </c>
      <c r="K56" s="4">
        <f t="shared" si="4"/>
        <v>75</v>
      </c>
      <c r="L56" s="5">
        <f t="shared" si="5"/>
        <v>0.38461538461538469</v>
      </c>
      <c r="M56" s="4">
        <f>4*(('01_WHOQOL_Items'!W56 + '01_WHOQOL_Items'!X56 + '01_WHOQOL_Items'!Y56)/3)</f>
        <v>12</v>
      </c>
      <c r="N56" s="4">
        <f>4*(('01_WHOQOL_Items'!AW56 + '01_WHOQOL_Items'!AX56 + '01_WHOQOL_Items'!AY56)/3)</f>
        <v>14.666666666666666</v>
      </c>
      <c r="O56" s="4">
        <f t="shared" si="6"/>
        <v>50</v>
      </c>
      <c r="P56" s="4">
        <f t="shared" si="7"/>
        <v>66.666666666666657</v>
      </c>
      <c r="Q56" s="5">
        <f t="shared" si="8"/>
        <v>0.33333333333333315</v>
      </c>
      <c r="R56" s="4">
        <f>4*(('01_WHOQOL_Items'!K56 + '01_WHOQOL_Items'!L56 + '01_WHOQOL_Items'!O56 + '01_WHOQOL_Items'!P56 + '01_WHOQOL_Items'!Q56 + '01_WHOQOL_Items'!Z56 + '01_WHOQOL_Items'!AA56 + '01_WHOQOL_Items'!AB56)/8)</f>
        <v>13</v>
      </c>
      <c r="S56" s="4">
        <f>4*(('01_WHOQOL_Items'!AK56 + '01_WHOQOL_Items'!AL56 + '01_WHOQOL_Items'!AO56 + '01_WHOQOL_Items'!AP56 + '01_WHOQOL_Items'!AQ56 + '01_WHOQOL_Items'!AZ56 + '01_WHOQOL_Items'!BA56 + '01_WHOQOL_Items'!BB56)/8)</f>
        <v>12</v>
      </c>
      <c r="T56" s="4">
        <f t="shared" si="9"/>
        <v>56.25</v>
      </c>
      <c r="U56" s="4">
        <f t="shared" si="10"/>
        <v>50</v>
      </c>
      <c r="V56" s="5">
        <f t="shared" si="11"/>
        <v>-0.1111111111111111</v>
      </c>
      <c r="W56" s="4">
        <f t="shared" si="12"/>
        <v>57.06845238095238</v>
      </c>
      <c r="X56" s="4">
        <f t="shared" si="13"/>
        <v>64.88095238095238</v>
      </c>
      <c r="Y56" s="5">
        <f t="shared" si="14"/>
        <v>0.13689700130378096</v>
      </c>
      <c r="Z56" s="1">
        <f>'01_WHOQOL_Items'!D56</f>
        <v>4</v>
      </c>
      <c r="AA56" s="1">
        <f>'01_WHOQOL_Items'!AD56</f>
        <v>4</v>
      </c>
      <c r="AB56" s="1">
        <f>'01_WHOQOL_Items'!E56</f>
        <v>3</v>
      </c>
      <c r="AC56" s="1">
        <f>'01_WHOQOL_Items'!AE56</f>
        <v>4</v>
      </c>
    </row>
    <row r="57" spans="1:29">
      <c r="A57" s="1" t="str">
        <f>'01_WHOQOL_Items'!A57</f>
        <v>EXP-056</v>
      </c>
      <c r="B57" s="1" t="str">
        <f>'01_WHOQOL_Items'!B57</f>
        <v>Experimental</v>
      </c>
      <c r="C57" s="4">
        <f>4*(((6-'01_WHOQOL_Items'!F57) + (6-'01_WHOQOL_Items'!G57) + '01_WHOQOL_Items'!M57 + '01_WHOQOL_Items'!R57 + '01_WHOQOL_Items'!S57 + '01_WHOQOL_Items'!T57 + '01_WHOQOL_Items'!U57)/7)</f>
        <v>11.428571428571429</v>
      </c>
      <c r="D57" s="4">
        <f>4*(((6-'01_WHOQOL_Items'!AF57) + (6-'01_WHOQOL_Items'!AG57) + '01_WHOQOL_Items'!AM57 + '01_WHOQOL_Items'!AR57 + '01_WHOQOL_Items'!AS57 + '01_WHOQOL_Items'!AT57 + '01_WHOQOL_Items'!AU57)/7)</f>
        <v>9.1428571428571423</v>
      </c>
      <c r="E57" s="4">
        <f t="shared" si="0"/>
        <v>46.428571428571431</v>
      </c>
      <c r="F57" s="4">
        <f t="shared" si="1"/>
        <v>32.142857142857139</v>
      </c>
      <c r="G57" s="5">
        <f t="shared" si="2"/>
        <v>-0.30769230769230782</v>
      </c>
      <c r="H57" s="4">
        <f>4*(('01_WHOQOL_Items'!H57 + '01_WHOQOL_Items'!I57 + '01_WHOQOL_Items'!J57 + '01_WHOQOL_Items'!N57 + '01_WHOQOL_Items'!V57 + (6-'01_WHOQOL_Items'!AC57))/6)</f>
        <v>8.6666666666666661</v>
      </c>
      <c r="I57" s="4">
        <f>4*(('01_WHOQOL_Items'!AH57 + '01_WHOQOL_Items'!AI57 + '01_WHOQOL_Items'!AJ57 + '01_WHOQOL_Items'!AN57 + '01_WHOQOL_Items'!AV57 + (6-'01_WHOQOL_Items'!BC57))/6)</f>
        <v>12.666666666666666</v>
      </c>
      <c r="J57" s="4">
        <f t="shared" si="3"/>
        <v>29.166666666666664</v>
      </c>
      <c r="K57" s="4">
        <f t="shared" si="4"/>
        <v>54.166666666666664</v>
      </c>
      <c r="L57" s="5">
        <f t="shared" si="5"/>
        <v>0.85714285714285721</v>
      </c>
      <c r="M57" s="4">
        <f>4*(('01_WHOQOL_Items'!W57 + '01_WHOQOL_Items'!X57 + '01_WHOQOL_Items'!Y57)/3)</f>
        <v>9.3333333333333339</v>
      </c>
      <c r="N57" s="4">
        <f>4*(('01_WHOQOL_Items'!AW57 + '01_WHOQOL_Items'!AX57 + '01_WHOQOL_Items'!AY57)/3)</f>
        <v>14.666666666666666</v>
      </c>
      <c r="O57" s="4">
        <f t="shared" si="6"/>
        <v>33.333333333333336</v>
      </c>
      <c r="P57" s="4">
        <f t="shared" si="7"/>
        <v>66.666666666666657</v>
      </c>
      <c r="Q57" s="5">
        <f t="shared" si="8"/>
        <v>0.99999999999999956</v>
      </c>
      <c r="R57" s="4">
        <f>4*(('01_WHOQOL_Items'!K57 + '01_WHOQOL_Items'!L57 + '01_WHOQOL_Items'!O57 + '01_WHOQOL_Items'!P57 + '01_WHOQOL_Items'!Q57 + '01_WHOQOL_Items'!Z57 + '01_WHOQOL_Items'!AA57 + '01_WHOQOL_Items'!AB57)/8)</f>
        <v>13.5</v>
      </c>
      <c r="S57" s="4">
        <f>4*(('01_WHOQOL_Items'!AK57 + '01_WHOQOL_Items'!AL57 + '01_WHOQOL_Items'!AO57 + '01_WHOQOL_Items'!AP57 + '01_WHOQOL_Items'!AQ57 + '01_WHOQOL_Items'!AZ57 + '01_WHOQOL_Items'!BA57 + '01_WHOQOL_Items'!BB57)/8)</f>
        <v>13</v>
      </c>
      <c r="T57" s="4">
        <f t="shared" si="9"/>
        <v>59.375</v>
      </c>
      <c r="U57" s="4">
        <f t="shared" si="10"/>
        <v>56.25</v>
      </c>
      <c r="V57" s="5">
        <f t="shared" si="11"/>
        <v>-5.2631578947368418E-2</v>
      </c>
      <c r="W57" s="4">
        <f t="shared" si="12"/>
        <v>42.075892857142861</v>
      </c>
      <c r="X57" s="4">
        <f t="shared" si="13"/>
        <v>52.306547619047613</v>
      </c>
      <c r="Y57" s="5">
        <f t="shared" si="14"/>
        <v>0.24314765694076013</v>
      </c>
      <c r="Z57" s="1">
        <f>'01_WHOQOL_Items'!D57</f>
        <v>3</v>
      </c>
      <c r="AA57" s="1">
        <f>'01_WHOQOL_Items'!AD57</f>
        <v>3</v>
      </c>
      <c r="AB57" s="1">
        <f>'01_WHOQOL_Items'!E57</f>
        <v>3</v>
      </c>
      <c r="AC57" s="1">
        <f>'01_WHOQOL_Items'!AE57</f>
        <v>2</v>
      </c>
    </row>
    <row r="58" spans="1:29">
      <c r="A58" s="1" t="str">
        <f>'01_WHOQOL_Items'!A58</f>
        <v>EXP-057</v>
      </c>
      <c r="B58" s="1" t="str">
        <f>'01_WHOQOL_Items'!B58</f>
        <v>Experimental</v>
      </c>
      <c r="C58" s="4">
        <f>4*(((6-'01_WHOQOL_Items'!F58) + (6-'01_WHOQOL_Items'!G58) + '01_WHOQOL_Items'!M58 + '01_WHOQOL_Items'!R58 + '01_WHOQOL_Items'!S58 + '01_WHOQOL_Items'!T58 + '01_WHOQOL_Items'!U58)/7)</f>
        <v>11.428571428571429</v>
      </c>
      <c r="D58" s="4">
        <f>4*(((6-'01_WHOQOL_Items'!AF58) + (6-'01_WHOQOL_Items'!AG58) + '01_WHOQOL_Items'!AM58 + '01_WHOQOL_Items'!AR58 + '01_WHOQOL_Items'!AS58 + '01_WHOQOL_Items'!AT58 + '01_WHOQOL_Items'!AU58)/7)</f>
        <v>13.714285714285714</v>
      </c>
      <c r="E58" s="4">
        <f t="shared" si="0"/>
        <v>46.428571428571431</v>
      </c>
      <c r="F58" s="4">
        <f t="shared" si="1"/>
        <v>60.714285714285708</v>
      </c>
      <c r="G58" s="5">
        <f t="shared" si="2"/>
        <v>0.30769230769230749</v>
      </c>
      <c r="H58" s="4">
        <f>4*(('01_WHOQOL_Items'!H58 + '01_WHOQOL_Items'!I58 + '01_WHOQOL_Items'!J58 + '01_WHOQOL_Items'!N58 + '01_WHOQOL_Items'!V58 + (6-'01_WHOQOL_Items'!AC58))/6)</f>
        <v>12.666666666666666</v>
      </c>
      <c r="I58" s="4">
        <f>4*(('01_WHOQOL_Items'!AH58 + '01_WHOQOL_Items'!AI58 + '01_WHOQOL_Items'!AJ58 + '01_WHOQOL_Items'!AN58 + '01_WHOQOL_Items'!AV58 + (6-'01_WHOQOL_Items'!BC58))/6)</f>
        <v>14</v>
      </c>
      <c r="J58" s="4">
        <f t="shared" si="3"/>
        <v>54.166666666666664</v>
      </c>
      <c r="K58" s="4">
        <f t="shared" si="4"/>
        <v>62.5</v>
      </c>
      <c r="L58" s="5">
        <f t="shared" si="5"/>
        <v>0.15384615384615391</v>
      </c>
      <c r="M58" s="4">
        <f>4*(('01_WHOQOL_Items'!W58 + '01_WHOQOL_Items'!X58 + '01_WHOQOL_Items'!Y58)/3)</f>
        <v>12</v>
      </c>
      <c r="N58" s="4">
        <f>4*(('01_WHOQOL_Items'!AW58 + '01_WHOQOL_Items'!AX58 + '01_WHOQOL_Items'!AY58)/3)</f>
        <v>16</v>
      </c>
      <c r="O58" s="4">
        <f t="shared" si="6"/>
        <v>50</v>
      </c>
      <c r="P58" s="4">
        <f t="shared" si="7"/>
        <v>75</v>
      </c>
      <c r="Q58" s="5">
        <f t="shared" si="8"/>
        <v>0.5</v>
      </c>
      <c r="R58" s="4">
        <f>4*(('01_WHOQOL_Items'!K58 + '01_WHOQOL_Items'!L58 + '01_WHOQOL_Items'!O58 + '01_WHOQOL_Items'!P58 + '01_WHOQOL_Items'!Q58 + '01_WHOQOL_Items'!Z58 + '01_WHOQOL_Items'!AA58 + '01_WHOQOL_Items'!AB58)/8)</f>
        <v>15.5</v>
      </c>
      <c r="S58" s="4">
        <f>4*(('01_WHOQOL_Items'!AK58 + '01_WHOQOL_Items'!AL58 + '01_WHOQOL_Items'!AO58 + '01_WHOQOL_Items'!AP58 + '01_WHOQOL_Items'!AQ58 + '01_WHOQOL_Items'!AZ58 + '01_WHOQOL_Items'!BA58 + '01_WHOQOL_Items'!BB58)/8)</f>
        <v>17</v>
      </c>
      <c r="T58" s="4">
        <f t="shared" si="9"/>
        <v>71.875</v>
      </c>
      <c r="U58" s="4">
        <f t="shared" si="10"/>
        <v>81.25</v>
      </c>
      <c r="V58" s="5">
        <f t="shared" si="11"/>
        <v>0.13043478260869565</v>
      </c>
      <c r="W58" s="4">
        <f t="shared" si="12"/>
        <v>55.617559523809526</v>
      </c>
      <c r="X58" s="4">
        <f t="shared" si="13"/>
        <v>69.866071428571431</v>
      </c>
      <c r="Y58" s="5">
        <f t="shared" si="14"/>
        <v>0.25618729096989967</v>
      </c>
      <c r="Z58" s="1">
        <f>'01_WHOQOL_Items'!D58</f>
        <v>3</v>
      </c>
      <c r="AA58" s="1">
        <f>'01_WHOQOL_Items'!AD58</f>
        <v>4</v>
      </c>
      <c r="AB58" s="1">
        <f>'01_WHOQOL_Items'!E58</f>
        <v>4</v>
      </c>
      <c r="AC58" s="1">
        <f>'01_WHOQOL_Items'!AE58</f>
        <v>3</v>
      </c>
    </row>
    <row r="59" spans="1:29">
      <c r="A59" s="1" t="str">
        <f>'01_WHOQOL_Items'!A59</f>
        <v>EXP-058</v>
      </c>
      <c r="B59" s="1" t="str">
        <f>'01_WHOQOL_Items'!B59</f>
        <v>Experimental</v>
      </c>
      <c r="C59" s="4">
        <f>4*(((6-'01_WHOQOL_Items'!F59) + (6-'01_WHOQOL_Items'!G59) + '01_WHOQOL_Items'!M59 + '01_WHOQOL_Items'!R59 + '01_WHOQOL_Items'!S59 + '01_WHOQOL_Items'!T59 + '01_WHOQOL_Items'!U59)/7)</f>
        <v>15.428571428571429</v>
      </c>
      <c r="D59" s="4">
        <f>4*(((6-'01_WHOQOL_Items'!AF59) + (6-'01_WHOQOL_Items'!AG59) + '01_WHOQOL_Items'!AM59 + '01_WHOQOL_Items'!AR59 + '01_WHOQOL_Items'!AS59 + '01_WHOQOL_Items'!AT59 + '01_WHOQOL_Items'!AU59)/7)</f>
        <v>14.857142857142858</v>
      </c>
      <c r="E59" s="4">
        <f t="shared" si="0"/>
        <v>71.428571428571431</v>
      </c>
      <c r="F59" s="4">
        <f t="shared" si="1"/>
        <v>67.857142857142861</v>
      </c>
      <c r="G59" s="5">
        <f t="shared" si="2"/>
        <v>-4.9999999999999968E-2</v>
      </c>
      <c r="H59" s="4">
        <f>4*(('01_WHOQOL_Items'!H59 + '01_WHOQOL_Items'!I59 + '01_WHOQOL_Items'!J59 + '01_WHOQOL_Items'!N59 + '01_WHOQOL_Items'!V59 + (6-'01_WHOQOL_Items'!AC59))/6)</f>
        <v>9.3333333333333339</v>
      </c>
      <c r="I59" s="4">
        <f>4*(('01_WHOQOL_Items'!AH59 + '01_WHOQOL_Items'!AI59 + '01_WHOQOL_Items'!AJ59 + '01_WHOQOL_Items'!AN59 + '01_WHOQOL_Items'!AV59 + (6-'01_WHOQOL_Items'!BC59))/6)</f>
        <v>11.333333333333334</v>
      </c>
      <c r="J59" s="4">
        <f t="shared" si="3"/>
        <v>33.333333333333336</v>
      </c>
      <c r="K59" s="4">
        <f t="shared" si="4"/>
        <v>45.833333333333336</v>
      </c>
      <c r="L59" s="5">
        <f t="shared" si="5"/>
        <v>0.375</v>
      </c>
      <c r="M59" s="4">
        <f>4*(('01_WHOQOL_Items'!W59 + '01_WHOQOL_Items'!X59 + '01_WHOQOL_Items'!Y59)/3)</f>
        <v>14.666666666666666</v>
      </c>
      <c r="N59" s="4">
        <f>4*(('01_WHOQOL_Items'!AW59 + '01_WHOQOL_Items'!AX59 + '01_WHOQOL_Items'!AY59)/3)</f>
        <v>16</v>
      </c>
      <c r="O59" s="4">
        <f t="shared" si="6"/>
        <v>66.666666666666657</v>
      </c>
      <c r="P59" s="4">
        <f t="shared" si="7"/>
        <v>75</v>
      </c>
      <c r="Q59" s="5">
        <f t="shared" si="8"/>
        <v>0.12500000000000017</v>
      </c>
      <c r="R59" s="4">
        <f>4*(('01_WHOQOL_Items'!K59 + '01_WHOQOL_Items'!L59 + '01_WHOQOL_Items'!O59 + '01_WHOQOL_Items'!P59 + '01_WHOQOL_Items'!Q59 + '01_WHOQOL_Items'!Z59 + '01_WHOQOL_Items'!AA59 + '01_WHOQOL_Items'!AB59)/8)</f>
        <v>14</v>
      </c>
      <c r="S59" s="4">
        <f>4*(('01_WHOQOL_Items'!AK59 + '01_WHOQOL_Items'!AL59 + '01_WHOQOL_Items'!AO59 + '01_WHOQOL_Items'!AP59 + '01_WHOQOL_Items'!AQ59 + '01_WHOQOL_Items'!AZ59 + '01_WHOQOL_Items'!BA59 + '01_WHOQOL_Items'!BB59)/8)</f>
        <v>15</v>
      </c>
      <c r="T59" s="4">
        <f t="shared" si="9"/>
        <v>62.5</v>
      </c>
      <c r="U59" s="4">
        <f t="shared" si="10"/>
        <v>68.75</v>
      </c>
      <c r="V59" s="5">
        <f t="shared" si="11"/>
        <v>0.1</v>
      </c>
      <c r="W59" s="4">
        <f t="shared" si="12"/>
        <v>58.482142857142854</v>
      </c>
      <c r="X59" s="4">
        <f t="shared" si="13"/>
        <v>64.360119047619051</v>
      </c>
      <c r="Y59" s="5">
        <f t="shared" si="14"/>
        <v>0.10050890585241742</v>
      </c>
      <c r="Z59" s="1">
        <f>'01_WHOQOL_Items'!D59</f>
        <v>4</v>
      </c>
      <c r="AA59" s="1">
        <f>'01_WHOQOL_Items'!AD59</f>
        <v>4</v>
      </c>
      <c r="AB59" s="1">
        <f>'01_WHOQOL_Items'!E59</f>
        <v>4</v>
      </c>
      <c r="AC59" s="1">
        <f>'01_WHOQOL_Items'!AE59</f>
        <v>4</v>
      </c>
    </row>
    <row r="60" spans="1:29">
      <c r="A60" s="1" t="str">
        <f>'01_WHOQOL_Items'!A60</f>
        <v>EXP-059</v>
      </c>
      <c r="B60" s="1" t="str">
        <f>'01_WHOQOL_Items'!B60</f>
        <v>Experimental</v>
      </c>
      <c r="C60" s="4">
        <f>4*(((6-'01_WHOQOL_Items'!F60) + (6-'01_WHOQOL_Items'!G60) + '01_WHOQOL_Items'!M60 + '01_WHOQOL_Items'!R60 + '01_WHOQOL_Items'!S60 + '01_WHOQOL_Items'!T60 + '01_WHOQOL_Items'!U60)/7)</f>
        <v>13.714285714285714</v>
      </c>
      <c r="D60" s="4">
        <f>4*(((6-'01_WHOQOL_Items'!AF60) + (6-'01_WHOQOL_Items'!AG60) + '01_WHOQOL_Items'!AM60 + '01_WHOQOL_Items'!AR60 + '01_WHOQOL_Items'!AS60 + '01_WHOQOL_Items'!AT60 + '01_WHOQOL_Items'!AU60)/7)</f>
        <v>13.142857142857142</v>
      </c>
      <c r="E60" s="4">
        <f t="shared" si="0"/>
        <v>60.714285714285708</v>
      </c>
      <c r="F60" s="4">
        <f t="shared" si="1"/>
        <v>57.142857142857139</v>
      </c>
      <c r="G60" s="5">
        <f t="shared" si="2"/>
        <v>-5.8823529411764677E-2</v>
      </c>
      <c r="H60" s="4">
        <f>4*(('01_WHOQOL_Items'!H60 + '01_WHOQOL_Items'!I60 + '01_WHOQOL_Items'!J60 + '01_WHOQOL_Items'!N60 + '01_WHOQOL_Items'!V60 + (6-'01_WHOQOL_Items'!AC60))/6)</f>
        <v>12</v>
      </c>
      <c r="I60" s="4">
        <f>4*(('01_WHOQOL_Items'!AH60 + '01_WHOQOL_Items'!AI60 + '01_WHOQOL_Items'!AJ60 + '01_WHOQOL_Items'!AN60 + '01_WHOQOL_Items'!AV60 + (6-'01_WHOQOL_Items'!BC60))/6)</f>
        <v>12</v>
      </c>
      <c r="J60" s="4">
        <f t="shared" si="3"/>
        <v>50</v>
      </c>
      <c r="K60" s="4">
        <f t="shared" si="4"/>
        <v>50</v>
      </c>
      <c r="L60" s="5">
        <f t="shared" si="5"/>
        <v>0</v>
      </c>
      <c r="M60" s="4">
        <f>4*(('01_WHOQOL_Items'!W60 + '01_WHOQOL_Items'!X60 + '01_WHOQOL_Items'!Y60)/3)</f>
        <v>12</v>
      </c>
      <c r="N60" s="4">
        <f>4*(('01_WHOQOL_Items'!AW60 + '01_WHOQOL_Items'!AX60 + '01_WHOQOL_Items'!AY60)/3)</f>
        <v>12</v>
      </c>
      <c r="O60" s="4">
        <f t="shared" si="6"/>
        <v>50</v>
      </c>
      <c r="P60" s="4">
        <f t="shared" si="7"/>
        <v>50</v>
      </c>
      <c r="Q60" s="5">
        <f t="shared" si="8"/>
        <v>0</v>
      </c>
      <c r="R60" s="4">
        <f>4*(('01_WHOQOL_Items'!K60 + '01_WHOQOL_Items'!L60 + '01_WHOQOL_Items'!O60 + '01_WHOQOL_Items'!P60 + '01_WHOQOL_Items'!Q60 + '01_WHOQOL_Items'!Z60 + '01_WHOQOL_Items'!AA60 + '01_WHOQOL_Items'!AB60)/8)</f>
        <v>12.5</v>
      </c>
      <c r="S60" s="4">
        <f>4*(('01_WHOQOL_Items'!AK60 + '01_WHOQOL_Items'!AL60 + '01_WHOQOL_Items'!AO60 + '01_WHOQOL_Items'!AP60 + '01_WHOQOL_Items'!AQ60 + '01_WHOQOL_Items'!AZ60 + '01_WHOQOL_Items'!BA60 + '01_WHOQOL_Items'!BB60)/8)</f>
        <v>12.5</v>
      </c>
      <c r="T60" s="4">
        <f t="shared" si="9"/>
        <v>53.125</v>
      </c>
      <c r="U60" s="4">
        <f t="shared" si="10"/>
        <v>53.125</v>
      </c>
      <c r="V60" s="5">
        <f t="shared" si="11"/>
        <v>0</v>
      </c>
      <c r="W60" s="4">
        <f t="shared" si="12"/>
        <v>53.459821428571431</v>
      </c>
      <c r="X60" s="4">
        <f t="shared" si="13"/>
        <v>52.566964285714285</v>
      </c>
      <c r="Y60" s="5">
        <f t="shared" si="14"/>
        <v>-1.6701461377870621E-2</v>
      </c>
      <c r="Z60" s="1">
        <f>'01_WHOQOL_Items'!D60</f>
        <v>3</v>
      </c>
      <c r="AA60" s="1">
        <f>'01_WHOQOL_Items'!AD60</f>
        <v>3</v>
      </c>
      <c r="AB60" s="1">
        <f>'01_WHOQOL_Items'!E60</f>
        <v>3</v>
      </c>
      <c r="AC60" s="1">
        <f>'01_WHOQOL_Items'!AE60</f>
        <v>3</v>
      </c>
    </row>
    <row r="61" spans="1:29">
      <c r="A61" s="1" t="str">
        <f>'01_WHOQOL_Items'!A61</f>
        <v>EXP-060</v>
      </c>
      <c r="B61" s="1" t="str">
        <f>'01_WHOQOL_Items'!B61</f>
        <v>Experimental</v>
      </c>
      <c r="C61" s="4">
        <f>4*(((6-'01_WHOQOL_Items'!F61) + (6-'01_WHOQOL_Items'!G61) + '01_WHOQOL_Items'!M61 + '01_WHOQOL_Items'!R61 + '01_WHOQOL_Items'!S61 + '01_WHOQOL_Items'!T61 + '01_WHOQOL_Items'!U61)/7)</f>
        <v>13.142857142857142</v>
      </c>
      <c r="D61" s="4">
        <f>4*(((6-'01_WHOQOL_Items'!AF61) + (6-'01_WHOQOL_Items'!AG61) + '01_WHOQOL_Items'!AM61 + '01_WHOQOL_Items'!AR61 + '01_WHOQOL_Items'!AS61 + '01_WHOQOL_Items'!AT61 + '01_WHOQOL_Items'!AU61)/7)</f>
        <v>13.714285714285714</v>
      </c>
      <c r="E61" s="4">
        <f t="shared" si="0"/>
        <v>57.142857142857139</v>
      </c>
      <c r="F61" s="4">
        <f t="shared" si="1"/>
        <v>60.714285714285708</v>
      </c>
      <c r="G61" s="5">
        <f t="shared" si="2"/>
        <v>6.2499999999999972E-2</v>
      </c>
      <c r="H61" s="4">
        <f>4*(('01_WHOQOL_Items'!H61 + '01_WHOQOL_Items'!I61 + '01_WHOQOL_Items'!J61 + '01_WHOQOL_Items'!N61 + '01_WHOQOL_Items'!V61 + (6-'01_WHOQOL_Items'!AC61))/6)</f>
        <v>9.3333333333333339</v>
      </c>
      <c r="I61" s="4">
        <f>4*(('01_WHOQOL_Items'!AH61 + '01_WHOQOL_Items'!AI61 + '01_WHOQOL_Items'!AJ61 + '01_WHOQOL_Items'!AN61 + '01_WHOQOL_Items'!AV61 + (6-'01_WHOQOL_Items'!BC61))/6)</f>
        <v>12</v>
      </c>
      <c r="J61" s="4">
        <f t="shared" si="3"/>
        <v>33.333333333333336</v>
      </c>
      <c r="K61" s="4">
        <f t="shared" si="4"/>
        <v>50</v>
      </c>
      <c r="L61" s="5">
        <f t="shared" si="5"/>
        <v>0.49999999999999989</v>
      </c>
      <c r="M61" s="4">
        <f>4*(('01_WHOQOL_Items'!W61 + '01_WHOQOL_Items'!X61 + '01_WHOQOL_Items'!Y61)/3)</f>
        <v>9.3333333333333339</v>
      </c>
      <c r="N61" s="4">
        <f>4*(('01_WHOQOL_Items'!AW61 + '01_WHOQOL_Items'!AX61 + '01_WHOQOL_Items'!AY61)/3)</f>
        <v>13.333333333333334</v>
      </c>
      <c r="O61" s="4">
        <f t="shared" si="6"/>
        <v>33.333333333333336</v>
      </c>
      <c r="P61" s="4">
        <f t="shared" si="7"/>
        <v>58.333333333333336</v>
      </c>
      <c r="Q61" s="5">
        <f t="shared" si="8"/>
        <v>0.75</v>
      </c>
      <c r="R61" s="4">
        <f>4*(('01_WHOQOL_Items'!K61 + '01_WHOQOL_Items'!L61 + '01_WHOQOL_Items'!O61 + '01_WHOQOL_Items'!P61 + '01_WHOQOL_Items'!Q61 + '01_WHOQOL_Items'!Z61 + '01_WHOQOL_Items'!AA61 + '01_WHOQOL_Items'!AB61)/8)</f>
        <v>10</v>
      </c>
      <c r="S61" s="4">
        <f>4*(('01_WHOQOL_Items'!AK61 + '01_WHOQOL_Items'!AL61 + '01_WHOQOL_Items'!AO61 + '01_WHOQOL_Items'!AP61 + '01_WHOQOL_Items'!AQ61 + '01_WHOQOL_Items'!AZ61 + '01_WHOQOL_Items'!BA61 + '01_WHOQOL_Items'!BB61)/8)</f>
        <v>12</v>
      </c>
      <c r="T61" s="4">
        <f t="shared" si="9"/>
        <v>37.5</v>
      </c>
      <c r="U61" s="4">
        <f t="shared" si="10"/>
        <v>50</v>
      </c>
      <c r="V61" s="5">
        <f t="shared" si="11"/>
        <v>0.33333333333333331</v>
      </c>
      <c r="W61" s="4">
        <f t="shared" si="12"/>
        <v>40.327380952380956</v>
      </c>
      <c r="X61" s="4">
        <f t="shared" si="13"/>
        <v>54.761904761904759</v>
      </c>
      <c r="Y61" s="5">
        <f t="shared" si="14"/>
        <v>0.35793357933579317</v>
      </c>
      <c r="Z61" s="1">
        <f>'01_WHOQOL_Items'!D61</f>
        <v>3</v>
      </c>
      <c r="AA61" s="1">
        <f>'01_WHOQOL_Items'!AD61</f>
        <v>3</v>
      </c>
      <c r="AB61" s="1">
        <f>'01_WHOQOL_Items'!E61</f>
        <v>2</v>
      </c>
      <c r="AC61" s="1">
        <f>'01_WHOQOL_Items'!AE61</f>
        <v>4</v>
      </c>
    </row>
    <row r="62" spans="1:29">
      <c r="A62" s="1" t="str">
        <f>'01_WHOQOL_Items'!A62</f>
        <v>EXP-061</v>
      </c>
      <c r="B62" s="1" t="str">
        <f>'01_WHOQOL_Items'!B62</f>
        <v>Experimental</v>
      </c>
      <c r="C62" s="4">
        <f>4*(((6-'01_WHOQOL_Items'!F62) + (6-'01_WHOQOL_Items'!G62) + '01_WHOQOL_Items'!M62 + '01_WHOQOL_Items'!R62 + '01_WHOQOL_Items'!S62 + '01_WHOQOL_Items'!T62 + '01_WHOQOL_Items'!U62)/7)</f>
        <v>8.5714285714285712</v>
      </c>
      <c r="D62" s="4">
        <f>4*(((6-'01_WHOQOL_Items'!AF62) + (6-'01_WHOQOL_Items'!AG62) + '01_WHOQOL_Items'!AM62 + '01_WHOQOL_Items'!AR62 + '01_WHOQOL_Items'!AS62 + '01_WHOQOL_Items'!AT62 + '01_WHOQOL_Items'!AU62)/7)</f>
        <v>13.714285714285714</v>
      </c>
      <c r="E62" s="4">
        <f t="shared" si="0"/>
        <v>28.571428571428569</v>
      </c>
      <c r="F62" s="4">
        <f t="shared" si="1"/>
        <v>60.714285714285708</v>
      </c>
      <c r="G62" s="5">
        <f t="shared" si="2"/>
        <v>1.125</v>
      </c>
      <c r="H62" s="4">
        <f>4*(('01_WHOQOL_Items'!H62 + '01_WHOQOL_Items'!I62 + '01_WHOQOL_Items'!J62 + '01_WHOQOL_Items'!N62 + '01_WHOQOL_Items'!V62 + (6-'01_WHOQOL_Items'!AC62))/6)</f>
        <v>9.3333333333333339</v>
      </c>
      <c r="I62" s="4">
        <f>4*(('01_WHOQOL_Items'!AH62 + '01_WHOQOL_Items'!AI62 + '01_WHOQOL_Items'!AJ62 + '01_WHOQOL_Items'!AN62 + '01_WHOQOL_Items'!AV62 + (6-'01_WHOQOL_Items'!BC62))/6)</f>
        <v>9.3333333333333339</v>
      </c>
      <c r="J62" s="4">
        <f t="shared" si="3"/>
        <v>33.333333333333336</v>
      </c>
      <c r="K62" s="4">
        <f t="shared" si="4"/>
        <v>33.333333333333336</v>
      </c>
      <c r="L62" s="5">
        <f t="shared" si="5"/>
        <v>0</v>
      </c>
      <c r="M62" s="4">
        <f>4*(('01_WHOQOL_Items'!W62 + '01_WHOQOL_Items'!X62 + '01_WHOQOL_Items'!Y62)/3)</f>
        <v>12</v>
      </c>
      <c r="N62" s="4">
        <f>4*(('01_WHOQOL_Items'!AW62 + '01_WHOQOL_Items'!AX62 + '01_WHOQOL_Items'!AY62)/3)</f>
        <v>12</v>
      </c>
      <c r="O62" s="4">
        <f t="shared" si="6"/>
        <v>50</v>
      </c>
      <c r="P62" s="4">
        <f t="shared" si="7"/>
        <v>50</v>
      </c>
      <c r="Q62" s="5">
        <f t="shared" si="8"/>
        <v>0</v>
      </c>
      <c r="R62" s="4">
        <f>4*(('01_WHOQOL_Items'!K62 + '01_WHOQOL_Items'!L62 + '01_WHOQOL_Items'!O62 + '01_WHOQOL_Items'!P62 + '01_WHOQOL_Items'!Q62 + '01_WHOQOL_Items'!Z62 + '01_WHOQOL_Items'!AA62 + '01_WHOQOL_Items'!AB62)/8)</f>
        <v>12</v>
      </c>
      <c r="S62" s="4">
        <f>4*(('01_WHOQOL_Items'!AK62 + '01_WHOQOL_Items'!AL62 + '01_WHOQOL_Items'!AO62 + '01_WHOQOL_Items'!AP62 + '01_WHOQOL_Items'!AQ62 + '01_WHOQOL_Items'!AZ62 + '01_WHOQOL_Items'!BA62 + '01_WHOQOL_Items'!BB62)/8)</f>
        <v>11</v>
      </c>
      <c r="T62" s="4">
        <f t="shared" si="9"/>
        <v>50</v>
      </c>
      <c r="U62" s="4">
        <f t="shared" si="10"/>
        <v>43.75</v>
      </c>
      <c r="V62" s="5">
        <f t="shared" si="11"/>
        <v>-0.125</v>
      </c>
      <c r="W62" s="4">
        <f t="shared" si="12"/>
        <v>40.476190476190474</v>
      </c>
      <c r="X62" s="4">
        <f t="shared" si="13"/>
        <v>46.949404761904759</v>
      </c>
      <c r="Y62" s="5">
        <f t="shared" si="14"/>
        <v>0.15992647058823528</v>
      </c>
      <c r="Z62" s="1">
        <f>'01_WHOQOL_Items'!D62</f>
        <v>2</v>
      </c>
      <c r="AA62" s="1">
        <f>'01_WHOQOL_Items'!AD62</f>
        <v>3</v>
      </c>
      <c r="AB62" s="1">
        <f>'01_WHOQOL_Items'!E62</f>
        <v>2</v>
      </c>
      <c r="AC62" s="1">
        <f>'01_WHOQOL_Items'!AE62</f>
        <v>3</v>
      </c>
    </row>
    <row r="63" spans="1:29">
      <c r="A63" s="1" t="str">
        <f>'01_WHOQOL_Items'!A63</f>
        <v>EXP-062</v>
      </c>
      <c r="B63" s="1" t="str">
        <f>'01_WHOQOL_Items'!B63</f>
        <v>Experimental</v>
      </c>
      <c r="C63" s="4">
        <f>4*(((6-'01_WHOQOL_Items'!F63) + (6-'01_WHOQOL_Items'!G63) + '01_WHOQOL_Items'!M63 + '01_WHOQOL_Items'!R63 + '01_WHOQOL_Items'!S63 + '01_WHOQOL_Items'!T63 + '01_WHOQOL_Items'!U63)/7)</f>
        <v>14.857142857142858</v>
      </c>
      <c r="D63" s="4">
        <f>4*(((6-'01_WHOQOL_Items'!AF63) + (6-'01_WHOQOL_Items'!AG63) + '01_WHOQOL_Items'!AM63 + '01_WHOQOL_Items'!AR63 + '01_WHOQOL_Items'!AS63 + '01_WHOQOL_Items'!AT63 + '01_WHOQOL_Items'!AU63)/7)</f>
        <v>12.571428571428571</v>
      </c>
      <c r="E63" s="4">
        <f t="shared" si="0"/>
        <v>67.857142857142861</v>
      </c>
      <c r="F63" s="4">
        <f t="shared" si="1"/>
        <v>53.571428571428569</v>
      </c>
      <c r="G63" s="5">
        <f t="shared" si="2"/>
        <v>-0.21052631578947376</v>
      </c>
      <c r="H63" s="4">
        <f>4*(('01_WHOQOL_Items'!H63 + '01_WHOQOL_Items'!I63 + '01_WHOQOL_Items'!J63 + '01_WHOQOL_Items'!N63 + '01_WHOQOL_Items'!V63 + (6-'01_WHOQOL_Items'!AC63))/6)</f>
        <v>14</v>
      </c>
      <c r="I63" s="4">
        <f>4*(('01_WHOQOL_Items'!AH63 + '01_WHOQOL_Items'!AI63 + '01_WHOQOL_Items'!AJ63 + '01_WHOQOL_Items'!AN63 + '01_WHOQOL_Items'!AV63 + (6-'01_WHOQOL_Items'!BC63))/6)</f>
        <v>14</v>
      </c>
      <c r="J63" s="4">
        <f t="shared" si="3"/>
        <v>62.5</v>
      </c>
      <c r="K63" s="4">
        <f t="shared" si="4"/>
        <v>62.5</v>
      </c>
      <c r="L63" s="5">
        <f t="shared" si="5"/>
        <v>0</v>
      </c>
      <c r="M63" s="4">
        <f>4*(('01_WHOQOL_Items'!W63 + '01_WHOQOL_Items'!X63 + '01_WHOQOL_Items'!Y63)/3)</f>
        <v>8</v>
      </c>
      <c r="N63" s="4">
        <f>4*(('01_WHOQOL_Items'!AW63 + '01_WHOQOL_Items'!AX63 + '01_WHOQOL_Items'!AY63)/3)</f>
        <v>9.3333333333333339</v>
      </c>
      <c r="O63" s="4">
        <f t="shared" si="6"/>
        <v>25</v>
      </c>
      <c r="P63" s="4">
        <f t="shared" si="7"/>
        <v>33.333333333333336</v>
      </c>
      <c r="Q63" s="5">
        <f t="shared" si="8"/>
        <v>0.33333333333333343</v>
      </c>
      <c r="R63" s="4">
        <f>4*(('01_WHOQOL_Items'!K63 + '01_WHOQOL_Items'!L63 + '01_WHOQOL_Items'!O63 + '01_WHOQOL_Items'!P63 + '01_WHOQOL_Items'!Q63 + '01_WHOQOL_Items'!Z63 + '01_WHOQOL_Items'!AA63 + '01_WHOQOL_Items'!AB63)/8)</f>
        <v>10.5</v>
      </c>
      <c r="S63" s="4">
        <f>4*(('01_WHOQOL_Items'!AK63 + '01_WHOQOL_Items'!AL63 + '01_WHOQOL_Items'!AO63 + '01_WHOQOL_Items'!AP63 + '01_WHOQOL_Items'!AQ63 + '01_WHOQOL_Items'!AZ63 + '01_WHOQOL_Items'!BA63 + '01_WHOQOL_Items'!BB63)/8)</f>
        <v>12.5</v>
      </c>
      <c r="T63" s="4">
        <f t="shared" si="9"/>
        <v>40.625</v>
      </c>
      <c r="U63" s="4">
        <f t="shared" si="10"/>
        <v>53.125</v>
      </c>
      <c r="V63" s="5">
        <f t="shared" si="11"/>
        <v>0.30769230769230771</v>
      </c>
      <c r="W63" s="4">
        <f t="shared" si="12"/>
        <v>48.995535714285715</v>
      </c>
      <c r="X63" s="4">
        <f t="shared" si="13"/>
        <v>50.632440476190474</v>
      </c>
      <c r="Y63" s="5">
        <f t="shared" si="14"/>
        <v>3.3409263477600551E-2</v>
      </c>
      <c r="Z63" s="1">
        <f>'01_WHOQOL_Items'!D63</f>
        <v>3</v>
      </c>
      <c r="AA63" s="1">
        <f>'01_WHOQOL_Items'!AD63</f>
        <v>3</v>
      </c>
      <c r="AB63" s="1">
        <f>'01_WHOQOL_Items'!E63</f>
        <v>4</v>
      </c>
      <c r="AC63" s="1">
        <f>'01_WHOQOL_Items'!AE63</f>
        <v>3</v>
      </c>
    </row>
    <row r="64" spans="1:29">
      <c r="A64" s="1" t="str">
        <f>'01_WHOQOL_Items'!A64</f>
        <v>EXP-063</v>
      </c>
      <c r="B64" s="1" t="str">
        <f>'01_WHOQOL_Items'!B64</f>
        <v>Experimental</v>
      </c>
      <c r="C64" s="4">
        <f>4*(((6-'01_WHOQOL_Items'!F64) + (6-'01_WHOQOL_Items'!G64) + '01_WHOQOL_Items'!M64 + '01_WHOQOL_Items'!R64 + '01_WHOQOL_Items'!S64 + '01_WHOQOL_Items'!T64 + '01_WHOQOL_Items'!U64)/7)</f>
        <v>12</v>
      </c>
      <c r="D64" s="4">
        <f>4*(((6-'01_WHOQOL_Items'!AF64) + (6-'01_WHOQOL_Items'!AG64) + '01_WHOQOL_Items'!AM64 + '01_WHOQOL_Items'!AR64 + '01_WHOQOL_Items'!AS64 + '01_WHOQOL_Items'!AT64 + '01_WHOQOL_Items'!AU64)/7)</f>
        <v>12.571428571428571</v>
      </c>
      <c r="E64" s="4">
        <f t="shared" si="0"/>
        <v>50</v>
      </c>
      <c r="F64" s="4">
        <f t="shared" si="1"/>
        <v>53.571428571428569</v>
      </c>
      <c r="G64" s="5">
        <f t="shared" si="2"/>
        <v>7.1428571428571383E-2</v>
      </c>
      <c r="H64" s="4">
        <f>4*(('01_WHOQOL_Items'!H64 + '01_WHOQOL_Items'!I64 + '01_WHOQOL_Items'!J64 + '01_WHOQOL_Items'!N64 + '01_WHOQOL_Items'!V64 + (6-'01_WHOQOL_Items'!AC64))/6)</f>
        <v>11.333333333333334</v>
      </c>
      <c r="I64" s="4">
        <f>4*(('01_WHOQOL_Items'!AH64 + '01_WHOQOL_Items'!AI64 + '01_WHOQOL_Items'!AJ64 + '01_WHOQOL_Items'!AN64 + '01_WHOQOL_Items'!AV64 + (6-'01_WHOQOL_Items'!BC64))/6)</f>
        <v>14.666666666666666</v>
      </c>
      <c r="J64" s="4">
        <f t="shared" si="3"/>
        <v>45.833333333333336</v>
      </c>
      <c r="K64" s="4">
        <f t="shared" si="4"/>
        <v>66.666666666666657</v>
      </c>
      <c r="L64" s="5">
        <f t="shared" si="5"/>
        <v>0.45454545454545425</v>
      </c>
      <c r="M64" s="4">
        <f>4*(('01_WHOQOL_Items'!W64 + '01_WHOQOL_Items'!X64 + '01_WHOQOL_Items'!Y64)/3)</f>
        <v>12</v>
      </c>
      <c r="N64" s="4">
        <f>4*(('01_WHOQOL_Items'!AW64 + '01_WHOQOL_Items'!AX64 + '01_WHOQOL_Items'!AY64)/3)</f>
        <v>12</v>
      </c>
      <c r="O64" s="4">
        <f t="shared" si="6"/>
        <v>50</v>
      </c>
      <c r="P64" s="4">
        <f t="shared" si="7"/>
        <v>50</v>
      </c>
      <c r="Q64" s="5">
        <f t="shared" si="8"/>
        <v>0</v>
      </c>
      <c r="R64" s="4">
        <f>4*(('01_WHOQOL_Items'!K64 + '01_WHOQOL_Items'!L64 + '01_WHOQOL_Items'!O64 + '01_WHOQOL_Items'!P64 + '01_WHOQOL_Items'!Q64 + '01_WHOQOL_Items'!Z64 + '01_WHOQOL_Items'!AA64 + '01_WHOQOL_Items'!AB64)/8)</f>
        <v>14</v>
      </c>
      <c r="S64" s="4">
        <f>4*(('01_WHOQOL_Items'!AK64 + '01_WHOQOL_Items'!AL64 + '01_WHOQOL_Items'!AO64 + '01_WHOQOL_Items'!AP64 + '01_WHOQOL_Items'!AQ64 + '01_WHOQOL_Items'!AZ64 + '01_WHOQOL_Items'!BA64 + '01_WHOQOL_Items'!BB64)/8)</f>
        <v>16</v>
      </c>
      <c r="T64" s="4">
        <f t="shared" si="9"/>
        <v>62.5</v>
      </c>
      <c r="U64" s="4">
        <f t="shared" si="10"/>
        <v>75</v>
      </c>
      <c r="V64" s="5">
        <f t="shared" si="11"/>
        <v>0.2</v>
      </c>
      <c r="W64" s="4">
        <f t="shared" si="12"/>
        <v>52.083333333333336</v>
      </c>
      <c r="X64" s="4">
        <f t="shared" si="13"/>
        <v>61.30952380952381</v>
      </c>
      <c r="Y64" s="5">
        <f t="shared" si="14"/>
        <v>0.1771428571428571</v>
      </c>
      <c r="Z64" s="1">
        <f>'01_WHOQOL_Items'!D64</f>
        <v>3</v>
      </c>
      <c r="AA64" s="1">
        <f>'01_WHOQOL_Items'!AD64</f>
        <v>4</v>
      </c>
      <c r="AB64" s="1">
        <f>'01_WHOQOL_Items'!E64</f>
        <v>3</v>
      </c>
      <c r="AC64" s="1">
        <f>'01_WHOQOL_Items'!AE64</f>
        <v>3</v>
      </c>
    </row>
    <row r="65" spans="1:29">
      <c r="A65" s="1" t="str">
        <f>'01_WHOQOL_Items'!A65</f>
        <v>EXP-064</v>
      </c>
      <c r="B65" s="1" t="str">
        <f>'01_WHOQOL_Items'!B65</f>
        <v>Experimental</v>
      </c>
      <c r="C65" s="4">
        <f>4*(((6-'01_WHOQOL_Items'!F65) + (6-'01_WHOQOL_Items'!G65) + '01_WHOQOL_Items'!M65 + '01_WHOQOL_Items'!R65 + '01_WHOQOL_Items'!S65 + '01_WHOQOL_Items'!T65 + '01_WHOQOL_Items'!U65)/7)</f>
        <v>12</v>
      </c>
      <c r="D65" s="4">
        <f>4*(((6-'01_WHOQOL_Items'!AF65) + (6-'01_WHOQOL_Items'!AG65) + '01_WHOQOL_Items'!AM65 + '01_WHOQOL_Items'!AR65 + '01_WHOQOL_Items'!AS65 + '01_WHOQOL_Items'!AT65 + '01_WHOQOL_Items'!AU65)/7)</f>
        <v>14.285714285714286</v>
      </c>
      <c r="E65" s="4">
        <f t="shared" si="0"/>
        <v>50</v>
      </c>
      <c r="F65" s="4">
        <f t="shared" si="1"/>
        <v>64.285714285714292</v>
      </c>
      <c r="G65" s="5">
        <f t="shared" si="2"/>
        <v>0.28571428571428581</v>
      </c>
      <c r="H65" s="4">
        <f>4*(('01_WHOQOL_Items'!H65 + '01_WHOQOL_Items'!I65 + '01_WHOQOL_Items'!J65 + '01_WHOQOL_Items'!N65 + '01_WHOQOL_Items'!V65 + (6-'01_WHOQOL_Items'!AC65))/6)</f>
        <v>14</v>
      </c>
      <c r="I65" s="4">
        <f>4*(('01_WHOQOL_Items'!AH65 + '01_WHOQOL_Items'!AI65 + '01_WHOQOL_Items'!AJ65 + '01_WHOQOL_Items'!AN65 + '01_WHOQOL_Items'!AV65 + (6-'01_WHOQOL_Items'!BC65))/6)</f>
        <v>14.666666666666666</v>
      </c>
      <c r="J65" s="4">
        <f t="shared" si="3"/>
        <v>62.5</v>
      </c>
      <c r="K65" s="4">
        <f t="shared" si="4"/>
        <v>66.666666666666657</v>
      </c>
      <c r="L65" s="5">
        <f t="shared" si="5"/>
        <v>6.6666666666666513E-2</v>
      </c>
      <c r="M65" s="4">
        <f>4*(('01_WHOQOL_Items'!W65 + '01_WHOQOL_Items'!X65 + '01_WHOQOL_Items'!Y65)/3)</f>
        <v>13.333333333333334</v>
      </c>
      <c r="N65" s="4">
        <f>4*(('01_WHOQOL_Items'!AW65 + '01_WHOQOL_Items'!AX65 + '01_WHOQOL_Items'!AY65)/3)</f>
        <v>18.666666666666668</v>
      </c>
      <c r="O65" s="4">
        <f t="shared" si="6"/>
        <v>58.333333333333336</v>
      </c>
      <c r="P65" s="4">
        <f t="shared" si="7"/>
        <v>91.666666666666671</v>
      </c>
      <c r="Q65" s="5">
        <f t="shared" si="8"/>
        <v>0.5714285714285714</v>
      </c>
      <c r="R65" s="4">
        <f>4*(('01_WHOQOL_Items'!K65 + '01_WHOQOL_Items'!L65 + '01_WHOQOL_Items'!O65 + '01_WHOQOL_Items'!P65 + '01_WHOQOL_Items'!Q65 + '01_WHOQOL_Items'!Z65 + '01_WHOQOL_Items'!AA65 + '01_WHOQOL_Items'!AB65)/8)</f>
        <v>11</v>
      </c>
      <c r="S65" s="4">
        <f>4*(('01_WHOQOL_Items'!AK65 + '01_WHOQOL_Items'!AL65 + '01_WHOQOL_Items'!AO65 + '01_WHOQOL_Items'!AP65 + '01_WHOQOL_Items'!AQ65 + '01_WHOQOL_Items'!AZ65 + '01_WHOQOL_Items'!BA65 + '01_WHOQOL_Items'!BB65)/8)</f>
        <v>12</v>
      </c>
      <c r="T65" s="4">
        <f t="shared" si="9"/>
        <v>43.75</v>
      </c>
      <c r="U65" s="4">
        <f t="shared" si="10"/>
        <v>50</v>
      </c>
      <c r="V65" s="5">
        <f t="shared" si="11"/>
        <v>0.14285714285714285</v>
      </c>
      <c r="W65" s="4">
        <f t="shared" si="12"/>
        <v>53.645833333333336</v>
      </c>
      <c r="X65" s="4">
        <f t="shared" si="13"/>
        <v>68.154761904761912</v>
      </c>
      <c r="Y65" s="5">
        <f t="shared" si="14"/>
        <v>0.27045769764216376</v>
      </c>
      <c r="Z65" s="1">
        <f>'01_WHOQOL_Items'!D65</f>
        <v>3</v>
      </c>
      <c r="AA65" s="1">
        <f>'01_WHOQOL_Items'!AD65</f>
        <v>5</v>
      </c>
      <c r="AB65" s="1">
        <f>'01_WHOQOL_Items'!E65</f>
        <v>3</v>
      </c>
      <c r="AC65" s="1">
        <f>'01_WHOQOL_Items'!AE65</f>
        <v>4</v>
      </c>
    </row>
    <row r="66" spans="1:29">
      <c r="A66" s="1" t="str">
        <f>'01_WHOQOL_Items'!A66</f>
        <v>EXP-065</v>
      </c>
      <c r="B66" s="1" t="str">
        <f>'01_WHOQOL_Items'!B66</f>
        <v>Experimental</v>
      </c>
      <c r="C66" s="4">
        <f>4*(((6-'01_WHOQOL_Items'!F66) + (6-'01_WHOQOL_Items'!G66) + '01_WHOQOL_Items'!M66 + '01_WHOQOL_Items'!R66 + '01_WHOQOL_Items'!S66 + '01_WHOQOL_Items'!T66 + '01_WHOQOL_Items'!U66)/7)</f>
        <v>17.714285714285715</v>
      </c>
      <c r="D66" s="4">
        <f>4*(((6-'01_WHOQOL_Items'!AF66) + (6-'01_WHOQOL_Items'!AG66) + '01_WHOQOL_Items'!AM66 + '01_WHOQOL_Items'!AR66 + '01_WHOQOL_Items'!AS66 + '01_WHOQOL_Items'!AT66 + '01_WHOQOL_Items'!AU66)/7)</f>
        <v>17.714285714285715</v>
      </c>
      <c r="E66" s="4">
        <f t="shared" ref="E66:E129" si="15">(C66-4)*100/16</f>
        <v>85.714285714285722</v>
      </c>
      <c r="F66" s="4">
        <f t="shared" ref="F66:F129" si="16">(D66-4)*100/16</f>
        <v>85.714285714285722</v>
      </c>
      <c r="G66" s="5">
        <f t="shared" ref="G66:G129" si="17">IFERROR((F66-E66)/E66,"")</f>
        <v>0</v>
      </c>
      <c r="H66" s="4">
        <f>4*(('01_WHOQOL_Items'!H66 + '01_WHOQOL_Items'!I66 + '01_WHOQOL_Items'!J66 + '01_WHOQOL_Items'!N66 + '01_WHOQOL_Items'!V66 + (6-'01_WHOQOL_Items'!AC66))/6)</f>
        <v>8.6666666666666661</v>
      </c>
      <c r="I66" s="4">
        <f>4*(('01_WHOQOL_Items'!AH66 + '01_WHOQOL_Items'!AI66 + '01_WHOQOL_Items'!AJ66 + '01_WHOQOL_Items'!AN66 + '01_WHOQOL_Items'!AV66 + (6-'01_WHOQOL_Items'!BC66))/6)</f>
        <v>11.333333333333334</v>
      </c>
      <c r="J66" s="4">
        <f t="shared" ref="J66:J129" si="18">(H66-4)*100/16</f>
        <v>29.166666666666664</v>
      </c>
      <c r="K66" s="4">
        <f t="shared" ref="K66:K129" si="19">(I66-4)*100/16</f>
        <v>45.833333333333336</v>
      </c>
      <c r="L66" s="5">
        <f t="shared" ref="L66:L129" si="20">IFERROR((K66-J66)/J66,"")</f>
        <v>0.57142857142857162</v>
      </c>
      <c r="M66" s="4">
        <f>4*(('01_WHOQOL_Items'!W66 + '01_WHOQOL_Items'!X66 + '01_WHOQOL_Items'!Y66)/3)</f>
        <v>13.333333333333334</v>
      </c>
      <c r="N66" s="4">
        <f>4*(('01_WHOQOL_Items'!AW66 + '01_WHOQOL_Items'!AX66 + '01_WHOQOL_Items'!AY66)/3)</f>
        <v>20</v>
      </c>
      <c r="O66" s="4">
        <f t="shared" ref="O66:O129" si="21">(M66-4)*100/16</f>
        <v>58.333333333333336</v>
      </c>
      <c r="P66" s="4">
        <f t="shared" ref="P66:P129" si="22">(N66-4)*100/16</f>
        <v>100</v>
      </c>
      <c r="Q66" s="5">
        <f t="shared" ref="Q66:Q129" si="23">IFERROR((P66-O66)/O66,"")</f>
        <v>0.71428571428571419</v>
      </c>
      <c r="R66" s="4">
        <f>4*(('01_WHOQOL_Items'!K66 + '01_WHOQOL_Items'!L66 + '01_WHOQOL_Items'!O66 + '01_WHOQOL_Items'!P66 + '01_WHOQOL_Items'!Q66 + '01_WHOQOL_Items'!Z66 + '01_WHOQOL_Items'!AA66 + '01_WHOQOL_Items'!AB66)/8)</f>
        <v>13.5</v>
      </c>
      <c r="S66" s="4">
        <f>4*(('01_WHOQOL_Items'!AK66 + '01_WHOQOL_Items'!AL66 + '01_WHOQOL_Items'!AO66 + '01_WHOQOL_Items'!AP66 + '01_WHOQOL_Items'!AQ66 + '01_WHOQOL_Items'!AZ66 + '01_WHOQOL_Items'!BA66 + '01_WHOQOL_Items'!BB66)/8)</f>
        <v>13.5</v>
      </c>
      <c r="T66" s="4">
        <f t="shared" ref="T66:T129" si="24">(R66-4)*100/16</f>
        <v>59.375</v>
      </c>
      <c r="U66" s="4">
        <f t="shared" ref="U66:U129" si="25">(S66-4)*100/16</f>
        <v>59.375</v>
      </c>
      <c r="V66" s="5">
        <f t="shared" ref="V66:V129" si="26">IFERROR((U66-T66)/T66,"")</f>
        <v>0</v>
      </c>
      <c r="W66" s="4">
        <f t="shared" ref="W66:W129" si="27">AVERAGE(E66,J66,O66,T66)</f>
        <v>58.147321428571431</v>
      </c>
      <c r="X66" s="4">
        <f t="shared" ref="X66:X129" si="28">AVERAGE(F66,K66,P66,U66)</f>
        <v>72.730654761904759</v>
      </c>
      <c r="Y66" s="5">
        <f t="shared" ref="Y66:Y129" si="29">IFERROR((X66-W66)/W66,"")</f>
        <v>0.25079974408189371</v>
      </c>
      <c r="Z66" s="1">
        <f>'01_WHOQOL_Items'!D66</f>
        <v>3</v>
      </c>
      <c r="AA66" s="1">
        <f>'01_WHOQOL_Items'!AD66</f>
        <v>4</v>
      </c>
      <c r="AB66" s="1">
        <f>'01_WHOQOL_Items'!E66</f>
        <v>4</v>
      </c>
      <c r="AC66" s="1">
        <f>'01_WHOQOL_Items'!AE66</f>
        <v>5</v>
      </c>
    </row>
    <row r="67" spans="1:29">
      <c r="A67" s="1" t="str">
        <f>'01_WHOQOL_Items'!A67</f>
        <v>EXP-066</v>
      </c>
      <c r="B67" s="1" t="str">
        <f>'01_WHOQOL_Items'!B67</f>
        <v>Experimental</v>
      </c>
      <c r="C67" s="4">
        <f>4*(((6-'01_WHOQOL_Items'!F67) + (6-'01_WHOQOL_Items'!G67) + '01_WHOQOL_Items'!M67 + '01_WHOQOL_Items'!R67 + '01_WHOQOL_Items'!S67 + '01_WHOQOL_Items'!T67 + '01_WHOQOL_Items'!U67)/7)</f>
        <v>13.142857142857142</v>
      </c>
      <c r="D67" s="4">
        <f>4*(((6-'01_WHOQOL_Items'!AF67) + (6-'01_WHOQOL_Items'!AG67) + '01_WHOQOL_Items'!AM67 + '01_WHOQOL_Items'!AR67 + '01_WHOQOL_Items'!AS67 + '01_WHOQOL_Items'!AT67 + '01_WHOQOL_Items'!AU67)/7)</f>
        <v>13.714285714285714</v>
      </c>
      <c r="E67" s="4">
        <f t="shared" si="15"/>
        <v>57.142857142857139</v>
      </c>
      <c r="F67" s="4">
        <f t="shared" si="16"/>
        <v>60.714285714285708</v>
      </c>
      <c r="G67" s="5">
        <f t="shared" si="17"/>
        <v>6.2499999999999972E-2</v>
      </c>
      <c r="H67" s="4">
        <f>4*(('01_WHOQOL_Items'!H67 + '01_WHOQOL_Items'!I67 + '01_WHOQOL_Items'!J67 + '01_WHOQOL_Items'!N67 + '01_WHOQOL_Items'!V67 + (6-'01_WHOQOL_Items'!AC67))/6)</f>
        <v>11.333333333333334</v>
      </c>
      <c r="I67" s="4">
        <f>4*(('01_WHOQOL_Items'!AH67 + '01_WHOQOL_Items'!AI67 + '01_WHOQOL_Items'!AJ67 + '01_WHOQOL_Items'!AN67 + '01_WHOQOL_Items'!AV67 + (6-'01_WHOQOL_Items'!BC67))/6)</f>
        <v>12</v>
      </c>
      <c r="J67" s="4">
        <f t="shared" si="18"/>
        <v>45.833333333333336</v>
      </c>
      <c r="K67" s="4">
        <f t="shared" si="19"/>
        <v>50</v>
      </c>
      <c r="L67" s="5">
        <f t="shared" si="20"/>
        <v>9.0909090909090856E-2</v>
      </c>
      <c r="M67" s="4">
        <f>4*(('01_WHOQOL_Items'!W67 + '01_WHOQOL_Items'!X67 + '01_WHOQOL_Items'!Y67)/3)</f>
        <v>10.666666666666666</v>
      </c>
      <c r="N67" s="4">
        <f>4*(('01_WHOQOL_Items'!AW67 + '01_WHOQOL_Items'!AX67 + '01_WHOQOL_Items'!AY67)/3)</f>
        <v>10.666666666666666</v>
      </c>
      <c r="O67" s="4">
        <f t="shared" si="21"/>
        <v>41.666666666666664</v>
      </c>
      <c r="P67" s="4">
        <f t="shared" si="22"/>
        <v>41.666666666666664</v>
      </c>
      <c r="Q67" s="5">
        <f t="shared" si="23"/>
        <v>0</v>
      </c>
      <c r="R67" s="4">
        <f>4*(('01_WHOQOL_Items'!K67 + '01_WHOQOL_Items'!L67 + '01_WHOQOL_Items'!O67 + '01_WHOQOL_Items'!P67 + '01_WHOQOL_Items'!Q67 + '01_WHOQOL_Items'!Z67 + '01_WHOQOL_Items'!AA67 + '01_WHOQOL_Items'!AB67)/8)</f>
        <v>12.5</v>
      </c>
      <c r="S67" s="4">
        <f>4*(('01_WHOQOL_Items'!AK67 + '01_WHOQOL_Items'!AL67 + '01_WHOQOL_Items'!AO67 + '01_WHOQOL_Items'!AP67 + '01_WHOQOL_Items'!AQ67 + '01_WHOQOL_Items'!AZ67 + '01_WHOQOL_Items'!BA67 + '01_WHOQOL_Items'!BB67)/8)</f>
        <v>14.5</v>
      </c>
      <c r="T67" s="4">
        <f t="shared" si="24"/>
        <v>53.125</v>
      </c>
      <c r="U67" s="4">
        <f t="shared" si="25"/>
        <v>65.625</v>
      </c>
      <c r="V67" s="5">
        <f t="shared" si="26"/>
        <v>0.23529411764705882</v>
      </c>
      <c r="W67" s="4">
        <f t="shared" si="27"/>
        <v>49.441964285714285</v>
      </c>
      <c r="X67" s="4">
        <f t="shared" si="28"/>
        <v>54.501488095238095</v>
      </c>
      <c r="Y67" s="5">
        <f t="shared" si="29"/>
        <v>0.10233258088788565</v>
      </c>
      <c r="Z67" s="1">
        <f>'01_WHOQOL_Items'!D67</f>
        <v>2</v>
      </c>
      <c r="AA67" s="1">
        <f>'01_WHOQOL_Items'!AD67</f>
        <v>4</v>
      </c>
      <c r="AB67" s="1">
        <f>'01_WHOQOL_Items'!E67</f>
        <v>4</v>
      </c>
      <c r="AC67" s="1">
        <f>'01_WHOQOL_Items'!AE67</f>
        <v>4</v>
      </c>
    </row>
    <row r="68" spans="1:29">
      <c r="A68" s="1" t="str">
        <f>'01_WHOQOL_Items'!A68</f>
        <v>EXP-067</v>
      </c>
      <c r="B68" s="1" t="str">
        <f>'01_WHOQOL_Items'!B68</f>
        <v>Experimental</v>
      </c>
      <c r="C68" s="4">
        <f>4*(((6-'01_WHOQOL_Items'!F68) + (6-'01_WHOQOL_Items'!G68) + '01_WHOQOL_Items'!M68 + '01_WHOQOL_Items'!R68 + '01_WHOQOL_Items'!S68 + '01_WHOQOL_Items'!T68 + '01_WHOQOL_Items'!U68)/7)</f>
        <v>12.571428571428571</v>
      </c>
      <c r="D68" s="4">
        <f>4*(((6-'01_WHOQOL_Items'!AF68) + (6-'01_WHOQOL_Items'!AG68) + '01_WHOQOL_Items'!AM68 + '01_WHOQOL_Items'!AR68 + '01_WHOQOL_Items'!AS68 + '01_WHOQOL_Items'!AT68 + '01_WHOQOL_Items'!AU68)/7)</f>
        <v>13.714285714285714</v>
      </c>
      <c r="E68" s="4">
        <f t="shared" si="15"/>
        <v>53.571428571428569</v>
      </c>
      <c r="F68" s="4">
        <f t="shared" si="16"/>
        <v>60.714285714285708</v>
      </c>
      <c r="G68" s="5">
        <f t="shared" si="17"/>
        <v>0.13333333333333328</v>
      </c>
      <c r="H68" s="4">
        <f>4*(('01_WHOQOL_Items'!H68 + '01_WHOQOL_Items'!I68 + '01_WHOQOL_Items'!J68 + '01_WHOQOL_Items'!N68 + '01_WHOQOL_Items'!V68 + (6-'01_WHOQOL_Items'!AC68))/6)</f>
        <v>12</v>
      </c>
      <c r="I68" s="4">
        <f>4*(('01_WHOQOL_Items'!AH68 + '01_WHOQOL_Items'!AI68 + '01_WHOQOL_Items'!AJ68 + '01_WHOQOL_Items'!AN68 + '01_WHOQOL_Items'!AV68 + (6-'01_WHOQOL_Items'!BC68))/6)</f>
        <v>14.666666666666666</v>
      </c>
      <c r="J68" s="4">
        <f t="shared" si="18"/>
        <v>50</v>
      </c>
      <c r="K68" s="4">
        <f t="shared" si="19"/>
        <v>66.666666666666657</v>
      </c>
      <c r="L68" s="5">
        <f t="shared" si="20"/>
        <v>0.33333333333333315</v>
      </c>
      <c r="M68" s="4">
        <f>4*(('01_WHOQOL_Items'!W68 + '01_WHOQOL_Items'!X68 + '01_WHOQOL_Items'!Y68)/3)</f>
        <v>10.666666666666666</v>
      </c>
      <c r="N68" s="4">
        <f>4*(('01_WHOQOL_Items'!AW68 + '01_WHOQOL_Items'!AX68 + '01_WHOQOL_Items'!AY68)/3)</f>
        <v>13.333333333333334</v>
      </c>
      <c r="O68" s="4">
        <f t="shared" si="21"/>
        <v>41.666666666666664</v>
      </c>
      <c r="P68" s="4">
        <f t="shared" si="22"/>
        <v>58.333333333333336</v>
      </c>
      <c r="Q68" s="5">
        <f t="shared" si="23"/>
        <v>0.40000000000000013</v>
      </c>
      <c r="R68" s="4">
        <f>4*(('01_WHOQOL_Items'!K68 + '01_WHOQOL_Items'!L68 + '01_WHOQOL_Items'!O68 + '01_WHOQOL_Items'!P68 + '01_WHOQOL_Items'!Q68 + '01_WHOQOL_Items'!Z68 + '01_WHOQOL_Items'!AA68 + '01_WHOQOL_Items'!AB68)/8)</f>
        <v>12</v>
      </c>
      <c r="S68" s="4">
        <f>4*(('01_WHOQOL_Items'!AK68 + '01_WHOQOL_Items'!AL68 + '01_WHOQOL_Items'!AO68 + '01_WHOQOL_Items'!AP68 + '01_WHOQOL_Items'!AQ68 + '01_WHOQOL_Items'!AZ68 + '01_WHOQOL_Items'!BA68 + '01_WHOQOL_Items'!BB68)/8)</f>
        <v>15</v>
      </c>
      <c r="T68" s="4">
        <f t="shared" si="24"/>
        <v>50</v>
      </c>
      <c r="U68" s="4">
        <f t="shared" si="25"/>
        <v>68.75</v>
      </c>
      <c r="V68" s="5">
        <f t="shared" si="26"/>
        <v>0.375</v>
      </c>
      <c r="W68" s="4">
        <f t="shared" si="27"/>
        <v>48.80952380952381</v>
      </c>
      <c r="X68" s="4">
        <f t="shared" si="28"/>
        <v>63.616071428571423</v>
      </c>
      <c r="Y68" s="5">
        <f t="shared" si="29"/>
        <v>0.30335365853658525</v>
      </c>
      <c r="Z68" s="1">
        <f>'01_WHOQOL_Items'!D68</f>
        <v>4</v>
      </c>
      <c r="AA68" s="1">
        <f>'01_WHOQOL_Items'!AD68</f>
        <v>3</v>
      </c>
      <c r="AB68" s="1">
        <f>'01_WHOQOL_Items'!E68</f>
        <v>3</v>
      </c>
      <c r="AC68" s="1">
        <f>'01_WHOQOL_Items'!AE68</f>
        <v>3</v>
      </c>
    </row>
    <row r="69" spans="1:29">
      <c r="A69" s="1" t="str">
        <f>'01_WHOQOL_Items'!A69</f>
        <v>EXP-068</v>
      </c>
      <c r="B69" s="1" t="str">
        <f>'01_WHOQOL_Items'!B69</f>
        <v>Experimental</v>
      </c>
      <c r="C69" s="4">
        <f>4*(((6-'01_WHOQOL_Items'!F69) + (6-'01_WHOQOL_Items'!G69) + '01_WHOQOL_Items'!M69 + '01_WHOQOL_Items'!R69 + '01_WHOQOL_Items'!S69 + '01_WHOQOL_Items'!T69 + '01_WHOQOL_Items'!U69)/7)</f>
        <v>12.571428571428571</v>
      </c>
      <c r="D69" s="4">
        <f>4*(((6-'01_WHOQOL_Items'!AF69) + (6-'01_WHOQOL_Items'!AG69) + '01_WHOQOL_Items'!AM69 + '01_WHOQOL_Items'!AR69 + '01_WHOQOL_Items'!AS69 + '01_WHOQOL_Items'!AT69 + '01_WHOQOL_Items'!AU69)/7)</f>
        <v>12</v>
      </c>
      <c r="E69" s="4">
        <f t="shared" si="15"/>
        <v>53.571428571428569</v>
      </c>
      <c r="F69" s="4">
        <f t="shared" si="16"/>
        <v>50</v>
      </c>
      <c r="G69" s="5">
        <f t="shared" si="17"/>
        <v>-6.6666666666666638E-2</v>
      </c>
      <c r="H69" s="4">
        <f>4*(('01_WHOQOL_Items'!H69 + '01_WHOQOL_Items'!I69 + '01_WHOQOL_Items'!J69 + '01_WHOQOL_Items'!N69 + '01_WHOQOL_Items'!V69 + (6-'01_WHOQOL_Items'!AC69))/6)</f>
        <v>14</v>
      </c>
      <c r="I69" s="4">
        <f>4*(('01_WHOQOL_Items'!AH69 + '01_WHOQOL_Items'!AI69 + '01_WHOQOL_Items'!AJ69 + '01_WHOQOL_Items'!AN69 + '01_WHOQOL_Items'!AV69 + (6-'01_WHOQOL_Items'!BC69))/6)</f>
        <v>14.666666666666666</v>
      </c>
      <c r="J69" s="4">
        <f t="shared" si="18"/>
        <v>62.5</v>
      </c>
      <c r="K69" s="4">
        <f t="shared" si="19"/>
        <v>66.666666666666657</v>
      </c>
      <c r="L69" s="5">
        <f t="shared" si="20"/>
        <v>6.6666666666666513E-2</v>
      </c>
      <c r="M69" s="4">
        <f>4*(('01_WHOQOL_Items'!W69 + '01_WHOQOL_Items'!X69 + '01_WHOQOL_Items'!Y69)/3)</f>
        <v>8</v>
      </c>
      <c r="N69" s="4">
        <f>4*(('01_WHOQOL_Items'!AW69 + '01_WHOQOL_Items'!AX69 + '01_WHOQOL_Items'!AY69)/3)</f>
        <v>12</v>
      </c>
      <c r="O69" s="4">
        <f t="shared" si="21"/>
        <v>25</v>
      </c>
      <c r="P69" s="4">
        <f t="shared" si="22"/>
        <v>50</v>
      </c>
      <c r="Q69" s="5">
        <f t="shared" si="23"/>
        <v>1</v>
      </c>
      <c r="R69" s="4">
        <f>4*(('01_WHOQOL_Items'!K69 + '01_WHOQOL_Items'!L69 + '01_WHOQOL_Items'!O69 + '01_WHOQOL_Items'!P69 + '01_WHOQOL_Items'!Q69 + '01_WHOQOL_Items'!Z69 + '01_WHOQOL_Items'!AA69 + '01_WHOQOL_Items'!AB69)/8)</f>
        <v>14</v>
      </c>
      <c r="S69" s="4">
        <f>4*(('01_WHOQOL_Items'!AK69 + '01_WHOQOL_Items'!AL69 + '01_WHOQOL_Items'!AO69 + '01_WHOQOL_Items'!AP69 + '01_WHOQOL_Items'!AQ69 + '01_WHOQOL_Items'!AZ69 + '01_WHOQOL_Items'!BA69 + '01_WHOQOL_Items'!BB69)/8)</f>
        <v>15</v>
      </c>
      <c r="T69" s="4">
        <f t="shared" si="24"/>
        <v>62.5</v>
      </c>
      <c r="U69" s="4">
        <f t="shared" si="25"/>
        <v>68.75</v>
      </c>
      <c r="V69" s="5">
        <f t="shared" si="26"/>
        <v>0.1</v>
      </c>
      <c r="W69" s="4">
        <f t="shared" si="27"/>
        <v>50.892857142857139</v>
      </c>
      <c r="X69" s="4">
        <f t="shared" si="28"/>
        <v>58.854166666666664</v>
      </c>
      <c r="Y69" s="5">
        <f t="shared" si="29"/>
        <v>0.15643274853801173</v>
      </c>
      <c r="Z69" s="1">
        <f>'01_WHOQOL_Items'!D69</f>
        <v>3</v>
      </c>
      <c r="AA69" s="1">
        <f>'01_WHOQOL_Items'!AD69</f>
        <v>4</v>
      </c>
      <c r="AB69" s="1">
        <f>'01_WHOQOL_Items'!E69</f>
        <v>3</v>
      </c>
      <c r="AC69" s="1">
        <f>'01_WHOQOL_Items'!AE69</f>
        <v>3</v>
      </c>
    </row>
    <row r="70" spans="1:29">
      <c r="A70" s="1" t="str">
        <f>'01_WHOQOL_Items'!A70</f>
        <v>EXP-069</v>
      </c>
      <c r="B70" s="1" t="str">
        <f>'01_WHOQOL_Items'!B70</f>
        <v>Experimental</v>
      </c>
      <c r="C70" s="4">
        <f>4*(((6-'01_WHOQOL_Items'!F70) + (6-'01_WHOQOL_Items'!G70) + '01_WHOQOL_Items'!M70 + '01_WHOQOL_Items'!R70 + '01_WHOQOL_Items'!S70 + '01_WHOQOL_Items'!T70 + '01_WHOQOL_Items'!U70)/7)</f>
        <v>9.7142857142857135</v>
      </c>
      <c r="D70" s="4">
        <f>4*(((6-'01_WHOQOL_Items'!AF70) + (6-'01_WHOQOL_Items'!AG70) + '01_WHOQOL_Items'!AM70 + '01_WHOQOL_Items'!AR70 + '01_WHOQOL_Items'!AS70 + '01_WHOQOL_Items'!AT70 + '01_WHOQOL_Items'!AU70)/7)</f>
        <v>11.428571428571429</v>
      </c>
      <c r="E70" s="4">
        <f t="shared" si="15"/>
        <v>35.714285714285708</v>
      </c>
      <c r="F70" s="4">
        <f t="shared" si="16"/>
        <v>46.428571428571431</v>
      </c>
      <c r="G70" s="5">
        <f t="shared" si="17"/>
        <v>0.30000000000000027</v>
      </c>
      <c r="H70" s="4">
        <f>4*(('01_WHOQOL_Items'!H70 + '01_WHOQOL_Items'!I70 + '01_WHOQOL_Items'!J70 + '01_WHOQOL_Items'!N70 + '01_WHOQOL_Items'!V70 + (6-'01_WHOQOL_Items'!AC70))/6)</f>
        <v>10</v>
      </c>
      <c r="I70" s="4">
        <f>4*(('01_WHOQOL_Items'!AH70 + '01_WHOQOL_Items'!AI70 + '01_WHOQOL_Items'!AJ70 + '01_WHOQOL_Items'!AN70 + '01_WHOQOL_Items'!AV70 + (6-'01_WHOQOL_Items'!BC70))/6)</f>
        <v>12.666666666666666</v>
      </c>
      <c r="J70" s="4">
        <f t="shared" si="18"/>
        <v>37.5</v>
      </c>
      <c r="K70" s="4">
        <f t="shared" si="19"/>
        <v>54.166666666666664</v>
      </c>
      <c r="L70" s="5">
        <f t="shared" si="20"/>
        <v>0.44444444444444436</v>
      </c>
      <c r="M70" s="4">
        <f>4*(('01_WHOQOL_Items'!W70 + '01_WHOQOL_Items'!X70 + '01_WHOQOL_Items'!Y70)/3)</f>
        <v>14.666666666666666</v>
      </c>
      <c r="N70" s="4">
        <f>4*(('01_WHOQOL_Items'!AW70 + '01_WHOQOL_Items'!AX70 + '01_WHOQOL_Items'!AY70)/3)</f>
        <v>20</v>
      </c>
      <c r="O70" s="4">
        <f t="shared" si="21"/>
        <v>66.666666666666657</v>
      </c>
      <c r="P70" s="4">
        <f t="shared" si="22"/>
        <v>100</v>
      </c>
      <c r="Q70" s="5">
        <f t="shared" si="23"/>
        <v>0.50000000000000022</v>
      </c>
      <c r="R70" s="4">
        <f>4*(('01_WHOQOL_Items'!K70 + '01_WHOQOL_Items'!L70 + '01_WHOQOL_Items'!O70 + '01_WHOQOL_Items'!P70 + '01_WHOQOL_Items'!Q70 + '01_WHOQOL_Items'!Z70 + '01_WHOQOL_Items'!AA70 + '01_WHOQOL_Items'!AB70)/8)</f>
        <v>14.5</v>
      </c>
      <c r="S70" s="4">
        <f>4*(('01_WHOQOL_Items'!AK70 + '01_WHOQOL_Items'!AL70 + '01_WHOQOL_Items'!AO70 + '01_WHOQOL_Items'!AP70 + '01_WHOQOL_Items'!AQ70 + '01_WHOQOL_Items'!AZ70 + '01_WHOQOL_Items'!BA70 + '01_WHOQOL_Items'!BB70)/8)</f>
        <v>13</v>
      </c>
      <c r="T70" s="4">
        <f t="shared" si="24"/>
        <v>65.625</v>
      </c>
      <c r="U70" s="4">
        <f t="shared" si="25"/>
        <v>56.25</v>
      </c>
      <c r="V70" s="5">
        <f t="shared" si="26"/>
        <v>-0.14285714285714285</v>
      </c>
      <c r="W70" s="4">
        <f t="shared" si="27"/>
        <v>51.376488095238088</v>
      </c>
      <c r="X70" s="4">
        <f t="shared" si="28"/>
        <v>64.211309523809518</v>
      </c>
      <c r="Y70" s="5">
        <f t="shared" si="29"/>
        <v>0.24981897175959458</v>
      </c>
      <c r="Z70" s="1">
        <f>'01_WHOQOL_Items'!D70</f>
        <v>3</v>
      </c>
      <c r="AA70" s="1">
        <f>'01_WHOQOL_Items'!AD70</f>
        <v>4</v>
      </c>
      <c r="AB70" s="1">
        <f>'01_WHOQOL_Items'!E70</f>
        <v>2</v>
      </c>
      <c r="AC70" s="1">
        <f>'01_WHOQOL_Items'!AE70</f>
        <v>4</v>
      </c>
    </row>
    <row r="71" spans="1:29">
      <c r="A71" s="1" t="str">
        <f>'01_WHOQOL_Items'!A71</f>
        <v>EXP-070</v>
      </c>
      <c r="B71" s="1" t="str">
        <f>'01_WHOQOL_Items'!B71</f>
        <v>Experimental</v>
      </c>
      <c r="C71" s="4">
        <f>4*(((6-'01_WHOQOL_Items'!F71) + (6-'01_WHOQOL_Items'!G71) + '01_WHOQOL_Items'!M71 + '01_WHOQOL_Items'!R71 + '01_WHOQOL_Items'!S71 + '01_WHOQOL_Items'!T71 + '01_WHOQOL_Items'!U71)/7)</f>
        <v>12</v>
      </c>
      <c r="D71" s="4">
        <f>4*(((6-'01_WHOQOL_Items'!AF71) + (6-'01_WHOQOL_Items'!AG71) + '01_WHOQOL_Items'!AM71 + '01_WHOQOL_Items'!AR71 + '01_WHOQOL_Items'!AS71 + '01_WHOQOL_Items'!AT71 + '01_WHOQOL_Items'!AU71)/7)</f>
        <v>12.571428571428571</v>
      </c>
      <c r="E71" s="4">
        <f t="shared" si="15"/>
        <v>50</v>
      </c>
      <c r="F71" s="4">
        <f t="shared" si="16"/>
        <v>53.571428571428569</v>
      </c>
      <c r="G71" s="5">
        <f t="shared" si="17"/>
        <v>7.1428571428571383E-2</v>
      </c>
      <c r="H71" s="4">
        <f>4*(('01_WHOQOL_Items'!H71 + '01_WHOQOL_Items'!I71 + '01_WHOQOL_Items'!J71 + '01_WHOQOL_Items'!N71 + '01_WHOQOL_Items'!V71 + (6-'01_WHOQOL_Items'!AC71))/6)</f>
        <v>13.333333333333334</v>
      </c>
      <c r="I71" s="4">
        <f>4*(('01_WHOQOL_Items'!AH71 + '01_WHOQOL_Items'!AI71 + '01_WHOQOL_Items'!AJ71 + '01_WHOQOL_Items'!AN71 + '01_WHOQOL_Items'!AV71 + (6-'01_WHOQOL_Items'!BC71))/6)</f>
        <v>16</v>
      </c>
      <c r="J71" s="4">
        <f t="shared" si="18"/>
        <v>58.333333333333336</v>
      </c>
      <c r="K71" s="4">
        <f t="shared" si="19"/>
        <v>75</v>
      </c>
      <c r="L71" s="5">
        <f t="shared" si="20"/>
        <v>0.28571428571428564</v>
      </c>
      <c r="M71" s="4">
        <f>4*(('01_WHOQOL_Items'!W71 + '01_WHOQOL_Items'!X71 + '01_WHOQOL_Items'!Y71)/3)</f>
        <v>17.333333333333332</v>
      </c>
      <c r="N71" s="4">
        <f>4*(('01_WHOQOL_Items'!AW71 + '01_WHOQOL_Items'!AX71 + '01_WHOQOL_Items'!AY71)/3)</f>
        <v>17.333333333333332</v>
      </c>
      <c r="O71" s="4">
        <f t="shared" si="21"/>
        <v>83.333333333333329</v>
      </c>
      <c r="P71" s="4">
        <f t="shared" si="22"/>
        <v>83.333333333333329</v>
      </c>
      <c r="Q71" s="5">
        <f t="shared" si="23"/>
        <v>0</v>
      </c>
      <c r="R71" s="4">
        <f>4*(('01_WHOQOL_Items'!K71 + '01_WHOQOL_Items'!L71 + '01_WHOQOL_Items'!O71 + '01_WHOQOL_Items'!P71 + '01_WHOQOL_Items'!Q71 + '01_WHOQOL_Items'!Z71 + '01_WHOQOL_Items'!AA71 + '01_WHOQOL_Items'!AB71)/8)</f>
        <v>12</v>
      </c>
      <c r="S71" s="4">
        <f>4*(('01_WHOQOL_Items'!AK71 + '01_WHOQOL_Items'!AL71 + '01_WHOQOL_Items'!AO71 + '01_WHOQOL_Items'!AP71 + '01_WHOQOL_Items'!AQ71 + '01_WHOQOL_Items'!AZ71 + '01_WHOQOL_Items'!BA71 + '01_WHOQOL_Items'!BB71)/8)</f>
        <v>14</v>
      </c>
      <c r="T71" s="4">
        <f t="shared" si="24"/>
        <v>50</v>
      </c>
      <c r="U71" s="4">
        <f t="shared" si="25"/>
        <v>62.5</v>
      </c>
      <c r="V71" s="5">
        <f t="shared" si="26"/>
        <v>0.25</v>
      </c>
      <c r="W71" s="4">
        <f t="shared" si="27"/>
        <v>60.416666666666671</v>
      </c>
      <c r="X71" s="4">
        <f t="shared" si="28"/>
        <v>68.601190476190467</v>
      </c>
      <c r="Y71" s="5">
        <f t="shared" si="29"/>
        <v>0.13546798029556628</v>
      </c>
      <c r="Z71" s="1">
        <f>'01_WHOQOL_Items'!D71</f>
        <v>4</v>
      </c>
      <c r="AA71" s="1">
        <f>'01_WHOQOL_Items'!AD71</f>
        <v>4</v>
      </c>
      <c r="AB71" s="1">
        <f>'01_WHOQOL_Items'!E71</f>
        <v>3</v>
      </c>
      <c r="AC71" s="1">
        <f>'01_WHOQOL_Items'!AE71</f>
        <v>4</v>
      </c>
    </row>
    <row r="72" spans="1:29">
      <c r="A72" s="1" t="str">
        <f>'01_WHOQOL_Items'!A72</f>
        <v>EXP-071</v>
      </c>
      <c r="B72" s="1" t="str">
        <f>'01_WHOQOL_Items'!B72</f>
        <v>Experimental</v>
      </c>
      <c r="C72" s="4">
        <f>4*(((6-'01_WHOQOL_Items'!F72) + (6-'01_WHOQOL_Items'!G72) + '01_WHOQOL_Items'!M72 + '01_WHOQOL_Items'!R72 + '01_WHOQOL_Items'!S72 + '01_WHOQOL_Items'!T72 + '01_WHOQOL_Items'!U72)/7)</f>
        <v>14.857142857142858</v>
      </c>
      <c r="D72" s="4">
        <f>4*(((6-'01_WHOQOL_Items'!AF72) + (6-'01_WHOQOL_Items'!AG72) + '01_WHOQOL_Items'!AM72 + '01_WHOQOL_Items'!AR72 + '01_WHOQOL_Items'!AS72 + '01_WHOQOL_Items'!AT72 + '01_WHOQOL_Items'!AU72)/7)</f>
        <v>16</v>
      </c>
      <c r="E72" s="4">
        <f t="shared" si="15"/>
        <v>67.857142857142861</v>
      </c>
      <c r="F72" s="4">
        <f t="shared" si="16"/>
        <v>75</v>
      </c>
      <c r="G72" s="5">
        <f t="shared" si="17"/>
        <v>0.10526315789473678</v>
      </c>
      <c r="H72" s="4">
        <f>4*(('01_WHOQOL_Items'!H72 + '01_WHOQOL_Items'!I72 + '01_WHOQOL_Items'!J72 + '01_WHOQOL_Items'!N72 + '01_WHOQOL_Items'!V72 + (6-'01_WHOQOL_Items'!AC72))/6)</f>
        <v>12.666666666666666</v>
      </c>
      <c r="I72" s="4">
        <f>4*(('01_WHOQOL_Items'!AH72 + '01_WHOQOL_Items'!AI72 + '01_WHOQOL_Items'!AJ72 + '01_WHOQOL_Items'!AN72 + '01_WHOQOL_Items'!AV72 + (6-'01_WHOQOL_Items'!BC72))/6)</f>
        <v>14.666666666666666</v>
      </c>
      <c r="J72" s="4">
        <f t="shared" si="18"/>
        <v>54.166666666666664</v>
      </c>
      <c r="K72" s="4">
        <f t="shared" si="19"/>
        <v>66.666666666666657</v>
      </c>
      <c r="L72" s="5">
        <f t="shared" si="20"/>
        <v>0.23076923076923064</v>
      </c>
      <c r="M72" s="4">
        <f>4*(('01_WHOQOL_Items'!W72 + '01_WHOQOL_Items'!X72 + '01_WHOQOL_Items'!Y72)/3)</f>
        <v>16</v>
      </c>
      <c r="N72" s="4">
        <f>4*(('01_WHOQOL_Items'!AW72 + '01_WHOQOL_Items'!AX72 + '01_WHOQOL_Items'!AY72)/3)</f>
        <v>16</v>
      </c>
      <c r="O72" s="4">
        <f t="shared" si="21"/>
        <v>75</v>
      </c>
      <c r="P72" s="4">
        <f t="shared" si="22"/>
        <v>75</v>
      </c>
      <c r="Q72" s="5">
        <f t="shared" si="23"/>
        <v>0</v>
      </c>
      <c r="R72" s="4">
        <f>4*(('01_WHOQOL_Items'!K72 + '01_WHOQOL_Items'!L72 + '01_WHOQOL_Items'!O72 + '01_WHOQOL_Items'!P72 + '01_WHOQOL_Items'!Q72 + '01_WHOQOL_Items'!Z72 + '01_WHOQOL_Items'!AA72 + '01_WHOQOL_Items'!AB72)/8)</f>
        <v>11</v>
      </c>
      <c r="S72" s="4">
        <f>4*(('01_WHOQOL_Items'!AK72 + '01_WHOQOL_Items'!AL72 + '01_WHOQOL_Items'!AO72 + '01_WHOQOL_Items'!AP72 + '01_WHOQOL_Items'!AQ72 + '01_WHOQOL_Items'!AZ72 + '01_WHOQOL_Items'!BA72 + '01_WHOQOL_Items'!BB72)/8)</f>
        <v>11.5</v>
      </c>
      <c r="T72" s="4">
        <f t="shared" si="24"/>
        <v>43.75</v>
      </c>
      <c r="U72" s="4">
        <f t="shared" si="25"/>
        <v>46.875</v>
      </c>
      <c r="V72" s="5">
        <f t="shared" si="26"/>
        <v>7.1428571428571425E-2</v>
      </c>
      <c r="W72" s="4">
        <f t="shared" si="27"/>
        <v>60.19345238095238</v>
      </c>
      <c r="X72" s="4">
        <f t="shared" si="28"/>
        <v>65.885416666666657</v>
      </c>
      <c r="Y72" s="5">
        <f t="shared" si="29"/>
        <v>9.4561186650185286E-2</v>
      </c>
      <c r="Z72" s="1">
        <f>'01_WHOQOL_Items'!D72</f>
        <v>3</v>
      </c>
      <c r="AA72" s="1">
        <f>'01_WHOQOL_Items'!AD72</f>
        <v>3</v>
      </c>
      <c r="AB72" s="1">
        <f>'01_WHOQOL_Items'!E72</f>
        <v>4</v>
      </c>
      <c r="AC72" s="1">
        <f>'01_WHOQOL_Items'!AE72</f>
        <v>3</v>
      </c>
    </row>
    <row r="73" spans="1:29">
      <c r="A73" s="1" t="str">
        <f>'01_WHOQOL_Items'!A73</f>
        <v>EXP-072</v>
      </c>
      <c r="B73" s="1" t="str">
        <f>'01_WHOQOL_Items'!B73</f>
        <v>Experimental</v>
      </c>
      <c r="C73" s="4">
        <f>4*(((6-'01_WHOQOL_Items'!F73) + (6-'01_WHOQOL_Items'!G73) + '01_WHOQOL_Items'!M73 + '01_WHOQOL_Items'!R73 + '01_WHOQOL_Items'!S73 + '01_WHOQOL_Items'!T73 + '01_WHOQOL_Items'!U73)/7)</f>
        <v>11.428571428571429</v>
      </c>
      <c r="D73" s="4">
        <f>4*(((6-'01_WHOQOL_Items'!AF73) + (6-'01_WHOQOL_Items'!AG73) + '01_WHOQOL_Items'!AM73 + '01_WHOQOL_Items'!AR73 + '01_WHOQOL_Items'!AS73 + '01_WHOQOL_Items'!AT73 + '01_WHOQOL_Items'!AU73)/7)</f>
        <v>10.857142857142858</v>
      </c>
      <c r="E73" s="4">
        <f t="shared" si="15"/>
        <v>46.428571428571431</v>
      </c>
      <c r="F73" s="4">
        <f t="shared" si="16"/>
        <v>42.857142857142861</v>
      </c>
      <c r="G73" s="5">
        <f t="shared" si="17"/>
        <v>-7.6923076923076872E-2</v>
      </c>
      <c r="H73" s="4">
        <f>4*(('01_WHOQOL_Items'!H73 + '01_WHOQOL_Items'!I73 + '01_WHOQOL_Items'!J73 + '01_WHOQOL_Items'!N73 + '01_WHOQOL_Items'!V73 + (6-'01_WHOQOL_Items'!AC73))/6)</f>
        <v>12</v>
      </c>
      <c r="I73" s="4">
        <f>4*(('01_WHOQOL_Items'!AH73 + '01_WHOQOL_Items'!AI73 + '01_WHOQOL_Items'!AJ73 + '01_WHOQOL_Items'!AN73 + '01_WHOQOL_Items'!AV73 + (6-'01_WHOQOL_Items'!BC73))/6)</f>
        <v>11.333333333333334</v>
      </c>
      <c r="J73" s="4">
        <f t="shared" si="18"/>
        <v>50</v>
      </c>
      <c r="K73" s="4">
        <f t="shared" si="19"/>
        <v>45.833333333333336</v>
      </c>
      <c r="L73" s="5">
        <f t="shared" si="20"/>
        <v>-8.3333333333333287E-2</v>
      </c>
      <c r="M73" s="4">
        <f>4*(('01_WHOQOL_Items'!W73 + '01_WHOQOL_Items'!X73 + '01_WHOQOL_Items'!Y73)/3)</f>
        <v>13.333333333333334</v>
      </c>
      <c r="N73" s="4">
        <f>4*(('01_WHOQOL_Items'!AW73 + '01_WHOQOL_Items'!AX73 + '01_WHOQOL_Items'!AY73)/3)</f>
        <v>14.666666666666666</v>
      </c>
      <c r="O73" s="4">
        <f t="shared" si="21"/>
        <v>58.333333333333336</v>
      </c>
      <c r="P73" s="4">
        <f t="shared" si="22"/>
        <v>66.666666666666657</v>
      </c>
      <c r="Q73" s="5">
        <f t="shared" si="23"/>
        <v>0.14285714285714265</v>
      </c>
      <c r="R73" s="4">
        <f>4*(('01_WHOQOL_Items'!K73 + '01_WHOQOL_Items'!L73 + '01_WHOQOL_Items'!O73 + '01_WHOQOL_Items'!P73 + '01_WHOQOL_Items'!Q73 + '01_WHOQOL_Items'!Z73 + '01_WHOQOL_Items'!AA73 + '01_WHOQOL_Items'!AB73)/8)</f>
        <v>13</v>
      </c>
      <c r="S73" s="4">
        <f>4*(('01_WHOQOL_Items'!AK73 + '01_WHOQOL_Items'!AL73 + '01_WHOQOL_Items'!AO73 + '01_WHOQOL_Items'!AP73 + '01_WHOQOL_Items'!AQ73 + '01_WHOQOL_Items'!AZ73 + '01_WHOQOL_Items'!BA73 + '01_WHOQOL_Items'!BB73)/8)</f>
        <v>14.5</v>
      </c>
      <c r="T73" s="4">
        <f t="shared" si="24"/>
        <v>56.25</v>
      </c>
      <c r="U73" s="4">
        <f t="shared" si="25"/>
        <v>65.625</v>
      </c>
      <c r="V73" s="5">
        <f t="shared" si="26"/>
        <v>0.16666666666666666</v>
      </c>
      <c r="W73" s="4">
        <f t="shared" si="27"/>
        <v>52.75297619047619</v>
      </c>
      <c r="X73" s="4">
        <f t="shared" si="28"/>
        <v>55.245535714285715</v>
      </c>
      <c r="Y73" s="5">
        <f t="shared" si="29"/>
        <v>4.7249647390691145E-2</v>
      </c>
      <c r="Z73" s="1">
        <f>'01_WHOQOL_Items'!D73</f>
        <v>3</v>
      </c>
      <c r="AA73" s="1">
        <f>'01_WHOQOL_Items'!AD73</f>
        <v>3</v>
      </c>
      <c r="AB73" s="1">
        <f>'01_WHOQOL_Items'!E73</f>
        <v>2</v>
      </c>
      <c r="AC73" s="1">
        <f>'01_WHOQOL_Items'!AE73</f>
        <v>2</v>
      </c>
    </row>
    <row r="74" spans="1:29">
      <c r="A74" s="1" t="str">
        <f>'01_WHOQOL_Items'!A74</f>
        <v>EXP-073</v>
      </c>
      <c r="B74" s="1" t="str">
        <f>'01_WHOQOL_Items'!B74</f>
        <v>Experimental</v>
      </c>
      <c r="C74" s="4">
        <f>4*(((6-'01_WHOQOL_Items'!F74) + (6-'01_WHOQOL_Items'!G74) + '01_WHOQOL_Items'!M74 + '01_WHOQOL_Items'!R74 + '01_WHOQOL_Items'!S74 + '01_WHOQOL_Items'!T74 + '01_WHOQOL_Items'!U74)/7)</f>
        <v>14.285714285714286</v>
      </c>
      <c r="D74" s="4">
        <f>4*(((6-'01_WHOQOL_Items'!AF74) + (6-'01_WHOQOL_Items'!AG74) + '01_WHOQOL_Items'!AM74 + '01_WHOQOL_Items'!AR74 + '01_WHOQOL_Items'!AS74 + '01_WHOQOL_Items'!AT74 + '01_WHOQOL_Items'!AU74)/7)</f>
        <v>14.285714285714286</v>
      </c>
      <c r="E74" s="4">
        <f t="shared" si="15"/>
        <v>64.285714285714292</v>
      </c>
      <c r="F74" s="4">
        <f t="shared" si="16"/>
        <v>64.285714285714292</v>
      </c>
      <c r="G74" s="5">
        <f t="shared" si="17"/>
        <v>0</v>
      </c>
      <c r="H74" s="4">
        <f>4*(('01_WHOQOL_Items'!H74 + '01_WHOQOL_Items'!I74 + '01_WHOQOL_Items'!J74 + '01_WHOQOL_Items'!N74 + '01_WHOQOL_Items'!V74 + (6-'01_WHOQOL_Items'!AC74))/6)</f>
        <v>16</v>
      </c>
      <c r="I74" s="4">
        <f>4*(('01_WHOQOL_Items'!AH74 + '01_WHOQOL_Items'!AI74 + '01_WHOQOL_Items'!AJ74 + '01_WHOQOL_Items'!AN74 + '01_WHOQOL_Items'!AV74 + (6-'01_WHOQOL_Items'!BC74))/6)</f>
        <v>18</v>
      </c>
      <c r="J74" s="4">
        <f t="shared" si="18"/>
        <v>75</v>
      </c>
      <c r="K74" s="4">
        <f t="shared" si="19"/>
        <v>87.5</v>
      </c>
      <c r="L74" s="5">
        <f t="shared" si="20"/>
        <v>0.16666666666666666</v>
      </c>
      <c r="M74" s="4">
        <f>4*(('01_WHOQOL_Items'!W74 + '01_WHOQOL_Items'!X74 + '01_WHOQOL_Items'!Y74)/3)</f>
        <v>10.666666666666666</v>
      </c>
      <c r="N74" s="4">
        <f>4*(('01_WHOQOL_Items'!AW74 + '01_WHOQOL_Items'!AX74 + '01_WHOQOL_Items'!AY74)/3)</f>
        <v>10.666666666666666</v>
      </c>
      <c r="O74" s="4">
        <f t="shared" si="21"/>
        <v>41.666666666666664</v>
      </c>
      <c r="P74" s="4">
        <f t="shared" si="22"/>
        <v>41.666666666666664</v>
      </c>
      <c r="Q74" s="5">
        <f t="shared" si="23"/>
        <v>0</v>
      </c>
      <c r="R74" s="4">
        <f>4*(('01_WHOQOL_Items'!K74 + '01_WHOQOL_Items'!L74 + '01_WHOQOL_Items'!O74 + '01_WHOQOL_Items'!P74 + '01_WHOQOL_Items'!Q74 + '01_WHOQOL_Items'!Z74 + '01_WHOQOL_Items'!AA74 + '01_WHOQOL_Items'!AB74)/8)</f>
        <v>13.5</v>
      </c>
      <c r="S74" s="4">
        <f>4*(('01_WHOQOL_Items'!AK74 + '01_WHOQOL_Items'!AL74 + '01_WHOQOL_Items'!AO74 + '01_WHOQOL_Items'!AP74 + '01_WHOQOL_Items'!AQ74 + '01_WHOQOL_Items'!AZ74 + '01_WHOQOL_Items'!BA74 + '01_WHOQOL_Items'!BB74)/8)</f>
        <v>12.5</v>
      </c>
      <c r="T74" s="4">
        <f t="shared" si="24"/>
        <v>59.375</v>
      </c>
      <c r="U74" s="4">
        <f t="shared" si="25"/>
        <v>53.125</v>
      </c>
      <c r="V74" s="5">
        <f t="shared" si="26"/>
        <v>-0.10526315789473684</v>
      </c>
      <c r="W74" s="4">
        <f t="shared" si="27"/>
        <v>60.081845238095234</v>
      </c>
      <c r="X74" s="4">
        <f t="shared" si="28"/>
        <v>61.644345238095234</v>
      </c>
      <c r="Y74" s="5">
        <f t="shared" si="29"/>
        <v>2.60061919504644E-2</v>
      </c>
      <c r="Z74" s="1">
        <f>'01_WHOQOL_Items'!D74</f>
        <v>4</v>
      </c>
      <c r="AA74" s="1">
        <f>'01_WHOQOL_Items'!AD74</f>
        <v>4</v>
      </c>
      <c r="AB74" s="1">
        <f>'01_WHOQOL_Items'!E74</f>
        <v>3</v>
      </c>
      <c r="AC74" s="1">
        <f>'01_WHOQOL_Items'!AE74</f>
        <v>4</v>
      </c>
    </row>
    <row r="75" spans="1:29">
      <c r="A75" s="1" t="str">
        <f>'01_WHOQOL_Items'!A75</f>
        <v>EXP-074</v>
      </c>
      <c r="B75" s="1" t="str">
        <f>'01_WHOQOL_Items'!B75</f>
        <v>Experimental</v>
      </c>
      <c r="C75" s="4">
        <f>4*(((6-'01_WHOQOL_Items'!F75) + (6-'01_WHOQOL_Items'!G75) + '01_WHOQOL_Items'!M75 + '01_WHOQOL_Items'!R75 + '01_WHOQOL_Items'!S75 + '01_WHOQOL_Items'!T75 + '01_WHOQOL_Items'!U75)/7)</f>
        <v>10.285714285714286</v>
      </c>
      <c r="D75" s="4">
        <f>4*(((6-'01_WHOQOL_Items'!AF75) + (6-'01_WHOQOL_Items'!AG75) + '01_WHOQOL_Items'!AM75 + '01_WHOQOL_Items'!AR75 + '01_WHOQOL_Items'!AS75 + '01_WHOQOL_Items'!AT75 + '01_WHOQOL_Items'!AU75)/7)</f>
        <v>12</v>
      </c>
      <c r="E75" s="4">
        <f t="shared" si="15"/>
        <v>39.285714285714292</v>
      </c>
      <c r="F75" s="4">
        <f t="shared" si="16"/>
        <v>50</v>
      </c>
      <c r="G75" s="5">
        <f t="shared" si="17"/>
        <v>0.27272727272727254</v>
      </c>
      <c r="H75" s="4">
        <f>4*(('01_WHOQOL_Items'!H75 + '01_WHOQOL_Items'!I75 + '01_WHOQOL_Items'!J75 + '01_WHOQOL_Items'!N75 + '01_WHOQOL_Items'!V75 + (6-'01_WHOQOL_Items'!AC75))/6)</f>
        <v>10.666666666666666</v>
      </c>
      <c r="I75" s="4">
        <f>4*(('01_WHOQOL_Items'!AH75 + '01_WHOQOL_Items'!AI75 + '01_WHOQOL_Items'!AJ75 + '01_WHOQOL_Items'!AN75 + '01_WHOQOL_Items'!AV75 + (6-'01_WHOQOL_Items'!BC75))/6)</f>
        <v>16.666666666666668</v>
      </c>
      <c r="J75" s="4">
        <f t="shared" si="18"/>
        <v>41.666666666666664</v>
      </c>
      <c r="K75" s="4">
        <f t="shared" si="19"/>
        <v>79.166666666666671</v>
      </c>
      <c r="L75" s="5">
        <f t="shared" si="20"/>
        <v>0.90000000000000024</v>
      </c>
      <c r="M75" s="4">
        <f>4*(('01_WHOQOL_Items'!W75 + '01_WHOQOL_Items'!X75 + '01_WHOQOL_Items'!Y75)/3)</f>
        <v>14.666666666666666</v>
      </c>
      <c r="N75" s="4">
        <f>4*(('01_WHOQOL_Items'!AW75 + '01_WHOQOL_Items'!AX75 + '01_WHOQOL_Items'!AY75)/3)</f>
        <v>14.666666666666666</v>
      </c>
      <c r="O75" s="4">
        <f t="shared" si="21"/>
        <v>66.666666666666657</v>
      </c>
      <c r="P75" s="4">
        <f t="shared" si="22"/>
        <v>66.666666666666657</v>
      </c>
      <c r="Q75" s="5">
        <f t="shared" si="23"/>
        <v>0</v>
      </c>
      <c r="R75" s="4">
        <f>4*(('01_WHOQOL_Items'!K75 + '01_WHOQOL_Items'!L75 + '01_WHOQOL_Items'!O75 + '01_WHOQOL_Items'!P75 + '01_WHOQOL_Items'!Q75 + '01_WHOQOL_Items'!Z75 + '01_WHOQOL_Items'!AA75 + '01_WHOQOL_Items'!AB75)/8)</f>
        <v>15.5</v>
      </c>
      <c r="S75" s="4">
        <f>4*(('01_WHOQOL_Items'!AK75 + '01_WHOQOL_Items'!AL75 + '01_WHOQOL_Items'!AO75 + '01_WHOQOL_Items'!AP75 + '01_WHOQOL_Items'!AQ75 + '01_WHOQOL_Items'!AZ75 + '01_WHOQOL_Items'!BA75 + '01_WHOQOL_Items'!BB75)/8)</f>
        <v>15.5</v>
      </c>
      <c r="T75" s="4">
        <f t="shared" si="24"/>
        <v>71.875</v>
      </c>
      <c r="U75" s="4">
        <f t="shared" si="25"/>
        <v>71.875</v>
      </c>
      <c r="V75" s="5">
        <f t="shared" si="26"/>
        <v>0</v>
      </c>
      <c r="W75" s="4">
        <f t="shared" si="27"/>
        <v>54.873511904761905</v>
      </c>
      <c r="X75" s="4">
        <f t="shared" si="28"/>
        <v>66.927083333333343</v>
      </c>
      <c r="Y75" s="5">
        <f t="shared" si="29"/>
        <v>0.21966101694915272</v>
      </c>
      <c r="Z75" s="1">
        <f>'01_WHOQOL_Items'!D75</f>
        <v>3</v>
      </c>
      <c r="AA75" s="1">
        <f>'01_WHOQOL_Items'!AD75</f>
        <v>4</v>
      </c>
      <c r="AB75" s="1">
        <f>'01_WHOQOL_Items'!E75</f>
        <v>2</v>
      </c>
      <c r="AC75" s="1">
        <f>'01_WHOQOL_Items'!AE75</f>
        <v>3</v>
      </c>
    </row>
    <row r="76" spans="1:29">
      <c r="A76" s="1" t="str">
        <f>'01_WHOQOL_Items'!A76</f>
        <v>EXP-075</v>
      </c>
      <c r="B76" s="1" t="str">
        <f>'01_WHOQOL_Items'!B76</f>
        <v>Experimental</v>
      </c>
      <c r="C76" s="4">
        <f>4*(((6-'01_WHOQOL_Items'!F76) + (6-'01_WHOQOL_Items'!G76) + '01_WHOQOL_Items'!M76 + '01_WHOQOL_Items'!R76 + '01_WHOQOL_Items'!S76 + '01_WHOQOL_Items'!T76 + '01_WHOQOL_Items'!U76)/7)</f>
        <v>16</v>
      </c>
      <c r="D76" s="4">
        <f>4*(((6-'01_WHOQOL_Items'!AF76) + (6-'01_WHOQOL_Items'!AG76) + '01_WHOQOL_Items'!AM76 + '01_WHOQOL_Items'!AR76 + '01_WHOQOL_Items'!AS76 + '01_WHOQOL_Items'!AT76 + '01_WHOQOL_Items'!AU76)/7)</f>
        <v>16.571428571428573</v>
      </c>
      <c r="E76" s="4">
        <f t="shared" si="15"/>
        <v>75</v>
      </c>
      <c r="F76" s="4">
        <f t="shared" si="16"/>
        <v>78.571428571428584</v>
      </c>
      <c r="G76" s="5">
        <f t="shared" si="17"/>
        <v>4.7619047619047783E-2</v>
      </c>
      <c r="H76" s="4">
        <f>4*(('01_WHOQOL_Items'!H76 + '01_WHOQOL_Items'!I76 + '01_WHOQOL_Items'!J76 + '01_WHOQOL_Items'!N76 + '01_WHOQOL_Items'!V76 + (6-'01_WHOQOL_Items'!AC76))/6)</f>
        <v>14</v>
      </c>
      <c r="I76" s="4">
        <f>4*(('01_WHOQOL_Items'!AH76 + '01_WHOQOL_Items'!AI76 + '01_WHOQOL_Items'!AJ76 + '01_WHOQOL_Items'!AN76 + '01_WHOQOL_Items'!AV76 + (6-'01_WHOQOL_Items'!BC76))/6)</f>
        <v>17.333333333333332</v>
      </c>
      <c r="J76" s="4">
        <f t="shared" si="18"/>
        <v>62.5</v>
      </c>
      <c r="K76" s="4">
        <f t="shared" si="19"/>
        <v>83.333333333333329</v>
      </c>
      <c r="L76" s="5">
        <f t="shared" si="20"/>
        <v>0.33333333333333326</v>
      </c>
      <c r="M76" s="4">
        <f>4*(('01_WHOQOL_Items'!W76 + '01_WHOQOL_Items'!X76 + '01_WHOQOL_Items'!Y76)/3)</f>
        <v>13.333333333333334</v>
      </c>
      <c r="N76" s="4">
        <f>4*(('01_WHOQOL_Items'!AW76 + '01_WHOQOL_Items'!AX76 + '01_WHOQOL_Items'!AY76)/3)</f>
        <v>16</v>
      </c>
      <c r="O76" s="4">
        <f t="shared" si="21"/>
        <v>58.333333333333336</v>
      </c>
      <c r="P76" s="4">
        <f t="shared" si="22"/>
        <v>75</v>
      </c>
      <c r="Q76" s="5">
        <f t="shared" si="23"/>
        <v>0.28571428571428564</v>
      </c>
      <c r="R76" s="4">
        <f>4*(('01_WHOQOL_Items'!K76 + '01_WHOQOL_Items'!L76 + '01_WHOQOL_Items'!O76 + '01_WHOQOL_Items'!P76 + '01_WHOQOL_Items'!Q76 + '01_WHOQOL_Items'!Z76 + '01_WHOQOL_Items'!AA76 + '01_WHOQOL_Items'!AB76)/8)</f>
        <v>11.5</v>
      </c>
      <c r="S76" s="4">
        <f>4*(('01_WHOQOL_Items'!AK76 + '01_WHOQOL_Items'!AL76 + '01_WHOQOL_Items'!AO76 + '01_WHOQOL_Items'!AP76 + '01_WHOQOL_Items'!AQ76 + '01_WHOQOL_Items'!AZ76 + '01_WHOQOL_Items'!BA76 + '01_WHOQOL_Items'!BB76)/8)</f>
        <v>13</v>
      </c>
      <c r="T76" s="4">
        <f t="shared" si="24"/>
        <v>46.875</v>
      </c>
      <c r="U76" s="4">
        <f t="shared" si="25"/>
        <v>56.25</v>
      </c>
      <c r="V76" s="5">
        <f t="shared" si="26"/>
        <v>0.2</v>
      </c>
      <c r="W76" s="4">
        <f t="shared" si="27"/>
        <v>60.677083333333336</v>
      </c>
      <c r="X76" s="4">
        <f t="shared" si="28"/>
        <v>73.288690476190482</v>
      </c>
      <c r="Y76" s="5">
        <f t="shared" si="29"/>
        <v>0.20784794604537099</v>
      </c>
      <c r="Z76" s="1">
        <f>'01_WHOQOL_Items'!D76</f>
        <v>3</v>
      </c>
      <c r="AA76" s="1">
        <f>'01_WHOQOL_Items'!AD76</f>
        <v>3</v>
      </c>
      <c r="AB76" s="1">
        <f>'01_WHOQOL_Items'!E76</f>
        <v>4</v>
      </c>
      <c r="AC76" s="1">
        <f>'01_WHOQOL_Items'!AE76</f>
        <v>5</v>
      </c>
    </row>
    <row r="77" spans="1:29">
      <c r="A77" s="1" t="str">
        <f>'01_WHOQOL_Items'!A77</f>
        <v>EXP-076</v>
      </c>
      <c r="B77" s="1" t="str">
        <f>'01_WHOQOL_Items'!B77</f>
        <v>Experimental</v>
      </c>
      <c r="C77" s="4">
        <f>4*(((6-'01_WHOQOL_Items'!F77) + (6-'01_WHOQOL_Items'!G77) + '01_WHOQOL_Items'!M77 + '01_WHOQOL_Items'!R77 + '01_WHOQOL_Items'!S77 + '01_WHOQOL_Items'!T77 + '01_WHOQOL_Items'!U77)/7)</f>
        <v>9.7142857142857135</v>
      </c>
      <c r="D77" s="4">
        <f>4*(((6-'01_WHOQOL_Items'!AF77) + (6-'01_WHOQOL_Items'!AG77) + '01_WHOQOL_Items'!AM77 + '01_WHOQOL_Items'!AR77 + '01_WHOQOL_Items'!AS77 + '01_WHOQOL_Items'!AT77 + '01_WHOQOL_Items'!AU77)/7)</f>
        <v>12</v>
      </c>
      <c r="E77" s="4">
        <f t="shared" si="15"/>
        <v>35.714285714285708</v>
      </c>
      <c r="F77" s="4">
        <f t="shared" si="16"/>
        <v>50</v>
      </c>
      <c r="G77" s="5">
        <f t="shared" si="17"/>
        <v>0.40000000000000024</v>
      </c>
      <c r="H77" s="4">
        <f>4*(('01_WHOQOL_Items'!H77 + '01_WHOQOL_Items'!I77 + '01_WHOQOL_Items'!J77 + '01_WHOQOL_Items'!N77 + '01_WHOQOL_Items'!V77 + (6-'01_WHOQOL_Items'!AC77))/6)</f>
        <v>8</v>
      </c>
      <c r="I77" s="4">
        <f>4*(('01_WHOQOL_Items'!AH77 + '01_WHOQOL_Items'!AI77 + '01_WHOQOL_Items'!AJ77 + '01_WHOQOL_Items'!AN77 + '01_WHOQOL_Items'!AV77 + (6-'01_WHOQOL_Items'!BC77))/6)</f>
        <v>10.666666666666666</v>
      </c>
      <c r="J77" s="4">
        <f t="shared" si="18"/>
        <v>25</v>
      </c>
      <c r="K77" s="4">
        <f t="shared" si="19"/>
        <v>41.666666666666664</v>
      </c>
      <c r="L77" s="5">
        <f t="shared" si="20"/>
        <v>0.66666666666666652</v>
      </c>
      <c r="M77" s="4">
        <f>4*(('01_WHOQOL_Items'!W77 + '01_WHOQOL_Items'!X77 + '01_WHOQOL_Items'!Y77)/3)</f>
        <v>10.666666666666666</v>
      </c>
      <c r="N77" s="4">
        <f>4*(('01_WHOQOL_Items'!AW77 + '01_WHOQOL_Items'!AX77 + '01_WHOQOL_Items'!AY77)/3)</f>
        <v>12</v>
      </c>
      <c r="O77" s="4">
        <f t="shared" si="21"/>
        <v>41.666666666666664</v>
      </c>
      <c r="P77" s="4">
        <f t="shared" si="22"/>
        <v>50</v>
      </c>
      <c r="Q77" s="5">
        <f t="shared" si="23"/>
        <v>0.20000000000000007</v>
      </c>
      <c r="R77" s="4">
        <f>4*(('01_WHOQOL_Items'!K77 + '01_WHOQOL_Items'!L77 + '01_WHOQOL_Items'!O77 + '01_WHOQOL_Items'!P77 + '01_WHOQOL_Items'!Q77 + '01_WHOQOL_Items'!Z77 + '01_WHOQOL_Items'!AA77 + '01_WHOQOL_Items'!AB77)/8)</f>
        <v>16.5</v>
      </c>
      <c r="S77" s="4">
        <f>4*(('01_WHOQOL_Items'!AK77 + '01_WHOQOL_Items'!AL77 + '01_WHOQOL_Items'!AO77 + '01_WHOQOL_Items'!AP77 + '01_WHOQOL_Items'!AQ77 + '01_WHOQOL_Items'!AZ77 + '01_WHOQOL_Items'!BA77 + '01_WHOQOL_Items'!BB77)/8)</f>
        <v>18</v>
      </c>
      <c r="T77" s="4">
        <f t="shared" si="24"/>
        <v>78.125</v>
      </c>
      <c r="U77" s="4">
        <f t="shared" si="25"/>
        <v>87.5</v>
      </c>
      <c r="V77" s="5">
        <f t="shared" si="26"/>
        <v>0.12</v>
      </c>
      <c r="W77" s="4">
        <f t="shared" si="27"/>
        <v>45.126488095238095</v>
      </c>
      <c r="X77" s="4">
        <f t="shared" si="28"/>
        <v>57.291666666666664</v>
      </c>
      <c r="Y77" s="5">
        <f t="shared" si="29"/>
        <v>0.26957955482275348</v>
      </c>
      <c r="Z77" s="1">
        <f>'01_WHOQOL_Items'!D77</f>
        <v>3</v>
      </c>
      <c r="AA77" s="1">
        <f>'01_WHOQOL_Items'!AD77</f>
        <v>3</v>
      </c>
      <c r="AB77" s="1">
        <f>'01_WHOQOL_Items'!E77</f>
        <v>2</v>
      </c>
      <c r="AC77" s="1">
        <f>'01_WHOQOL_Items'!AE77</f>
        <v>4</v>
      </c>
    </row>
    <row r="78" spans="1:29">
      <c r="A78" s="1" t="str">
        <f>'01_WHOQOL_Items'!A78</f>
        <v>EXP-077</v>
      </c>
      <c r="B78" s="1" t="str">
        <f>'01_WHOQOL_Items'!B78</f>
        <v>Experimental</v>
      </c>
      <c r="C78" s="4">
        <f>4*(((6-'01_WHOQOL_Items'!F78) + (6-'01_WHOQOL_Items'!G78) + '01_WHOQOL_Items'!M78 + '01_WHOQOL_Items'!R78 + '01_WHOQOL_Items'!S78 + '01_WHOQOL_Items'!T78 + '01_WHOQOL_Items'!U78)/7)</f>
        <v>13.714285714285714</v>
      </c>
      <c r="D78" s="4">
        <f>4*(((6-'01_WHOQOL_Items'!AF78) + (6-'01_WHOQOL_Items'!AG78) + '01_WHOQOL_Items'!AM78 + '01_WHOQOL_Items'!AR78 + '01_WHOQOL_Items'!AS78 + '01_WHOQOL_Items'!AT78 + '01_WHOQOL_Items'!AU78)/7)</f>
        <v>12.571428571428571</v>
      </c>
      <c r="E78" s="4">
        <f t="shared" si="15"/>
        <v>60.714285714285708</v>
      </c>
      <c r="F78" s="4">
        <f t="shared" si="16"/>
        <v>53.571428571428569</v>
      </c>
      <c r="G78" s="5">
        <f t="shared" si="17"/>
        <v>-0.11764705882352935</v>
      </c>
      <c r="H78" s="4">
        <f>4*(('01_WHOQOL_Items'!H78 + '01_WHOQOL_Items'!I78 + '01_WHOQOL_Items'!J78 + '01_WHOQOL_Items'!N78 + '01_WHOQOL_Items'!V78 + (6-'01_WHOQOL_Items'!AC78))/6)</f>
        <v>14.666666666666666</v>
      </c>
      <c r="I78" s="4">
        <f>4*(('01_WHOQOL_Items'!AH78 + '01_WHOQOL_Items'!AI78 + '01_WHOQOL_Items'!AJ78 + '01_WHOQOL_Items'!AN78 + '01_WHOQOL_Items'!AV78 + (6-'01_WHOQOL_Items'!BC78))/6)</f>
        <v>17.333333333333332</v>
      </c>
      <c r="J78" s="4">
        <f t="shared" si="18"/>
        <v>66.666666666666657</v>
      </c>
      <c r="K78" s="4">
        <f t="shared" si="19"/>
        <v>83.333333333333329</v>
      </c>
      <c r="L78" s="5">
        <f t="shared" si="20"/>
        <v>0.25000000000000011</v>
      </c>
      <c r="M78" s="4">
        <f>4*(('01_WHOQOL_Items'!W78 + '01_WHOQOL_Items'!X78 + '01_WHOQOL_Items'!Y78)/3)</f>
        <v>10.666666666666666</v>
      </c>
      <c r="N78" s="4">
        <f>4*(('01_WHOQOL_Items'!AW78 + '01_WHOQOL_Items'!AX78 + '01_WHOQOL_Items'!AY78)/3)</f>
        <v>12</v>
      </c>
      <c r="O78" s="4">
        <f t="shared" si="21"/>
        <v>41.666666666666664</v>
      </c>
      <c r="P78" s="4">
        <f t="shared" si="22"/>
        <v>50</v>
      </c>
      <c r="Q78" s="5">
        <f t="shared" si="23"/>
        <v>0.20000000000000007</v>
      </c>
      <c r="R78" s="4">
        <f>4*(('01_WHOQOL_Items'!K78 + '01_WHOQOL_Items'!L78 + '01_WHOQOL_Items'!O78 + '01_WHOQOL_Items'!P78 + '01_WHOQOL_Items'!Q78 + '01_WHOQOL_Items'!Z78 + '01_WHOQOL_Items'!AA78 + '01_WHOQOL_Items'!AB78)/8)</f>
        <v>13.5</v>
      </c>
      <c r="S78" s="4">
        <f>4*(('01_WHOQOL_Items'!AK78 + '01_WHOQOL_Items'!AL78 + '01_WHOQOL_Items'!AO78 + '01_WHOQOL_Items'!AP78 + '01_WHOQOL_Items'!AQ78 + '01_WHOQOL_Items'!AZ78 + '01_WHOQOL_Items'!BA78 + '01_WHOQOL_Items'!BB78)/8)</f>
        <v>16</v>
      </c>
      <c r="T78" s="4">
        <f t="shared" si="24"/>
        <v>59.375</v>
      </c>
      <c r="U78" s="4">
        <f t="shared" si="25"/>
        <v>75</v>
      </c>
      <c r="V78" s="5">
        <f t="shared" si="26"/>
        <v>0.26315789473684209</v>
      </c>
      <c r="W78" s="4">
        <f t="shared" si="27"/>
        <v>57.105654761904759</v>
      </c>
      <c r="X78" s="4">
        <f t="shared" si="28"/>
        <v>65.476190476190482</v>
      </c>
      <c r="Y78" s="5">
        <f t="shared" si="29"/>
        <v>0.14657980456026073</v>
      </c>
      <c r="Z78" s="1">
        <f>'01_WHOQOL_Items'!D78</f>
        <v>3</v>
      </c>
      <c r="AA78" s="1">
        <f>'01_WHOQOL_Items'!AD78</f>
        <v>4</v>
      </c>
      <c r="AB78" s="1">
        <f>'01_WHOQOL_Items'!E78</f>
        <v>2</v>
      </c>
      <c r="AC78" s="1">
        <f>'01_WHOQOL_Items'!AE78</f>
        <v>3</v>
      </c>
    </row>
    <row r="79" spans="1:29">
      <c r="A79" s="1" t="str">
        <f>'01_WHOQOL_Items'!A79</f>
        <v>EXP-078</v>
      </c>
      <c r="B79" s="1" t="str">
        <f>'01_WHOQOL_Items'!B79</f>
        <v>Experimental</v>
      </c>
      <c r="C79" s="4">
        <f>4*(((6-'01_WHOQOL_Items'!F79) + (6-'01_WHOQOL_Items'!G79) + '01_WHOQOL_Items'!M79 + '01_WHOQOL_Items'!R79 + '01_WHOQOL_Items'!S79 + '01_WHOQOL_Items'!T79 + '01_WHOQOL_Items'!U79)/7)</f>
        <v>13.714285714285714</v>
      </c>
      <c r="D79" s="4">
        <f>4*(((6-'01_WHOQOL_Items'!AF79) + (6-'01_WHOQOL_Items'!AG79) + '01_WHOQOL_Items'!AM79 + '01_WHOQOL_Items'!AR79 + '01_WHOQOL_Items'!AS79 + '01_WHOQOL_Items'!AT79 + '01_WHOQOL_Items'!AU79)/7)</f>
        <v>15.428571428571429</v>
      </c>
      <c r="E79" s="4">
        <f t="shared" si="15"/>
        <v>60.714285714285708</v>
      </c>
      <c r="F79" s="4">
        <f t="shared" si="16"/>
        <v>71.428571428571431</v>
      </c>
      <c r="G79" s="5">
        <f t="shared" si="17"/>
        <v>0.17647058823529427</v>
      </c>
      <c r="H79" s="4">
        <f>4*(('01_WHOQOL_Items'!H79 + '01_WHOQOL_Items'!I79 + '01_WHOQOL_Items'!J79 + '01_WHOQOL_Items'!N79 + '01_WHOQOL_Items'!V79 + (6-'01_WHOQOL_Items'!AC79))/6)</f>
        <v>12</v>
      </c>
      <c r="I79" s="4">
        <f>4*(('01_WHOQOL_Items'!AH79 + '01_WHOQOL_Items'!AI79 + '01_WHOQOL_Items'!AJ79 + '01_WHOQOL_Items'!AN79 + '01_WHOQOL_Items'!AV79 + (6-'01_WHOQOL_Items'!BC79))/6)</f>
        <v>12.666666666666666</v>
      </c>
      <c r="J79" s="4">
        <f t="shared" si="18"/>
        <v>50</v>
      </c>
      <c r="K79" s="4">
        <f t="shared" si="19"/>
        <v>54.166666666666664</v>
      </c>
      <c r="L79" s="5">
        <f t="shared" si="20"/>
        <v>8.3333333333333287E-2</v>
      </c>
      <c r="M79" s="4">
        <f>4*(('01_WHOQOL_Items'!W79 + '01_WHOQOL_Items'!X79 + '01_WHOQOL_Items'!Y79)/3)</f>
        <v>8</v>
      </c>
      <c r="N79" s="4">
        <f>4*(('01_WHOQOL_Items'!AW79 + '01_WHOQOL_Items'!AX79 + '01_WHOQOL_Items'!AY79)/3)</f>
        <v>14.666666666666666</v>
      </c>
      <c r="O79" s="4">
        <f t="shared" si="21"/>
        <v>25</v>
      </c>
      <c r="P79" s="4">
        <f t="shared" si="22"/>
        <v>66.666666666666657</v>
      </c>
      <c r="Q79" s="5">
        <f t="shared" si="23"/>
        <v>1.6666666666666663</v>
      </c>
      <c r="R79" s="4">
        <f>4*(('01_WHOQOL_Items'!K79 + '01_WHOQOL_Items'!L79 + '01_WHOQOL_Items'!O79 + '01_WHOQOL_Items'!P79 + '01_WHOQOL_Items'!Q79 + '01_WHOQOL_Items'!Z79 + '01_WHOQOL_Items'!AA79 + '01_WHOQOL_Items'!AB79)/8)</f>
        <v>13.5</v>
      </c>
      <c r="S79" s="4">
        <f>4*(('01_WHOQOL_Items'!AK79 + '01_WHOQOL_Items'!AL79 + '01_WHOQOL_Items'!AO79 + '01_WHOQOL_Items'!AP79 + '01_WHOQOL_Items'!AQ79 + '01_WHOQOL_Items'!AZ79 + '01_WHOQOL_Items'!BA79 + '01_WHOQOL_Items'!BB79)/8)</f>
        <v>15.5</v>
      </c>
      <c r="T79" s="4">
        <f t="shared" si="24"/>
        <v>59.375</v>
      </c>
      <c r="U79" s="4">
        <f t="shared" si="25"/>
        <v>71.875</v>
      </c>
      <c r="V79" s="5">
        <f t="shared" si="26"/>
        <v>0.21052631578947367</v>
      </c>
      <c r="W79" s="4">
        <f t="shared" si="27"/>
        <v>48.772321428571431</v>
      </c>
      <c r="X79" s="4">
        <f t="shared" si="28"/>
        <v>66.03422619047619</v>
      </c>
      <c r="Y79" s="5">
        <f t="shared" si="29"/>
        <v>0.35392829900839046</v>
      </c>
      <c r="Z79" s="1">
        <f>'01_WHOQOL_Items'!D79</f>
        <v>4</v>
      </c>
      <c r="AA79" s="1">
        <f>'01_WHOQOL_Items'!AD79</f>
        <v>4</v>
      </c>
      <c r="AB79" s="1">
        <f>'01_WHOQOL_Items'!E79</f>
        <v>3</v>
      </c>
      <c r="AC79" s="1">
        <f>'01_WHOQOL_Items'!AE79</f>
        <v>5</v>
      </c>
    </row>
    <row r="80" spans="1:29">
      <c r="A80" s="1" t="str">
        <f>'01_WHOQOL_Items'!A80</f>
        <v>EXP-079</v>
      </c>
      <c r="B80" s="1" t="str">
        <f>'01_WHOQOL_Items'!B80</f>
        <v>Experimental</v>
      </c>
      <c r="C80" s="4">
        <f>4*(((6-'01_WHOQOL_Items'!F80) + (6-'01_WHOQOL_Items'!G80) + '01_WHOQOL_Items'!M80 + '01_WHOQOL_Items'!R80 + '01_WHOQOL_Items'!S80 + '01_WHOQOL_Items'!T80 + '01_WHOQOL_Items'!U80)/7)</f>
        <v>14.285714285714286</v>
      </c>
      <c r="D80" s="4">
        <f>4*(((6-'01_WHOQOL_Items'!AF80) + (6-'01_WHOQOL_Items'!AG80) + '01_WHOQOL_Items'!AM80 + '01_WHOQOL_Items'!AR80 + '01_WHOQOL_Items'!AS80 + '01_WHOQOL_Items'!AT80 + '01_WHOQOL_Items'!AU80)/7)</f>
        <v>16.571428571428573</v>
      </c>
      <c r="E80" s="4">
        <f t="shared" si="15"/>
        <v>64.285714285714292</v>
      </c>
      <c r="F80" s="4">
        <f t="shared" si="16"/>
        <v>78.571428571428584</v>
      </c>
      <c r="G80" s="5">
        <f t="shared" si="17"/>
        <v>0.22222222222222229</v>
      </c>
      <c r="H80" s="4">
        <f>4*(('01_WHOQOL_Items'!H80 + '01_WHOQOL_Items'!I80 + '01_WHOQOL_Items'!J80 + '01_WHOQOL_Items'!N80 + '01_WHOQOL_Items'!V80 + (6-'01_WHOQOL_Items'!AC80))/6)</f>
        <v>10</v>
      </c>
      <c r="I80" s="4">
        <f>4*(('01_WHOQOL_Items'!AH80 + '01_WHOQOL_Items'!AI80 + '01_WHOQOL_Items'!AJ80 + '01_WHOQOL_Items'!AN80 + '01_WHOQOL_Items'!AV80 + (6-'01_WHOQOL_Items'!BC80))/6)</f>
        <v>11.333333333333334</v>
      </c>
      <c r="J80" s="4">
        <f t="shared" si="18"/>
        <v>37.5</v>
      </c>
      <c r="K80" s="4">
        <f t="shared" si="19"/>
        <v>45.833333333333336</v>
      </c>
      <c r="L80" s="5">
        <f t="shared" si="20"/>
        <v>0.22222222222222229</v>
      </c>
      <c r="M80" s="4">
        <f>4*(('01_WHOQOL_Items'!W80 + '01_WHOQOL_Items'!X80 + '01_WHOQOL_Items'!Y80)/3)</f>
        <v>12</v>
      </c>
      <c r="N80" s="4">
        <f>4*(('01_WHOQOL_Items'!AW80 + '01_WHOQOL_Items'!AX80 + '01_WHOQOL_Items'!AY80)/3)</f>
        <v>13.333333333333334</v>
      </c>
      <c r="O80" s="4">
        <f t="shared" si="21"/>
        <v>50</v>
      </c>
      <c r="P80" s="4">
        <f t="shared" si="22"/>
        <v>58.333333333333336</v>
      </c>
      <c r="Q80" s="5">
        <f t="shared" si="23"/>
        <v>0.16666666666666671</v>
      </c>
      <c r="R80" s="4">
        <f>4*(('01_WHOQOL_Items'!K80 + '01_WHOQOL_Items'!L80 + '01_WHOQOL_Items'!O80 + '01_WHOQOL_Items'!P80 + '01_WHOQOL_Items'!Q80 + '01_WHOQOL_Items'!Z80 + '01_WHOQOL_Items'!AA80 + '01_WHOQOL_Items'!AB80)/8)</f>
        <v>17.5</v>
      </c>
      <c r="S80" s="4">
        <f>4*(('01_WHOQOL_Items'!AK80 + '01_WHOQOL_Items'!AL80 + '01_WHOQOL_Items'!AO80 + '01_WHOQOL_Items'!AP80 + '01_WHOQOL_Items'!AQ80 + '01_WHOQOL_Items'!AZ80 + '01_WHOQOL_Items'!BA80 + '01_WHOQOL_Items'!BB80)/8)</f>
        <v>16.5</v>
      </c>
      <c r="T80" s="4">
        <f t="shared" si="24"/>
        <v>84.375</v>
      </c>
      <c r="U80" s="4">
        <f t="shared" si="25"/>
        <v>78.125</v>
      </c>
      <c r="V80" s="5">
        <f t="shared" si="26"/>
        <v>-7.407407407407407E-2</v>
      </c>
      <c r="W80" s="4">
        <f t="shared" si="27"/>
        <v>59.040178571428569</v>
      </c>
      <c r="X80" s="4">
        <f t="shared" si="28"/>
        <v>65.215773809523824</v>
      </c>
      <c r="Y80" s="5">
        <f t="shared" si="29"/>
        <v>0.10459987397605575</v>
      </c>
      <c r="Z80" s="1">
        <f>'01_WHOQOL_Items'!D80</f>
        <v>4</v>
      </c>
      <c r="AA80" s="1">
        <f>'01_WHOQOL_Items'!AD80</f>
        <v>4</v>
      </c>
      <c r="AB80" s="1">
        <f>'01_WHOQOL_Items'!E80</f>
        <v>4</v>
      </c>
      <c r="AC80" s="1">
        <f>'01_WHOQOL_Items'!AE80</f>
        <v>3</v>
      </c>
    </row>
    <row r="81" spans="1:29">
      <c r="A81" s="1" t="str">
        <f>'01_WHOQOL_Items'!A81</f>
        <v>EXP-080</v>
      </c>
      <c r="B81" s="1" t="str">
        <f>'01_WHOQOL_Items'!B81</f>
        <v>Experimental</v>
      </c>
      <c r="C81" s="4">
        <f>4*(((6-'01_WHOQOL_Items'!F81) + (6-'01_WHOQOL_Items'!G81) + '01_WHOQOL_Items'!M81 + '01_WHOQOL_Items'!R81 + '01_WHOQOL_Items'!S81 + '01_WHOQOL_Items'!T81 + '01_WHOQOL_Items'!U81)/7)</f>
        <v>16</v>
      </c>
      <c r="D81" s="4">
        <f>4*(((6-'01_WHOQOL_Items'!AF81) + (6-'01_WHOQOL_Items'!AG81) + '01_WHOQOL_Items'!AM81 + '01_WHOQOL_Items'!AR81 + '01_WHOQOL_Items'!AS81 + '01_WHOQOL_Items'!AT81 + '01_WHOQOL_Items'!AU81)/7)</f>
        <v>17.714285714285715</v>
      </c>
      <c r="E81" s="4">
        <f t="shared" si="15"/>
        <v>75</v>
      </c>
      <c r="F81" s="4">
        <f t="shared" si="16"/>
        <v>85.714285714285722</v>
      </c>
      <c r="G81" s="5">
        <f t="shared" si="17"/>
        <v>0.14285714285714296</v>
      </c>
      <c r="H81" s="4">
        <f>4*(('01_WHOQOL_Items'!H81 + '01_WHOQOL_Items'!I81 + '01_WHOQOL_Items'!J81 + '01_WHOQOL_Items'!N81 + '01_WHOQOL_Items'!V81 + (6-'01_WHOQOL_Items'!AC81))/6)</f>
        <v>16.666666666666668</v>
      </c>
      <c r="I81" s="4">
        <f>4*(('01_WHOQOL_Items'!AH81 + '01_WHOQOL_Items'!AI81 + '01_WHOQOL_Items'!AJ81 + '01_WHOQOL_Items'!AN81 + '01_WHOQOL_Items'!AV81 + (6-'01_WHOQOL_Items'!BC81))/6)</f>
        <v>18.666666666666668</v>
      </c>
      <c r="J81" s="4">
        <f t="shared" si="18"/>
        <v>79.166666666666671</v>
      </c>
      <c r="K81" s="4">
        <f t="shared" si="19"/>
        <v>91.666666666666671</v>
      </c>
      <c r="L81" s="5">
        <f t="shared" si="20"/>
        <v>0.15789473684210525</v>
      </c>
      <c r="M81" s="4">
        <f>4*(('01_WHOQOL_Items'!W81 + '01_WHOQOL_Items'!X81 + '01_WHOQOL_Items'!Y81)/3)</f>
        <v>14.666666666666666</v>
      </c>
      <c r="N81" s="4">
        <f>4*(('01_WHOQOL_Items'!AW81 + '01_WHOQOL_Items'!AX81 + '01_WHOQOL_Items'!AY81)/3)</f>
        <v>17.333333333333332</v>
      </c>
      <c r="O81" s="4">
        <f t="shared" si="21"/>
        <v>66.666666666666657</v>
      </c>
      <c r="P81" s="4">
        <f t="shared" si="22"/>
        <v>83.333333333333329</v>
      </c>
      <c r="Q81" s="5">
        <f t="shared" si="23"/>
        <v>0.25000000000000011</v>
      </c>
      <c r="R81" s="4">
        <f>4*(('01_WHOQOL_Items'!K81 + '01_WHOQOL_Items'!L81 + '01_WHOQOL_Items'!O81 + '01_WHOQOL_Items'!P81 + '01_WHOQOL_Items'!Q81 + '01_WHOQOL_Items'!Z81 + '01_WHOQOL_Items'!AA81 + '01_WHOQOL_Items'!AB81)/8)</f>
        <v>12.5</v>
      </c>
      <c r="S81" s="4">
        <f>4*(('01_WHOQOL_Items'!AK81 + '01_WHOQOL_Items'!AL81 + '01_WHOQOL_Items'!AO81 + '01_WHOQOL_Items'!AP81 + '01_WHOQOL_Items'!AQ81 + '01_WHOQOL_Items'!AZ81 + '01_WHOQOL_Items'!BA81 + '01_WHOQOL_Items'!BB81)/8)</f>
        <v>15.5</v>
      </c>
      <c r="T81" s="4">
        <f t="shared" si="24"/>
        <v>53.125</v>
      </c>
      <c r="U81" s="4">
        <f t="shared" si="25"/>
        <v>71.875</v>
      </c>
      <c r="V81" s="5">
        <f t="shared" si="26"/>
        <v>0.35294117647058826</v>
      </c>
      <c r="W81" s="4">
        <f t="shared" si="27"/>
        <v>68.489583333333343</v>
      </c>
      <c r="X81" s="4">
        <f t="shared" si="28"/>
        <v>83.147321428571431</v>
      </c>
      <c r="Y81" s="5">
        <f t="shared" si="29"/>
        <v>0.21401412275936976</v>
      </c>
      <c r="Z81" s="1">
        <f>'01_WHOQOL_Items'!D81</f>
        <v>3</v>
      </c>
      <c r="AA81" s="1">
        <f>'01_WHOQOL_Items'!AD81</f>
        <v>4</v>
      </c>
      <c r="AB81" s="1">
        <f>'01_WHOQOL_Items'!E81</f>
        <v>4</v>
      </c>
      <c r="AC81" s="1">
        <f>'01_WHOQOL_Items'!AE81</f>
        <v>4</v>
      </c>
    </row>
    <row r="82" spans="1:29">
      <c r="A82" s="1" t="str">
        <f>'01_WHOQOL_Items'!A82</f>
        <v>EXP-081</v>
      </c>
      <c r="B82" s="1" t="str">
        <f>'01_WHOQOL_Items'!B82</f>
        <v>Experimental</v>
      </c>
      <c r="C82" s="4">
        <f>4*(((6-'01_WHOQOL_Items'!F82) + (6-'01_WHOQOL_Items'!G82) + '01_WHOQOL_Items'!M82 + '01_WHOQOL_Items'!R82 + '01_WHOQOL_Items'!S82 + '01_WHOQOL_Items'!T82 + '01_WHOQOL_Items'!U82)/7)</f>
        <v>12</v>
      </c>
      <c r="D82" s="4">
        <f>4*(((6-'01_WHOQOL_Items'!AF82) + (6-'01_WHOQOL_Items'!AG82) + '01_WHOQOL_Items'!AM82 + '01_WHOQOL_Items'!AR82 + '01_WHOQOL_Items'!AS82 + '01_WHOQOL_Items'!AT82 + '01_WHOQOL_Items'!AU82)/7)</f>
        <v>13.142857142857142</v>
      </c>
      <c r="E82" s="4">
        <f t="shared" si="15"/>
        <v>50</v>
      </c>
      <c r="F82" s="4">
        <f t="shared" si="16"/>
        <v>57.142857142857139</v>
      </c>
      <c r="G82" s="5">
        <f t="shared" si="17"/>
        <v>0.14285714285714277</v>
      </c>
      <c r="H82" s="4">
        <f>4*(('01_WHOQOL_Items'!H82 + '01_WHOQOL_Items'!I82 + '01_WHOQOL_Items'!J82 + '01_WHOQOL_Items'!N82 + '01_WHOQOL_Items'!V82 + (6-'01_WHOQOL_Items'!AC82))/6)</f>
        <v>10.666666666666666</v>
      </c>
      <c r="I82" s="4">
        <f>4*(('01_WHOQOL_Items'!AH82 + '01_WHOQOL_Items'!AI82 + '01_WHOQOL_Items'!AJ82 + '01_WHOQOL_Items'!AN82 + '01_WHOQOL_Items'!AV82 + (6-'01_WHOQOL_Items'!BC82))/6)</f>
        <v>13.333333333333334</v>
      </c>
      <c r="J82" s="4">
        <f t="shared" si="18"/>
        <v>41.666666666666664</v>
      </c>
      <c r="K82" s="4">
        <f t="shared" si="19"/>
        <v>58.333333333333336</v>
      </c>
      <c r="L82" s="5">
        <f t="shared" si="20"/>
        <v>0.40000000000000013</v>
      </c>
      <c r="M82" s="4">
        <f>4*(('01_WHOQOL_Items'!W82 + '01_WHOQOL_Items'!X82 + '01_WHOQOL_Items'!Y82)/3)</f>
        <v>8</v>
      </c>
      <c r="N82" s="4">
        <f>4*(('01_WHOQOL_Items'!AW82 + '01_WHOQOL_Items'!AX82 + '01_WHOQOL_Items'!AY82)/3)</f>
        <v>12</v>
      </c>
      <c r="O82" s="4">
        <f t="shared" si="21"/>
        <v>25</v>
      </c>
      <c r="P82" s="4">
        <f t="shared" si="22"/>
        <v>50</v>
      </c>
      <c r="Q82" s="5">
        <f t="shared" si="23"/>
        <v>1</v>
      </c>
      <c r="R82" s="4">
        <f>4*(('01_WHOQOL_Items'!K82 + '01_WHOQOL_Items'!L82 + '01_WHOQOL_Items'!O82 + '01_WHOQOL_Items'!P82 + '01_WHOQOL_Items'!Q82 + '01_WHOQOL_Items'!Z82 + '01_WHOQOL_Items'!AA82 + '01_WHOQOL_Items'!AB82)/8)</f>
        <v>14</v>
      </c>
      <c r="S82" s="4">
        <f>4*(('01_WHOQOL_Items'!AK82 + '01_WHOQOL_Items'!AL82 + '01_WHOQOL_Items'!AO82 + '01_WHOQOL_Items'!AP82 + '01_WHOQOL_Items'!AQ82 + '01_WHOQOL_Items'!AZ82 + '01_WHOQOL_Items'!BA82 + '01_WHOQOL_Items'!BB82)/8)</f>
        <v>13.5</v>
      </c>
      <c r="T82" s="4">
        <f t="shared" si="24"/>
        <v>62.5</v>
      </c>
      <c r="U82" s="4">
        <f t="shared" si="25"/>
        <v>59.375</v>
      </c>
      <c r="V82" s="5">
        <f t="shared" si="26"/>
        <v>-0.05</v>
      </c>
      <c r="W82" s="4">
        <f t="shared" si="27"/>
        <v>44.791666666666664</v>
      </c>
      <c r="X82" s="4">
        <f t="shared" si="28"/>
        <v>56.21279761904762</v>
      </c>
      <c r="Y82" s="5">
        <f t="shared" si="29"/>
        <v>0.25498338870431903</v>
      </c>
      <c r="Z82" s="1">
        <f>'01_WHOQOL_Items'!D82</f>
        <v>3</v>
      </c>
      <c r="AA82" s="1">
        <f>'01_WHOQOL_Items'!AD82</f>
        <v>3</v>
      </c>
      <c r="AB82" s="1">
        <f>'01_WHOQOL_Items'!E82</f>
        <v>3</v>
      </c>
      <c r="AC82" s="1">
        <f>'01_WHOQOL_Items'!AE82</f>
        <v>3</v>
      </c>
    </row>
    <row r="83" spans="1:29">
      <c r="A83" s="1" t="str">
        <f>'01_WHOQOL_Items'!A83</f>
        <v>EXP-082</v>
      </c>
      <c r="B83" s="1" t="str">
        <f>'01_WHOQOL_Items'!B83</f>
        <v>Experimental</v>
      </c>
      <c r="C83" s="4">
        <f>4*(((6-'01_WHOQOL_Items'!F83) + (6-'01_WHOQOL_Items'!G83) + '01_WHOQOL_Items'!M83 + '01_WHOQOL_Items'!R83 + '01_WHOQOL_Items'!S83 + '01_WHOQOL_Items'!T83 + '01_WHOQOL_Items'!U83)/7)</f>
        <v>11.428571428571429</v>
      </c>
      <c r="D83" s="4">
        <f>4*(((6-'01_WHOQOL_Items'!AF83) + (6-'01_WHOQOL_Items'!AG83) + '01_WHOQOL_Items'!AM83 + '01_WHOQOL_Items'!AR83 + '01_WHOQOL_Items'!AS83 + '01_WHOQOL_Items'!AT83 + '01_WHOQOL_Items'!AU83)/7)</f>
        <v>16.571428571428573</v>
      </c>
      <c r="E83" s="4">
        <f t="shared" si="15"/>
        <v>46.428571428571431</v>
      </c>
      <c r="F83" s="4">
        <f t="shared" si="16"/>
        <v>78.571428571428584</v>
      </c>
      <c r="G83" s="5">
        <f t="shared" si="17"/>
        <v>0.69230769230769251</v>
      </c>
      <c r="H83" s="4">
        <f>4*(('01_WHOQOL_Items'!H83 + '01_WHOQOL_Items'!I83 + '01_WHOQOL_Items'!J83 + '01_WHOQOL_Items'!N83 + '01_WHOQOL_Items'!V83 + (6-'01_WHOQOL_Items'!AC83))/6)</f>
        <v>11.333333333333334</v>
      </c>
      <c r="I83" s="4">
        <f>4*(('01_WHOQOL_Items'!AH83 + '01_WHOQOL_Items'!AI83 + '01_WHOQOL_Items'!AJ83 + '01_WHOQOL_Items'!AN83 + '01_WHOQOL_Items'!AV83 + (6-'01_WHOQOL_Items'!BC83))/6)</f>
        <v>15.333333333333334</v>
      </c>
      <c r="J83" s="4">
        <f t="shared" si="18"/>
        <v>45.833333333333336</v>
      </c>
      <c r="K83" s="4">
        <f t="shared" si="19"/>
        <v>70.833333333333343</v>
      </c>
      <c r="L83" s="5">
        <f t="shared" si="20"/>
        <v>0.54545454545454564</v>
      </c>
      <c r="M83" s="4">
        <f>4*(('01_WHOQOL_Items'!W83 + '01_WHOQOL_Items'!X83 + '01_WHOQOL_Items'!Y83)/3)</f>
        <v>12</v>
      </c>
      <c r="N83" s="4">
        <f>4*(('01_WHOQOL_Items'!AW83 + '01_WHOQOL_Items'!AX83 + '01_WHOQOL_Items'!AY83)/3)</f>
        <v>14.666666666666666</v>
      </c>
      <c r="O83" s="4">
        <f t="shared" si="21"/>
        <v>50</v>
      </c>
      <c r="P83" s="4">
        <f t="shared" si="22"/>
        <v>66.666666666666657</v>
      </c>
      <c r="Q83" s="5">
        <f t="shared" si="23"/>
        <v>0.33333333333333315</v>
      </c>
      <c r="R83" s="4">
        <f>4*(('01_WHOQOL_Items'!K83 + '01_WHOQOL_Items'!L83 + '01_WHOQOL_Items'!O83 + '01_WHOQOL_Items'!P83 + '01_WHOQOL_Items'!Q83 + '01_WHOQOL_Items'!Z83 + '01_WHOQOL_Items'!AA83 + '01_WHOQOL_Items'!AB83)/8)</f>
        <v>16</v>
      </c>
      <c r="S83" s="4">
        <f>4*(('01_WHOQOL_Items'!AK83 + '01_WHOQOL_Items'!AL83 + '01_WHOQOL_Items'!AO83 + '01_WHOQOL_Items'!AP83 + '01_WHOQOL_Items'!AQ83 + '01_WHOQOL_Items'!AZ83 + '01_WHOQOL_Items'!BA83 + '01_WHOQOL_Items'!BB83)/8)</f>
        <v>17.5</v>
      </c>
      <c r="T83" s="4">
        <f t="shared" si="24"/>
        <v>75</v>
      </c>
      <c r="U83" s="4">
        <f t="shared" si="25"/>
        <v>84.375</v>
      </c>
      <c r="V83" s="5">
        <f t="shared" si="26"/>
        <v>0.125</v>
      </c>
      <c r="W83" s="4">
        <f t="shared" si="27"/>
        <v>54.31547619047619</v>
      </c>
      <c r="X83" s="4">
        <f t="shared" si="28"/>
        <v>75.111607142857139</v>
      </c>
      <c r="Y83" s="5">
        <f t="shared" si="29"/>
        <v>0.38287671232876708</v>
      </c>
      <c r="Z83" s="1">
        <f>'01_WHOQOL_Items'!D83</f>
        <v>4</v>
      </c>
      <c r="AA83" s="1">
        <f>'01_WHOQOL_Items'!AD83</f>
        <v>4</v>
      </c>
      <c r="AB83" s="1">
        <f>'01_WHOQOL_Items'!E83</f>
        <v>2</v>
      </c>
      <c r="AC83" s="1">
        <f>'01_WHOQOL_Items'!AE83</f>
        <v>4</v>
      </c>
    </row>
    <row r="84" spans="1:29">
      <c r="A84" s="1" t="str">
        <f>'01_WHOQOL_Items'!A84</f>
        <v>EXP-083</v>
      </c>
      <c r="B84" s="1" t="str">
        <f>'01_WHOQOL_Items'!B84</f>
        <v>Experimental</v>
      </c>
      <c r="C84" s="4">
        <f>4*(((6-'01_WHOQOL_Items'!F84) + (6-'01_WHOQOL_Items'!G84) + '01_WHOQOL_Items'!M84 + '01_WHOQOL_Items'!R84 + '01_WHOQOL_Items'!S84 + '01_WHOQOL_Items'!T84 + '01_WHOQOL_Items'!U84)/7)</f>
        <v>14.857142857142858</v>
      </c>
      <c r="D84" s="4">
        <f>4*(((6-'01_WHOQOL_Items'!AF84) + (6-'01_WHOQOL_Items'!AG84) + '01_WHOQOL_Items'!AM84 + '01_WHOQOL_Items'!AR84 + '01_WHOQOL_Items'!AS84 + '01_WHOQOL_Items'!AT84 + '01_WHOQOL_Items'!AU84)/7)</f>
        <v>13.714285714285714</v>
      </c>
      <c r="E84" s="4">
        <f t="shared" si="15"/>
        <v>67.857142857142861</v>
      </c>
      <c r="F84" s="4">
        <f t="shared" si="16"/>
        <v>60.714285714285708</v>
      </c>
      <c r="G84" s="5">
        <f t="shared" si="17"/>
        <v>-0.10526315789473699</v>
      </c>
      <c r="H84" s="4">
        <f>4*(('01_WHOQOL_Items'!H84 + '01_WHOQOL_Items'!I84 + '01_WHOQOL_Items'!J84 + '01_WHOQOL_Items'!N84 + '01_WHOQOL_Items'!V84 + (6-'01_WHOQOL_Items'!AC84))/6)</f>
        <v>10.666666666666666</v>
      </c>
      <c r="I84" s="4">
        <f>4*(('01_WHOQOL_Items'!AH84 + '01_WHOQOL_Items'!AI84 + '01_WHOQOL_Items'!AJ84 + '01_WHOQOL_Items'!AN84 + '01_WHOQOL_Items'!AV84 + (6-'01_WHOQOL_Items'!BC84))/6)</f>
        <v>15.333333333333334</v>
      </c>
      <c r="J84" s="4">
        <f t="shared" si="18"/>
        <v>41.666666666666664</v>
      </c>
      <c r="K84" s="4">
        <f t="shared" si="19"/>
        <v>70.833333333333343</v>
      </c>
      <c r="L84" s="5">
        <f t="shared" si="20"/>
        <v>0.70000000000000029</v>
      </c>
      <c r="M84" s="4">
        <f>4*(('01_WHOQOL_Items'!W84 + '01_WHOQOL_Items'!X84 + '01_WHOQOL_Items'!Y84)/3)</f>
        <v>9.3333333333333339</v>
      </c>
      <c r="N84" s="4">
        <f>4*(('01_WHOQOL_Items'!AW84 + '01_WHOQOL_Items'!AX84 + '01_WHOQOL_Items'!AY84)/3)</f>
        <v>13.333333333333334</v>
      </c>
      <c r="O84" s="4">
        <f t="shared" si="21"/>
        <v>33.333333333333336</v>
      </c>
      <c r="P84" s="4">
        <f t="shared" si="22"/>
        <v>58.333333333333336</v>
      </c>
      <c r="Q84" s="5">
        <f t="shared" si="23"/>
        <v>0.75</v>
      </c>
      <c r="R84" s="4">
        <f>4*(('01_WHOQOL_Items'!K84 + '01_WHOQOL_Items'!L84 + '01_WHOQOL_Items'!O84 + '01_WHOQOL_Items'!P84 + '01_WHOQOL_Items'!Q84 + '01_WHOQOL_Items'!Z84 + '01_WHOQOL_Items'!AA84 + '01_WHOQOL_Items'!AB84)/8)</f>
        <v>11</v>
      </c>
      <c r="S84" s="4">
        <f>4*(('01_WHOQOL_Items'!AK84 + '01_WHOQOL_Items'!AL84 + '01_WHOQOL_Items'!AO84 + '01_WHOQOL_Items'!AP84 + '01_WHOQOL_Items'!AQ84 + '01_WHOQOL_Items'!AZ84 + '01_WHOQOL_Items'!BA84 + '01_WHOQOL_Items'!BB84)/8)</f>
        <v>12</v>
      </c>
      <c r="T84" s="4">
        <f t="shared" si="24"/>
        <v>43.75</v>
      </c>
      <c r="U84" s="4">
        <f t="shared" si="25"/>
        <v>50</v>
      </c>
      <c r="V84" s="5">
        <f t="shared" si="26"/>
        <v>0.14285714285714285</v>
      </c>
      <c r="W84" s="4">
        <f t="shared" si="27"/>
        <v>46.651785714285715</v>
      </c>
      <c r="X84" s="4">
        <f t="shared" si="28"/>
        <v>59.970238095238095</v>
      </c>
      <c r="Y84" s="5">
        <f t="shared" si="29"/>
        <v>0.28548644338118018</v>
      </c>
      <c r="Z84" s="1">
        <f>'01_WHOQOL_Items'!D84</f>
        <v>2</v>
      </c>
      <c r="AA84" s="1">
        <f>'01_WHOQOL_Items'!AD84</f>
        <v>3</v>
      </c>
      <c r="AB84" s="1">
        <f>'01_WHOQOL_Items'!E84</f>
        <v>3</v>
      </c>
      <c r="AC84" s="1">
        <f>'01_WHOQOL_Items'!AE84</f>
        <v>3</v>
      </c>
    </row>
    <row r="85" spans="1:29">
      <c r="A85" s="1" t="str">
        <f>'01_WHOQOL_Items'!A85</f>
        <v>EXP-084</v>
      </c>
      <c r="B85" s="1" t="str">
        <f>'01_WHOQOL_Items'!B85</f>
        <v>Experimental</v>
      </c>
      <c r="C85" s="4">
        <f>4*(((6-'01_WHOQOL_Items'!F85) + (6-'01_WHOQOL_Items'!G85) + '01_WHOQOL_Items'!M85 + '01_WHOQOL_Items'!R85 + '01_WHOQOL_Items'!S85 + '01_WHOQOL_Items'!T85 + '01_WHOQOL_Items'!U85)/7)</f>
        <v>12.571428571428571</v>
      </c>
      <c r="D85" s="4">
        <f>4*(((6-'01_WHOQOL_Items'!AF85) + (6-'01_WHOQOL_Items'!AG85) + '01_WHOQOL_Items'!AM85 + '01_WHOQOL_Items'!AR85 + '01_WHOQOL_Items'!AS85 + '01_WHOQOL_Items'!AT85 + '01_WHOQOL_Items'!AU85)/7)</f>
        <v>10.857142857142858</v>
      </c>
      <c r="E85" s="4">
        <f t="shared" si="15"/>
        <v>53.571428571428569</v>
      </c>
      <c r="F85" s="4">
        <f t="shared" si="16"/>
        <v>42.857142857142861</v>
      </c>
      <c r="G85" s="5">
        <f t="shared" si="17"/>
        <v>-0.1999999999999999</v>
      </c>
      <c r="H85" s="4">
        <f>4*(('01_WHOQOL_Items'!H85 + '01_WHOQOL_Items'!I85 + '01_WHOQOL_Items'!J85 + '01_WHOQOL_Items'!N85 + '01_WHOQOL_Items'!V85 + (6-'01_WHOQOL_Items'!AC85))/6)</f>
        <v>9.3333333333333339</v>
      </c>
      <c r="I85" s="4">
        <f>4*(('01_WHOQOL_Items'!AH85 + '01_WHOQOL_Items'!AI85 + '01_WHOQOL_Items'!AJ85 + '01_WHOQOL_Items'!AN85 + '01_WHOQOL_Items'!AV85 + (6-'01_WHOQOL_Items'!BC85))/6)</f>
        <v>13.333333333333334</v>
      </c>
      <c r="J85" s="4">
        <f t="shared" si="18"/>
        <v>33.333333333333336</v>
      </c>
      <c r="K85" s="4">
        <f t="shared" si="19"/>
        <v>58.333333333333336</v>
      </c>
      <c r="L85" s="5">
        <f t="shared" si="20"/>
        <v>0.75</v>
      </c>
      <c r="M85" s="4">
        <f>4*(('01_WHOQOL_Items'!W85 + '01_WHOQOL_Items'!X85 + '01_WHOQOL_Items'!Y85)/3)</f>
        <v>10.666666666666666</v>
      </c>
      <c r="N85" s="4">
        <f>4*(('01_WHOQOL_Items'!AW85 + '01_WHOQOL_Items'!AX85 + '01_WHOQOL_Items'!AY85)/3)</f>
        <v>14.666666666666666</v>
      </c>
      <c r="O85" s="4">
        <f t="shared" si="21"/>
        <v>41.666666666666664</v>
      </c>
      <c r="P85" s="4">
        <f t="shared" si="22"/>
        <v>66.666666666666657</v>
      </c>
      <c r="Q85" s="5">
        <f t="shared" si="23"/>
        <v>0.59999999999999987</v>
      </c>
      <c r="R85" s="4">
        <f>4*(('01_WHOQOL_Items'!K85 + '01_WHOQOL_Items'!L85 + '01_WHOQOL_Items'!O85 + '01_WHOQOL_Items'!P85 + '01_WHOQOL_Items'!Q85 + '01_WHOQOL_Items'!Z85 + '01_WHOQOL_Items'!AA85 + '01_WHOQOL_Items'!AB85)/8)</f>
        <v>13.5</v>
      </c>
      <c r="S85" s="4">
        <f>4*(('01_WHOQOL_Items'!AK85 + '01_WHOQOL_Items'!AL85 + '01_WHOQOL_Items'!AO85 + '01_WHOQOL_Items'!AP85 + '01_WHOQOL_Items'!AQ85 + '01_WHOQOL_Items'!AZ85 + '01_WHOQOL_Items'!BA85 + '01_WHOQOL_Items'!BB85)/8)</f>
        <v>12</v>
      </c>
      <c r="T85" s="4">
        <f t="shared" si="24"/>
        <v>59.375</v>
      </c>
      <c r="U85" s="4">
        <f t="shared" si="25"/>
        <v>50</v>
      </c>
      <c r="V85" s="5">
        <f t="shared" si="26"/>
        <v>-0.15789473684210525</v>
      </c>
      <c r="W85" s="4">
        <f t="shared" si="27"/>
        <v>46.986607142857139</v>
      </c>
      <c r="X85" s="4">
        <f t="shared" si="28"/>
        <v>54.464285714285715</v>
      </c>
      <c r="Y85" s="5">
        <f t="shared" si="29"/>
        <v>0.15914489311163907</v>
      </c>
      <c r="Z85" s="1">
        <f>'01_WHOQOL_Items'!D85</f>
        <v>2</v>
      </c>
      <c r="AA85" s="1">
        <f>'01_WHOQOL_Items'!AD85</f>
        <v>4</v>
      </c>
      <c r="AB85" s="1">
        <f>'01_WHOQOL_Items'!E85</f>
        <v>2</v>
      </c>
      <c r="AC85" s="1">
        <f>'01_WHOQOL_Items'!AE85</f>
        <v>3</v>
      </c>
    </row>
    <row r="86" spans="1:29">
      <c r="A86" s="1" t="str">
        <f>'01_WHOQOL_Items'!A86</f>
        <v>EXP-085</v>
      </c>
      <c r="B86" s="1" t="str">
        <f>'01_WHOQOL_Items'!B86</f>
        <v>Experimental</v>
      </c>
      <c r="C86" s="4">
        <f>4*(((6-'01_WHOQOL_Items'!F86) + (6-'01_WHOQOL_Items'!G86) + '01_WHOQOL_Items'!M86 + '01_WHOQOL_Items'!R86 + '01_WHOQOL_Items'!S86 + '01_WHOQOL_Items'!T86 + '01_WHOQOL_Items'!U86)/7)</f>
        <v>12</v>
      </c>
      <c r="D86" s="4">
        <f>4*(((6-'01_WHOQOL_Items'!AF86) + (6-'01_WHOQOL_Items'!AG86) + '01_WHOQOL_Items'!AM86 + '01_WHOQOL_Items'!AR86 + '01_WHOQOL_Items'!AS86 + '01_WHOQOL_Items'!AT86 + '01_WHOQOL_Items'!AU86)/7)</f>
        <v>14.857142857142858</v>
      </c>
      <c r="E86" s="4">
        <f t="shared" si="15"/>
        <v>50</v>
      </c>
      <c r="F86" s="4">
        <f t="shared" si="16"/>
        <v>67.857142857142861</v>
      </c>
      <c r="G86" s="5">
        <f t="shared" si="17"/>
        <v>0.35714285714285721</v>
      </c>
      <c r="H86" s="4">
        <f>4*(('01_WHOQOL_Items'!H86 + '01_WHOQOL_Items'!I86 + '01_WHOQOL_Items'!J86 + '01_WHOQOL_Items'!N86 + '01_WHOQOL_Items'!V86 + (6-'01_WHOQOL_Items'!AC86))/6)</f>
        <v>12.666666666666666</v>
      </c>
      <c r="I86" s="4">
        <f>4*(('01_WHOQOL_Items'!AH86 + '01_WHOQOL_Items'!AI86 + '01_WHOQOL_Items'!AJ86 + '01_WHOQOL_Items'!AN86 + '01_WHOQOL_Items'!AV86 + (6-'01_WHOQOL_Items'!BC86))/6)</f>
        <v>15.333333333333334</v>
      </c>
      <c r="J86" s="4">
        <f t="shared" si="18"/>
        <v>54.166666666666664</v>
      </c>
      <c r="K86" s="4">
        <f t="shared" si="19"/>
        <v>70.833333333333343</v>
      </c>
      <c r="L86" s="5">
        <f t="shared" si="20"/>
        <v>0.30769230769230793</v>
      </c>
      <c r="M86" s="4">
        <f>4*(('01_WHOQOL_Items'!W86 + '01_WHOQOL_Items'!X86 + '01_WHOQOL_Items'!Y86)/3)</f>
        <v>9.3333333333333339</v>
      </c>
      <c r="N86" s="4">
        <f>4*(('01_WHOQOL_Items'!AW86 + '01_WHOQOL_Items'!AX86 + '01_WHOQOL_Items'!AY86)/3)</f>
        <v>13.333333333333334</v>
      </c>
      <c r="O86" s="4">
        <f t="shared" si="21"/>
        <v>33.333333333333336</v>
      </c>
      <c r="P86" s="4">
        <f t="shared" si="22"/>
        <v>58.333333333333336</v>
      </c>
      <c r="Q86" s="5">
        <f t="shared" si="23"/>
        <v>0.75</v>
      </c>
      <c r="R86" s="4">
        <f>4*(('01_WHOQOL_Items'!K86 + '01_WHOQOL_Items'!L86 + '01_WHOQOL_Items'!O86 + '01_WHOQOL_Items'!P86 + '01_WHOQOL_Items'!Q86 + '01_WHOQOL_Items'!Z86 + '01_WHOQOL_Items'!AA86 + '01_WHOQOL_Items'!AB86)/8)</f>
        <v>10</v>
      </c>
      <c r="S86" s="4">
        <f>4*(('01_WHOQOL_Items'!AK86 + '01_WHOQOL_Items'!AL86 + '01_WHOQOL_Items'!AO86 + '01_WHOQOL_Items'!AP86 + '01_WHOQOL_Items'!AQ86 + '01_WHOQOL_Items'!AZ86 + '01_WHOQOL_Items'!BA86 + '01_WHOQOL_Items'!BB86)/8)</f>
        <v>10.5</v>
      </c>
      <c r="T86" s="4">
        <f t="shared" si="24"/>
        <v>37.5</v>
      </c>
      <c r="U86" s="4">
        <f t="shared" si="25"/>
        <v>40.625</v>
      </c>
      <c r="V86" s="5">
        <f t="shared" si="26"/>
        <v>8.3333333333333329E-2</v>
      </c>
      <c r="W86" s="4">
        <f t="shared" si="27"/>
        <v>43.75</v>
      </c>
      <c r="X86" s="4">
        <f t="shared" si="28"/>
        <v>59.412202380952387</v>
      </c>
      <c r="Y86" s="5">
        <f t="shared" si="29"/>
        <v>0.35799319727891171</v>
      </c>
      <c r="Z86" s="1">
        <f>'01_WHOQOL_Items'!D86</f>
        <v>2</v>
      </c>
      <c r="AA86" s="1">
        <f>'01_WHOQOL_Items'!AD86</f>
        <v>3</v>
      </c>
      <c r="AB86" s="1">
        <f>'01_WHOQOL_Items'!E86</f>
        <v>3</v>
      </c>
      <c r="AC86" s="1">
        <f>'01_WHOQOL_Items'!AE86</f>
        <v>4</v>
      </c>
    </row>
    <row r="87" spans="1:29">
      <c r="A87" s="1" t="str">
        <f>'01_WHOQOL_Items'!A87</f>
        <v>EXP-086</v>
      </c>
      <c r="B87" s="1" t="str">
        <f>'01_WHOQOL_Items'!B87</f>
        <v>Experimental</v>
      </c>
      <c r="C87" s="4">
        <f>4*(((6-'01_WHOQOL_Items'!F87) + (6-'01_WHOQOL_Items'!G87) + '01_WHOQOL_Items'!M87 + '01_WHOQOL_Items'!R87 + '01_WHOQOL_Items'!S87 + '01_WHOQOL_Items'!T87 + '01_WHOQOL_Items'!U87)/7)</f>
        <v>13.142857142857142</v>
      </c>
      <c r="D87" s="4">
        <f>4*(((6-'01_WHOQOL_Items'!AF87) + (6-'01_WHOQOL_Items'!AG87) + '01_WHOQOL_Items'!AM87 + '01_WHOQOL_Items'!AR87 + '01_WHOQOL_Items'!AS87 + '01_WHOQOL_Items'!AT87 + '01_WHOQOL_Items'!AU87)/7)</f>
        <v>14.285714285714286</v>
      </c>
      <c r="E87" s="4">
        <f t="shared" si="15"/>
        <v>57.142857142857139</v>
      </c>
      <c r="F87" s="4">
        <f t="shared" si="16"/>
        <v>64.285714285714292</v>
      </c>
      <c r="G87" s="5">
        <f t="shared" si="17"/>
        <v>0.12500000000000019</v>
      </c>
      <c r="H87" s="4">
        <f>4*(('01_WHOQOL_Items'!H87 + '01_WHOQOL_Items'!I87 + '01_WHOQOL_Items'!J87 + '01_WHOQOL_Items'!N87 + '01_WHOQOL_Items'!V87 + (6-'01_WHOQOL_Items'!AC87))/6)</f>
        <v>12</v>
      </c>
      <c r="I87" s="4">
        <f>4*(('01_WHOQOL_Items'!AH87 + '01_WHOQOL_Items'!AI87 + '01_WHOQOL_Items'!AJ87 + '01_WHOQOL_Items'!AN87 + '01_WHOQOL_Items'!AV87 + (6-'01_WHOQOL_Items'!BC87))/6)</f>
        <v>16.666666666666668</v>
      </c>
      <c r="J87" s="4">
        <f t="shared" si="18"/>
        <v>50</v>
      </c>
      <c r="K87" s="4">
        <f t="shared" si="19"/>
        <v>79.166666666666671</v>
      </c>
      <c r="L87" s="5">
        <f t="shared" si="20"/>
        <v>0.58333333333333348</v>
      </c>
      <c r="M87" s="4">
        <f>4*(('01_WHOQOL_Items'!W87 + '01_WHOQOL_Items'!X87 + '01_WHOQOL_Items'!Y87)/3)</f>
        <v>13.333333333333334</v>
      </c>
      <c r="N87" s="4">
        <f>4*(('01_WHOQOL_Items'!AW87 + '01_WHOQOL_Items'!AX87 + '01_WHOQOL_Items'!AY87)/3)</f>
        <v>13.333333333333334</v>
      </c>
      <c r="O87" s="4">
        <f t="shared" si="21"/>
        <v>58.333333333333336</v>
      </c>
      <c r="P87" s="4">
        <f t="shared" si="22"/>
        <v>58.333333333333336</v>
      </c>
      <c r="Q87" s="5">
        <f t="shared" si="23"/>
        <v>0</v>
      </c>
      <c r="R87" s="4">
        <f>4*(('01_WHOQOL_Items'!K87 + '01_WHOQOL_Items'!L87 + '01_WHOQOL_Items'!O87 + '01_WHOQOL_Items'!P87 + '01_WHOQOL_Items'!Q87 + '01_WHOQOL_Items'!Z87 + '01_WHOQOL_Items'!AA87 + '01_WHOQOL_Items'!AB87)/8)</f>
        <v>13</v>
      </c>
      <c r="S87" s="4">
        <f>4*(('01_WHOQOL_Items'!AK87 + '01_WHOQOL_Items'!AL87 + '01_WHOQOL_Items'!AO87 + '01_WHOQOL_Items'!AP87 + '01_WHOQOL_Items'!AQ87 + '01_WHOQOL_Items'!AZ87 + '01_WHOQOL_Items'!BA87 + '01_WHOQOL_Items'!BB87)/8)</f>
        <v>16</v>
      </c>
      <c r="T87" s="4">
        <f t="shared" si="24"/>
        <v>56.25</v>
      </c>
      <c r="U87" s="4">
        <f t="shared" si="25"/>
        <v>75</v>
      </c>
      <c r="V87" s="5">
        <f t="shared" si="26"/>
        <v>0.33333333333333331</v>
      </c>
      <c r="W87" s="4">
        <f t="shared" si="27"/>
        <v>55.43154761904762</v>
      </c>
      <c r="X87" s="4">
        <f t="shared" si="28"/>
        <v>69.196428571428584</v>
      </c>
      <c r="Y87" s="5">
        <f t="shared" si="29"/>
        <v>0.24832214765100691</v>
      </c>
      <c r="Z87" s="1">
        <f>'01_WHOQOL_Items'!D87</f>
        <v>3</v>
      </c>
      <c r="AA87" s="1">
        <f>'01_WHOQOL_Items'!AD87</f>
        <v>3</v>
      </c>
      <c r="AB87" s="1">
        <f>'01_WHOQOL_Items'!E87</f>
        <v>4</v>
      </c>
      <c r="AC87" s="1">
        <f>'01_WHOQOL_Items'!AE87</f>
        <v>4</v>
      </c>
    </row>
    <row r="88" spans="1:29">
      <c r="A88" s="1" t="str">
        <f>'01_WHOQOL_Items'!A88</f>
        <v>EXP-087</v>
      </c>
      <c r="B88" s="1" t="str">
        <f>'01_WHOQOL_Items'!B88</f>
        <v>Experimental</v>
      </c>
      <c r="C88" s="4">
        <f>4*(((6-'01_WHOQOL_Items'!F88) + (6-'01_WHOQOL_Items'!G88) + '01_WHOQOL_Items'!M88 + '01_WHOQOL_Items'!R88 + '01_WHOQOL_Items'!S88 + '01_WHOQOL_Items'!T88 + '01_WHOQOL_Items'!U88)/7)</f>
        <v>10.857142857142858</v>
      </c>
      <c r="D88" s="4">
        <f>4*(((6-'01_WHOQOL_Items'!AF88) + (6-'01_WHOQOL_Items'!AG88) + '01_WHOQOL_Items'!AM88 + '01_WHOQOL_Items'!AR88 + '01_WHOQOL_Items'!AS88 + '01_WHOQOL_Items'!AT88 + '01_WHOQOL_Items'!AU88)/7)</f>
        <v>12</v>
      </c>
      <c r="E88" s="4">
        <f t="shared" si="15"/>
        <v>42.857142857142861</v>
      </c>
      <c r="F88" s="4">
        <f t="shared" si="16"/>
        <v>50</v>
      </c>
      <c r="G88" s="5">
        <f t="shared" si="17"/>
        <v>0.16666666666666655</v>
      </c>
      <c r="H88" s="4">
        <f>4*(('01_WHOQOL_Items'!H88 + '01_WHOQOL_Items'!I88 + '01_WHOQOL_Items'!J88 + '01_WHOQOL_Items'!N88 + '01_WHOQOL_Items'!V88 + (6-'01_WHOQOL_Items'!AC88))/6)</f>
        <v>12</v>
      </c>
      <c r="I88" s="4">
        <f>4*(('01_WHOQOL_Items'!AH88 + '01_WHOQOL_Items'!AI88 + '01_WHOQOL_Items'!AJ88 + '01_WHOQOL_Items'!AN88 + '01_WHOQOL_Items'!AV88 + (6-'01_WHOQOL_Items'!BC88))/6)</f>
        <v>15.333333333333334</v>
      </c>
      <c r="J88" s="4">
        <f t="shared" si="18"/>
        <v>50</v>
      </c>
      <c r="K88" s="4">
        <f t="shared" si="19"/>
        <v>70.833333333333343</v>
      </c>
      <c r="L88" s="5">
        <f t="shared" si="20"/>
        <v>0.41666666666666685</v>
      </c>
      <c r="M88" s="4">
        <f>4*(('01_WHOQOL_Items'!W88 + '01_WHOQOL_Items'!X88 + '01_WHOQOL_Items'!Y88)/3)</f>
        <v>10.666666666666666</v>
      </c>
      <c r="N88" s="4">
        <f>4*(('01_WHOQOL_Items'!AW88 + '01_WHOQOL_Items'!AX88 + '01_WHOQOL_Items'!AY88)/3)</f>
        <v>16</v>
      </c>
      <c r="O88" s="4">
        <f t="shared" si="21"/>
        <v>41.666666666666664</v>
      </c>
      <c r="P88" s="4">
        <f t="shared" si="22"/>
        <v>75</v>
      </c>
      <c r="Q88" s="5">
        <f t="shared" si="23"/>
        <v>0.80000000000000016</v>
      </c>
      <c r="R88" s="4">
        <f>4*(('01_WHOQOL_Items'!K88 + '01_WHOQOL_Items'!L88 + '01_WHOQOL_Items'!O88 + '01_WHOQOL_Items'!P88 + '01_WHOQOL_Items'!Q88 + '01_WHOQOL_Items'!Z88 + '01_WHOQOL_Items'!AA88 + '01_WHOQOL_Items'!AB88)/8)</f>
        <v>10</v>
      </c>
      <c r="S88" s="4">
        <f>4*(('01_WHOQOL_Items'!AK88 + '01_WHOQOL_Items'!AL88 + '01_WHOQOL_Items'!AO88 + '01_WHOQOL_Items'!AP88 + '01_WHOQOL_Items'!AQ88 + '01_WHOQOL_Items'!AZ88 + '01_WHOQOL_Items'!BA88 + '01_WHOQOL_Items'!BB88)/8)</f>
        <v>12.5</v>
      </c>
      <c r="T88" s="4">
        <f t="shared" si="24"/>
        <v>37.5</v>
      </c>
      <c r="U88" s="4">
        <f t="shared" si="25"/>
        <v>53.125</v>
      </c>
      <c r="V88" s="5">
        <f t="shared" si="26"/>
        <v>0.41666666666666669</v>
      </c>
      <c r="W88" s="4">
        <f t="shared" si="27"/>
        <v>43.00595238095238</v>
      </c>
      <c r="X88" s="4">
        <f t="shared" si="28"/>
        <v>62.239583333333336</v>
      </c>
      <c r="Y88" s="5">
        <f t="shared" si="29"/>
        <v>0.44723183391003468</v>
      </c>
      <c r="Z88" s="1">
        <f>'01_WHOQOL_Items'!D88</f>
        <v>3</v>
      </c>
      <c r="AA88" s="1">
        <f>'01_WHOQOL_Items'!AD88</f>
        <v>3</v>
      </c>
      <c r="AB88" s="1">
        <f>'01_WHOQOL_Items'!E88</f>
        <v>2</v>
      </c>
      <c r="AC88" s="1">
        <f>'01_WHOQOL_Items'!AE88</f>
        <v>3</v>
      </c>
    </row>
    <row r="89" spans="1:29">
      <c r="A89" s="1" t="str">
        <f>'01_WHOQOL_Items'!A89</f>
        <v>EXP-088</v>
      </c>
      <c r="B89" s="1" t="str">
        <f>'01_WHOQOL_Items'!B89</f>
        <v>Experimental</v>
      </c>
      <c r="C89" s="4">
        <f>4*(((6-'01_WHOQOL_Items'!F89) + (6-'01_WHOQOL_Items'!G89) + '01_WHOQOL_Items'!M89 + '01_WHOQOL_Items'!R89 + '01_WHOQOL_Items'!S89 + '01_WHOQOL_Items'!T89 + '01_WHOQOL_Items'!U89)/7)</f>
        <v>13.714285714285714</v>
      </c>
      <c r="D89" s="4">
        <f>4*(((6-'01_WHOQOL_Items'!AF89) + (6-'01_WHOQOL_Items'!AG89) + '01_WHOQOL_Items'!AM89 + '01_WHOQOL_Items'!AR89 + '01_WHOQOL_Items'!AS89 + '01_WHOQOL_Items'!AT89 + '01_WHOQOL_Items'!AU89)/7)</f>
        <v>16</v>
      </c>
      <c r="E89" s="4">
        <f t="shared" si="15"/>
        <v>60.714285714285708</v>
      </c>
      <c r="F89" s="4">
        <f t="shared" si="16"/>
        <v>75</v>
      </c>
      <c r="G89" s="5">
        <f t="shared" si="17"/>
        <v>0.23529411764705896</v>
      </c>
      <c r="H89" s="4">
        <f>4*(('01_WHOQOL_Items'!H89 + '01_WHOQOL_Items'!I89 + '01_WHOQOL_Items'!J89 + '01_WHOQOL_Items'!N89 + '01_WHOQOL_Items'!V89 + (6-'01_WHOQOL_Items'!AC89))/6)</f>
        <v>9.3333333333333339</v>
      </c>
      <c r="I89" s="4">
        <f>4*(('01_WHOQOL_Items'!AH89 + '01_WHOQOL_Items'!AI89 + '01_WHOQOL_Items'!AJ89 + '01_WHOQOL_Items'!AN89 + '01_WHOQOL_Items'!AV89 + (6-'01_WHOQOL_Items'!BC89))/6)</f>
        <v>12.666666666666666</v>
      </c>
      <c r="J89" s="4">
        <f t="shared" si="18"/>
        <v>33.333333333333336</v>
      </c>
      <c r="K89" s="4">
        <f t="shared" si="19"/>
        <v>54.166666666666664</v>
      </c>
      <c r="L89" s="5">
        <f t="shared" si="20"/>
        <v>0.62499999999999978</v>
      </c>
      <c r="M89" s="4">
        <f>4*(('01_WHOQOL_Items'!W89 + '01_WHOQOL_Items'!X89 + '01_WHOQOL_Items'!Y89)/3)</f>
        <v>12</v>
      </c>
      <c r="N89" s="4">
        <f>4*(('01_WHOQOL_Items'!AW89 + '01_WHOQOL_Items'!AX89 + '01_WHOQOL_Items'!AY89)/3)</f>
        <v>12</v>
      </c>
      <c r="O89" s="4">
        <f t="shared" si="21"/>
        <v>50</v>
      </c>
      <c r="P89" s="4">
        <f t="shared" si="22"/>
        <v>50</v>
      </c>
      <c r="Q89" s="5">
        <f t="shared" si="23"/>
        <v>0</v>
      </c>
      <c r="R89" s="4">
        <f>4*(('01_WHOQOL_Items'!K89 + '01_WHOQOL_Items'!L89 + '01_WHOQOL_Items'!O89 + '01_WHOQOL_Items'!P89 + '01_WHOQOL_Items'!Q89 + '01_WHOQOL_Items'!Z89 + '01_WHOQOL_Items'!AA89 + '01_WHOQOL_Items'!AB89)/8)</f>
        <v>14</v>
      </c>
      <c r="S89" s="4">
        <f>4*(('01_WHOQOL_Items'!AK89 + '01_WHOQOL_Items'!AL89 + '01_WHOQOL_Items'!AO89 + '01_WHOQOL_Items'!AP89 + '01_WHOQOL_Items'!AQ89 + '01_WHOQOL_Items'!AZ89 + '01_WHOQOL_Items'!BA89 + '01_WHOQOL_Items'!BB89)/8)</f>
        <v>15.5</v>
      </c>
      <c r="T89" s="4">
        <f t="shared" si="24"/>
        <v>62.5</v>
      </c>
      <c r="U89" s="4">
        <f t="shared" si="25"/>
        <v>71.875</v>
      </c>
      <c r="V89" s="5">
        <f t="shared" si="26"/>
        <v>0.15</v>
      </c>
      <c r="W89" s="4">
        <f t="shared" si="27"/>
        <v>51.636904761904759</v>
      </c>
      <c r="X89" s="4">
        <f t="shared" si="28"/>
        <v>62.760416666666664</v>
      </c>
      <c r="Y89" s="5">
        <f t="shared" si="29"/>
        <v>0.21541786743515851</v>
      </c>
      <c r="Z89" s="1">
        <f>'01_WHOQOL_Items'!D89</f>
        <v>3</v>
      </c>
      <c r="AA89" s="1">
        <f>'01_WHOQOL_Items'!AD89</f>
        <v>4</v>
      </c>
      <c r="AB89" s="1">
        <f>'01_WHOQOL_Items'!E89</f>
        <v>4</v>
      </c>
      <c r="AC89" s="1">
        <f>'01_WHOQOL_Items'!AE89</f>
        <v>3</v>
      </c>
    </row>
    <row r="90" spans="1:29">
      <c r="A90" s="1" t="str">
        <f>'01_WHOQOL_Items'!A90</f>
        <v>EXP-089</v>
      </c>
      <c r="B90" s="1" t="str">
        <f>'01_WHOQOL_Items'!B90</f>
        <v>Experimental</v>
      </c>
      <c r="C90" s="4">
        <f>4*(((6-'01_WHOQOL_Items'!F90) + (6-'01_WHOQOL_Items'!G90) + '01_WHOQOL_Items'!M90 + '01_WHOQOL_Items'!R90 + '01_WHOQOL_Items'!S90 + '01_WHOQOL_Items'!T90 + '01_WHOQOL_Items'!U90)/7)</f>
        <v>12</v>
      </c>
      <c r="D90" s="4">
        <f>4*(((6-'01_WHOQOL_Items'!AF90) + (6-'01_WHOQOL_Items'!AG90) + '01_WHOQOL_Items'!AM90 + '01_WHOQOL_Items'!AR90 + '01_WHOQOL_Items'!AS90 + '01_WHOQOL_Items'!AT90 + '01_WHOQOL_Items'!AU90)/7)</f>
        <v>12</v>
      </c>
      <c r="E90" s="4">
        <f t="shared" si="15"/>
        <v>50</v>
      </c>
      <c r="F90" s="4">
        <f t="shared" si="16"/>
        <v>50</v>
      </c>
      <c r="G90" s="5">
        <f t="shared" si="17"/>
        <v>0</v>
      </c>
      <c r="H90" s="4">
        <f>4*(('01_WHOQOL_Items'!H90 + '01_WHOQOL_Items'!I90 + '01_WHOQOL_Items'!J90 + '01_WHOQOL_Items'!N90 + '01_WHOQOL_Items'!V90 + (6-'01_WHOQOL_Items'!AC90))/6)</f>
        <v>10</v>
      </c>
      <c r="I90" s="4">
        <f>4*(('01_WHOQOL_Items'!AH90 + '01_WHOQOL_Items'!AI90 + '01_WHOQOL_Items'!AJ90 + '01_WHOQOL_Items'!AN90 + '01_WHOQOL_Items'!AV90 + (6-'01_WHOQOL_Items'!BC90))/6)</f>
        <v>11.333333333333334</v>
      </c>
      <c r="J90" s="4">
        <f t="shared" si="18"/>
        <v>37.5</v>
      </c>
      <c r="K90" s="4">
        <f t="shared" si="19"/>
        <v>45.833333333333336</v>
      </c>
      <c r="L90" s="5">
        <f t="shared" si="20"/>
        <v>0.22222222222222229</v>
      </c>
      <c r="M90" s="4">
        <f>4*(('01_WHOQOL_Items'!W90 + '01_WHOQOL_Items'!X90 + '01_WHOQOL_Items'!Y90)/3)</f>
        <v>10.666666666666666</v>
      </c>
      <c r="N90" s="4">
        <f>4*(('01_WHOQOL_Items'!AW90 + '01_WHOQOL_Items'!AX90 + '01_WHOQOL_Items'!AY90)/3)</f>
        <v>14.666666666666666</v>
      </c>
      <c r="O90" s="4">
        <f t="shared" si="21"/>
        <v>41.666666666666664</v>
      </c>
      <c r="P90" s="4">
        <f t="shared" si="22"/>
        <v>66.666666666666657</v>
      </c>
      <c r="Q90" s="5">
        <f t="shared" si="23"/>
        <v>0.59999999999999987</v>
      </c>
      <c r="R90" s="4">
        <f>4*(('01_WHOQOL_Items'!K90 + '01_WHOQOL_Items'!L90 + '01_WHOQOL_Items'!O90 + '01_WHOQOL_Items'!P90 + '01_WHOQOL_Items'!Q90 + '01_WHOQOL_Items'!Z90 + '01_WHOQOL_Items'!AA90 + '01_WHOQOL_Items'!AB90)/8)</f>
        <v>12</v>
      </c>
      <c r="S90" s="4">
        <f>4*(('01_WHOQOL_Items'!AK90 + '01_WHOQOL_Items'!AL90 + '01_WHOQOL_Items'!AO90 + '01_WHOQOL_Items'!AP90 + '01_WHOQOL_Items'!AQ90 + '01_WHOQOL_Items'!AZ90 + '01_WHOQOL_Items'!BA90 + '01_WHOQOL_Items'!BB90)/8)</f>
        <v>14</v>
      </c>
      <c r="T90" s="4">
        <f t="shared" si="24"/>
        <v>50</v>
      </c>
      <c r="U90" s="4">
        <f t="shared" si="25"/>
        <v>62.5</v>
      </c>
      <c r="V90" s="5">
        <f t="shared" si="26"/>
        <v>0.25</v>
      </c>
      <c r="W90" s="4">
        <f t="shared" si="27"/>
        <v>44.791666666666664</v>
      </c>
      <c r="X90" s="4">
        <f t="shared" si="28"/>
        <v>56.25</v>
      </c>
      <c r="Y90" s="5">
        <f t="shared" si="29"/>
        <v>0.25581395348837216</v>
      </c>
      <c r="Z90" s="1">
        <f>'01_WHOQOL_Items'!D90</f>
        <v>3</v>
      </c>
      <c r="AA90" s="1">
        <f>'01_WHOQOL_Items'!AD90</f>
        <v>3</v>
      </c>
      <c r="AB90" s="1">
        <f>'01_WHOQOL_Items'!E90</f>
        <v>3</v>
      </c>
      <c r="AC90" s="1">
        <f>'01_WHOQOL_Items'!AE90</f>
        <v>3</v>
      </c>
    </row>
    <row r="91" spans="1:29">
      <c r="A91" s="1" t="str">
        <f>'01_WHOQOL_Items'!A91</f>
        <v>EXP-090</v>
      </c>
      <c r="B91" s="1" t="str">
        <f>'01_WHOQOL_Items'!B91</f>
        <v>Experimental</v>
      </c>
      <c r="C91" s="4">
        <f>4*(((6-'01_WHOQOL_Items'!F91) + (6-'01_WHOQOL_Items'!G91) + '01_WHOQOL_Items'!M91 + '01_WHOQOL_Items'!R91 + '01_WHOQOL_Items'!S91 + '01_WHOQOL_Items'!T91 + '01_WHOQOL_Items'!U91)/7)</f>
        <v>13.142857142857142</v>
      </c>
      <c r="D91" s="4">
        <f>4*(((6-'01_WHOQOL_Items'!AF91) + (6-'01_WHOQOL_Items'!AG91) + '01_WHOQOL_Items'!AM91 + '01_WHOQOL_Items'!AR91 + '01_WHOQOL_Items'!AS91 + '01_WHOQOL_Items'!AT91 + '01_WHOQOL_Items'!AU91)/7)</f>
        <v>16</v>
      </c>
      <c r="E91" s="4">
        <f t="shared" si="15"/>
        <v>57.142857142857139</v>
      </c>
      <c r="F91" s="4">
        <f t="shared" si="16"/>
        <v>75</v>
      </c>
      <c r="G91" s="5">
        <f t="shared" si="17"/>
        <v>0.31250000000000011</v>
      </c>
      <c r="H91" s="4">
        <f>4*(('01_WHOQOL_Items'!H91 + '01_WHOQOL_Items'!I91 + '01_WHOQOL_Items'!J91 + '01_WHOQOL_Items'!N91 + '01_WHOQOL_Items'!V91 + (6-'01_WHOQOL_Items'!AC91))/6)</f>
        <v>8</v>
      </c>
      <c r="I91" s="4">
        <f>4*(('01_WHOQOL_Items'!AH91 + '01_WHOQOL_Items'!AI91 + '01_WHOQOL_Items'!AJ91 + '01_WHOQOL_Items'!AN91 + '01_WHOQOL_Items'!AV91 + (6-'01_WHOQOL_Items'!BC91))/6)</f>
        <v>12</v>
      </c>
      <c r="J91" s="4">
        <f t="shared" si="18"/>
        <v>25</v>
      </c>
      <c r="K91" s="4">
        <f t="shared" si="19"/>
        <v>50</v>
      </c>
      <c r="L91" s="5">
        <f t="shared" si="20"/>
        <v>1</v>
      </c>
      <c r="M91" s="4">
        <f>4*(('01_WHOQOL_Items'!W91 + '01_WHOQOL_Items'!X91 + '01_WHOQOL_Items'!Y91)/3)</f>
        <v>13.333333333333334</v>
      </c>
      <c r="N91" s="4">
        <f>4*(('01_WHOQOL_Items'!AW91 + '01_WHOQOL_Items'!AX91 + '01_WHOQOL_Items'!AY91)/3)</f>
        <v>16</v>
      </c>
      <c r="O91" s="4">
        <f t="shared" si="21"/>
        <v>58.333333333333336</v>
      </c>
      <c r="P91" s="4">
        <f t="shared" si="22"/>
        <v>75</v>
      </c>
      <c r="Q91" s="5">
        <f t="shared" si="23"/>
        <v>0.28571428571428564</v>
      </c>
      <c r="R91" s="4">
        <f>4*(('01_WHOQOL_Items'!K91 + '01_WHOQOL_Items'!L91 + '01_WHOQOL_Items'!O91 + '01_WHOQOL_Items'!P91 + '01_WHOQOL_Items'!Q91 + '01_WHOQOL_Items'!Z91 + '01_WHOQOL_Items'!AA91 + '01_WHOQOL_Items'!AB91)/8)</f>
        <v>13</v>
      </c>
      <c r="S91" s="4">
        <f>4*(('01_WHOQOL_Items'!AK91 + '01_WHOQOL_Items'!AL91 + '01_WHOQOL_Items'!AO91 + '01_WHOQOL_Items'!AP91 + '01_WHOQOL_Items'!AQ91 + '01_WHOQOL_Items'!AZ91 + '01_WHOQOL_Items'!BA91 + '01_WHOQOL_Items'!BB91)/8)</f>
        <v>16</v>
      </c>
      <c r="T91" s="4">
        <f t="shared" si="24"/>
        <v>56.25</v>
      </c>
      <c r="U91" s="4">
        <f t="shared" si="25"/>
        <v>75</v>
      </c>
      <c r="V91" s="5">
        <f t="shared" si="26"/>
        <v>0.33333333333333331</v>
      </c>
      <c r="W91" s="4">
        <f t="shared" si="27"/>
        <v>49.18154761904762</v>
      </c>
      <c r="X91" s="4">
        <f t="shared" si="28"/>
        <v>68.75</v>
      </c>
      <c r="Y91" s="5">
        <f t="shared" si="29"/>
        <v>0.39788199697428134</v>
      </c>
      <c r="Z91" s="1">
        <f>'01_WHOQOL_Items'!D91</f>
        <v>3</v>
      </c>
      <c r="AA91" s="1">
        <f>'01_WHOQOL_Items'!AD91</f>
        <v>4</v>
      </c>
      <c r="AB91" s="1">
        <f>'01_WHOQOL_Items'!E91</f>
        <v>4</v>
      </c>
      <c r="AC91" s="1">
        <f>'01_WHOQOL_Items'!AE91</f>
        <v>4</v>
      </c>
    </row>
    <row r="92" spans="1:29">
      <c r="A92" s="1" t="str">
        <f>'01_WHOQOL_Items'!A92</f>
        <v>EXP-091</v>
      </c>
      <c r="B92" s="1" t="str">
        <f>'01_WHOQOL_Items'!B92</f>
        <v>Experimental</v>
      </c>
      <c r="C92" s="4">
        <f>4*(((6-'01_WHOQOL_Items'!F92) + (6-'01_WHOQOL_Items'!G92) + '01_WHOQOL_Items'!M92 + '01_WHOQOL_Items'!R92 + '01_WHOQOL_Items'!S92 + '01_WHOQOL_Items'!T92 + '01_WHOQOL_Items'!U92)/7)</f>
        <v>12</v>
      </c>
      <c r="D92" s="4">
        <f>4*(((6-'01_WHOQOL_Items'!AF92) + (6-'01_WHOQOL_Items'!AG92) + '01_WHOQOL_Items'!AM92 + '01_WHOQOL_Items'!AR92 + '01_WHOQOL_Items'!AS92 + '01_WHOQOL_Items'!AT92 + '01_WHOQOL_Items'!AU92)/7)</f>
        <v>12</v>
      </c>
      <c r="E92" s="4">
        <f t="shared" si="15"/>
        <v>50</v>
      </c>
      <c r="F92" s="4">
        <f t="shared" si="16"/>
        <v>50</v>
      </c>
      <c r="G92" s="5">
        <f t="shared" si="17"/>
        <v>0</v>
      </c>
      <c r="H92" s="4">
        <f>4*(('01_WHOQOL_Items'!H92 + '01_WHOQOL_Items'!I92 + '01_WHOQOL_Items'!J92 + '01_WHOQOL_Items'!N92 + '01_WHOQOL_Items'!V92 + (6-'01_WHOQOL_Items'!AC92))/6)</f>
        <v>12</v>
      </c>
      <c r="I92" s="4">
        <f>4*(('01_WHOQOL_Items'!AH92 + '01_WHOQOL_Items'!AI92 + '01_WHOQOL_Items'!AJ92 + '01_WHOQOL_Items'!AN92 + '01_WHOQOL_Items'!AV92 + (6-'01_WHOQOL_Items'!BC92))/6)</f>
        <v>10</v>
      </c>
      <c r="J92" s="4">
        <f t="shared" si="18"/>
        <v>50</v>
      </c>
      <c r="K92" s="4">
        <f t="shared" si="19"/>
        <v>37.5</v>
      </c>
      <c r="L92" s="5">
        <f t="shared" si="20"/>
        <v>-0.25</v>
      </c>
      <c r="M92" s="4">
        <f>4*(('01_WHOQOL_Items'!W92 + '01_WHOQOL_Items'!X92 + '01_WHOQOL_Items'!Y92)/3)</f>
        <v>9.3333333333333339</v>
      </c>
      <c r="N92" s="4">
        <f>4*(('01_WHOQOL_Items'!AW92 + '01_WHOQOL_Items'!AX92 + '01_WHOQOL_Items'!AY92)/3)</f>
        <v>12</v>
      </c>
      <c r="O92" s="4">
        <f t="shared" si="21"/>
        <v>33.333333333333336</v>
      </c>
      <c r="P92" s="4">
        <f t="shared" si="22"/>
        <v>50</v>
      </c>
      <c r="Q92" s="5">
        <f t="shared" si="23"/>
        <v>0.49999999999999989</v>
      </c>
      <c r="R92" s="4">
        <f>4*(('01_WHOQOL_Items'!K92 + '01_WHOQOL_Items'!L92 + '01_WHOQOL_Items'!O92 + '01_WHOQOL_Items'!P92 + '01_WHOQOL_Items'!Q92 + '01_WHOQOL_Items'!Z92 + '01_WHOQOL_Items'!AA92 + '01_WHOQOL_Items'!AB92)/8)</f>
        <v>12</v>
      </c>
      <c r="S92" s="4">
        <f>4*(('01_WHOQOL_Items'!AK92 + '01_WHOQOL_Items'!AL92 + '01_WHOQOL_Items'!AO92 + '01_WHOQOL_Items'!AP92 + '01_WHOQOL_Items'!AQ92 + '01_WHOQOL_Items'!AZ92 + '01_WHOQOL_Items'!BA92 + '01_WHOQOL_Items'!BB92)/8)</f>
        <v>12</v>
      </c>
      <c r="T92" s="4">
        <f t="shared" si="24"/>
        <v>50</v>
      </c>
      <c r="U92" s="4">
        <f t="shared" si="25"/>
        <v>50</v>
      </c>
      <c r="V92" s="5">
        <f t="shared" si="26"/>
        <v>0</v>
      </c>
      <c r="W92" s="4">
        <f t="shared" si="27"/>
        <v>45.833333333333336</v>
      </c>
      <c r="X92" s="4">
        <f t="shared" si="28"/>
        <v>46.875</v>
      </c>
      <c r="Y92" s="5">
        <f t="shared" si="29"/>
        <v>2.2727272727272676E-2</v>
      </c>
      <c r="Z92" s="1">
        <f>'01_WHOQOL_Items'!D92</f>
        <v>3</v>
      </c>
      <c r="AA92" s="1">
        <f>'01_WHOQOL_Items'!AD92</f>
        <v>3</v>
      </c>
      <c r="AB92" s="1">
        <f>'01_WHOQOL_Items'!E92</f>
        <v>3</v>
      </c>
      <c r="AC92" s="1">
        <f>'01_WHOQOL_Items'!AE92</f>
        <v>3</v>
      </c>
    </row>
    <row r="93" spans="1:29">
      <c r="A93" s="1" t="str">
        <f>'01_WHOQOL_Items'!A93</f>
        <v>EXP-092</v>
      </c>
      <c r="B93" s="1" t="str">
        <f>'01_WHOQOL_Items'!B93</f>
        <v>Experimental</v>
      </c>
      <c r="C93" s="4">
        <f>4*(((6-'01_WHOQOL_Items'!F93) + (6-'01_WHOQOL_Items'!G93) + '01_WHOQOL_Items'!M93 + '01_WHOQOL_Items'!R93 + '01_WHOQOL_Items'!S93 + '01_WHOQOL_Items'!T93 + '01_WHOQOL_Items'!U93)/7)</f>
        <v>9.7142857142857135</v>
      </c>
      <c r="D93" s="4">
        <f>4*(((6-'01_WHOQOL_Items'!AF93) + (6-'01_WHOQOL_Items'!AG93) + '01_WHOQOL_Items'!AM93 + '01_WHOQOL_Items'!AR93 + '01_WHOQOL_Items'!AS93 + '01_WHOQOL_Items'!AT93 + '01_WHOQOL_Items'!AU93)/7)</f>
        <v>12</v>
      </c>
      <c r="E93" s="4">
        <f t="shared" si="15"/>
        <v>35.714285714285708</v>
      </c>
      <c r="F93" s="4">
        <f t="shared" si="16"/>
        <v>50</v>
      </c>
      <c r="G93" s="5">
        <f t="shared" si="17"/>
        <v>0.40000000000000024</v>
      </c>
      <c r="H93" s="4">
        <f>4*(('01_WHOQOL_Items'!H93 + '01_WHOQOL_Items'!I93 + '01_WHOQOL_Items'!J93 + '01_WHOQOL_Items'!N93 + '01_WHOQOL_Items'!V93 + (6-'01_WHOQOL_Items'!AC93))/6)</f>
        <v>16</v>
      </c>
      <c r="I93" s="4">
        <f>4*(('01_WHOQOL_Items'!AH93 + '01_WHOQOL_Items'!AI93 + '01_WHOQOL_Items'!AJ93 + '01_WHOQOL_Items'!AN93 + '01_WHOQOL_Items'!AV93 + (6-'01_WHOQOL_Items'!BC93))/6)</f>
        <v>16.666666666666668</v>
      </c>
      <c r="J93" s="4">
        <f t="shared" si="18"/>
        <v>75</v>
      </c>
      <c r="K93" s="4">
        <f t="shared" si="19"/>
        <v>79.166666666666671</v>
      </c>
      <c r="L93" s="5">
        <f t="shared" si="20"/>
        <v>5.5555555555555622E-2</v>
      </c>
      <c r="M93" s="4">
        <f>4*(('01_WHOQOL_Items'!W93 + '01_WHOQOL_Items'!X93 + '01_WHOQOL_Items'!Y93)/3)</f>
        <v>12</v>
      </c>
      <c r="N93" s="4">
        <f>4*(('01_WHOQOL_Items'!AW93 + '01_WHOQOL_Items'!AX93 + '01_WHOQOL_Items'!AY93)/3)</f>
        <v>16</v>
      </c>
      <c r="O93" s="4">
        <f t="shared" si="21"/>
        <v>50</v>
      </c>
      <c r="P93" s="4">
        <f t="shared" si="22"/>
        <v>75</v>
      </c>
      <c r="Q93" s="5">
        <f t="shared" si="23"/>
        <v>0.5</v>
      </c>
      <c r="R93" s="4">
        <f>4*(('01_WHOQOL_Items'!K93 + '01_WHOQOL_Items'!L93 + '01_WHOQOL_Items'!O93 + '01_WHOQOL_Items'!P93 + '01_WHOQOL_Items'!Q93 + '01_WHOQOL_Items'!Z93 + '01_WHOQOL_Items'!AA93 + '01_WHOQOL_Items'!AB93)/8)</f>
        <v>13.5</v>
      </c>
      <c r="S93" s="4">
        <f>4*(('01_WHOQOL_Items'!AK93 + '01_WHOQOL_Items'!AL93 + '01_WHOQOL_Items'!AO93 + '01_WHOQOL_Items'!AP93 + '01_WHOQOL_Items'!AQ93 + '01_WHOQOL_Items'!AZ93 + '01_WHOQOL_Items'!BA93 + '01_WHOQOL_Items'!BB93)/8)</f>
        <v>14.5</v>
      </c>
      <c r="T93" s="4">
        <f t="shared" si="24"/>
        <v>59.375</v>
      </c>
      <c r="U93" s="4">
        <f t="shared" si="25"/>
        <v>65.625</v>
      </c>
      <c r="V93" s="5">
        <f t="shared" si="26"/>
        <v>0.10526315789473684</v>
      </c>
      <c r="W93" s="4">
        <f t="shared" si="27"/>
        <v>55.022321428571431</v>
      </c>
      <c r="X93" s="4">
        <f t="shared" si="28"/>
        <v>67.447916666666671</v>
      </c>
      <c r="Y93" s="5">
        <f t="shared" si="29"/>
        <v>0.22582826233941858</v>
      </c>
      <c r="Z93" s="1">
        <f>'01_WHOQOL_Items'!D93</f>
        <v>3</v>
      </c>
      <c r="AA93" s="1">
        <f>'01_WHOQOL_Items'!AD93</f>
        <v>4</v>
      </c>
      <c r="AB93" s="1">
        <f>'01_WHOQOL_Items'!E93</f>
        <v>2</v>
      </c>
      <c r="AC93" s="1">
        <f>'01_WHOQOL_Items'!AE93</f>
        <v>3</v>
      </c>
    </row>
    <row r="94" spans="1:29">
      <c r="A94" s="1" t="str">
        <f>'01_WHOQOL_Items'!A94</f>
        <v>EXP-093</v>
      </c>
      <c r="B94" s="1" t="str">
        <f>'01_WHOQOL_Items'!B94</f>
        <v>Experimental</v>
      </c>
      <c r="C94" s="4">
        <f>4*(((6-'01_WHOQOL_Items'!F94) + (6-'01_WHOQOL_Items'!G94) + '01_WHOQOL_Items'!M94 + '01_WHOQOL_Items'!R94 + '01_WHOQOL_Items'!S94 + '01_WHOQOL_Items'!T94 + '01_WHOQOL_Items'!U94)/7)</f>
        <v>8.5714285714285712</v>
      </c>
      <c r="D94" s="4">
        <f>4*(((6-'01_WHOQOL_Items'!AF94) + (6-'01_WHOQOL_Items'!AG94) + '01_WHOQOL_Items'!AM94 + '01_WHOQOL_Items'!AR94 + '01_WHOQOL_Items'!AS94 + '01_WHOQOL_Items'!AT94 + '01_WHOQOL_Items'!AU94)/7)</f>
        <v>9.1428571428571423</v>
      </c>
      <c r="E94" s="4">
        <f t="shared" si="15"/>
        <v>28.571428571428569</v>
      </c>
      <c r="F94" s="4">
        <f t="shared" si="16"/>
        <v>32.142857142857139</v>
      </c>
      <c r="G94" s="5">
        <f t="shared" si="17"/>
        <v>0.12499999999999994</v>
      </c>
      <c r="H94" s="4">
        <f>4*(('01_WHOQOL_Items'!H94 + '01_WHOQOL_Items'!I94 + '01_WHOQOL_Items'!J94 + '01_WHOQOL_Items'!N94 + '01_WHOQOL_Items'!V94 + (6-'01_WHOQOL_Items'!AC94))/6)</f>
        <v>13.333333333333334</v>
      </c>
      <c r="I94" s="4">
        <f>4*(('01_WHOQOL_Items'!AH94 + '01_WHOQOL_Items'!AI94 + '01_WHOQOL_Items'!AJ94 + '01_WHOQOL_Items'!AN94 + '01_WHOQOL_Items'!AV94 + (6-'01_WHOQOL_Items'!BC94))/6)</f>
        <v>16.666666666666668</v>
      </c>
      <c r="J94" s="4">
        <f t="shared" si="18"/>
        <v>58.333333333333336</v>
      </c>
      <c r="K94" s="4">
        <f t="shared" si="19"/>
        <v>79.166666666666671</v>
      </c>
      <c r="L94" s="5">
        <f t="shared" si="20"/>
        <v>0.35714285714285715</v>
      </c>
      <c r="M94" s="4">
        <f>4*(('01_WHOQOL_Items'!W94 + '01_WHOQOL_Items'!X94 + '01_WHOQOL_Items'!Y94)/3)</f>
        <v>10.666666666666666</v>
      </c>
      <c r="N94" s="4">
        <f>4*(('01_WHOQOL_Items'!AW94 + '01_WHOQOL_Items'!AX94 + '01_WHOQOL_Items'!AY94)/3)</f>
        <v>13.333333333333334</v>
      </c>
      <c r="O94" s="4">
        <f t="shared" si="21"/>
        <v>41.666666666666664</v>
      </c>
      <c r="P94" s="4">
        <f t="shared" si="22"/>
        <v>58.333333333333336</v>
      </c>
      <c r="Q94" s="5">
        <f t="shared" si="23"/>
        <v>0.40000000000000013</v>
      </c>
      <c r="R94" s="4">
        <f>4*(('01_WHOQOL_Items'!K94 + '01_WHOQOL_Items'!L94 + '01_WHOQOL_Items'!O94 + '01_WHOQOL_Items'!P94 + '01_WHOQOL_Items'!Q94 + '01_WHOQOL_Items'!Z94 + '01_WHOQOL_Items'!AA94 + '01_WHOQOL_Items'!AB94)/8)</f>
        <v>11.5</v>
      </c>
      <c r="S94" s="4">
        <f>4*(('01_WHOQOL_Items'!AK94 + '01_WHOQOL_Items'!AL94 + '01_WHOQOL_Items'!AO94 + '01_WHOQOL_Items'!AP94 + '01_WHOQOL_Items'!AQ94 + '01_WHOQOL_Items'!AZ94 + '01_WHOQOL_Items'!BA94 + '01_WHOQOL_Items'!BB94)/8)</f>
        <v>11.5</v>
      </c>
      <c r="T94" s="4">
        <f t="shared" si="24"/>
        <v>46.875</v>
      </c>
      <c r="U94" s="4">
        <f t="shared" si="25"/>
        <v>46.875</v>
      </c>
      <c r="V94" s="5">
        <f t="shared" si="26"/>
        <v>0</v>
      </c>
      <c r="W94" s="4">
        <f t="shared" si="27"/>
        <v>43.861607142857139</v>
      </c>
      <c r="X94" s="4">
        <f t="shared" si="28"/>
        <v>54.129464285714285</v>
      </c>
      <c r="Y94" s="5">
        <f t="shared" si="29"/>
        <v>0.23409669211195938</v>
      </c>
      <c r="Z94" s="1">
        <f>'01_WHOQOL_Items'!D94</f>
        <v>3</v>
      </c>
      <c r="AA94" s="1">
        <f>'01_WHOQOL_Items'!AD94</f>
        <v>4</v>
      </c>
      <c r="AB94" s="1">
        <f>'01_WHOQOL_Items'!E94</f>
        <v>3</v>
      </c>
      <c r="AC94" s="1">
        <f>'01_WHOQOL_Items'!AE94</f>
        <v>2</v>
      </c>
    </row>
    <row r="95" spans="1:29">
      <c r="A95" s="1" t="str">
        <f>'01_WHOQOL_Items'!A95</f>
        <v>EXP-094</v>
      </c>
      <c r="B95" s="1" t="str">
        <f>'01_WHOQOL_Items'!B95</f>
        <v>Experimental</v>
      </c>
      <c r="C95" s="4">
        <f>4*(((6-'01_WHOQOL_Items'!F95) + (6-'01_WHOQOL_Items'!G95) + '01_WHOQOL_Items'!M95 + '01_WHOQOL_Items'!R95 + '01_WHOQOL_Items'!S95 + '01_WHOQOL_Items'!T95 + '01_WHOQOL_Items'!U95)/7)</f>
        <v>10.285714285714286</v>
      </c>
      <c r="D95" s="4">
        <f>4*(((6-'01_WHOQOL_Items'!AF95) + (6-'01_WHOQOL_Items'!AG95) + '01_WHOQOL_Items'!AM95 + '01_WHOQOL_Items'!AR95 + '01_WHOQOL_Items'!AS95 + '01_WHOQOL_Items'!AT95 + '01_WHOQOL_Items'!AU95)/7)</f>
        <v>12.571428571428571</v>
      </c>
      <c r="E95" s="4">
        <f t="shared" si="15"/>
        <v>39.285714285714292</v>
      </c>
      <c r="F95" s="4">
        <f t="shared" si="16"/>
        <v>53.571428571428569</v>
      </c>
      <c r="G95" s="5">
        <f t="shared" si="17"/>
        <v>0.36363636363636337</v>
      </c>
      <c r="H95" s="4">
        <f>4*(('01_WHOQOL_Items'!H95 + '01_WHOQOL_Items'!I95 + '01_WHOQOL_Items'!J95 + '01_WHOQOL_Items'!N95 + '01_WHOQOL_Items'!V95 + (6-'01_WHOQOL_Items'!AC95))/6)</f>
        <v>15.333333333333334</v>
      </c>
      <c r="I95" s="4">
        <f>4*(('01_WHOQOL_Items'!AH95 + '01_WHOQOL_Items'!AI95 + '01_WHOQOL_Items'!AJ95 + '01_WHOQOL_Items'!AN95 + '01_WHOQOL_Items'!AV95 + (6-'01_WHOQOL_Items'!BC95))/6)</f>
        <v>16.666666666666668</v>
      </c>
      <c r="J95" s="4">
        <f t="shared" si="18"/>
        <v>70.833333333333343</v>
      </c>
      <c r="K95" s="4">
        <f t="shared" si="19"/>
        <v>79.166666666666671</v>
      </c>
      <c r="L95" s="5">
        <f t="shared" si="20"/>
        <v>0.11764705882352933</v>
      </c>
      <c r="M95" s="4">
        <f>4*(('01_WHOQOL_Items'!W95 + '01_WHOQOL_Items'!X95 + '01_WHOQOL_Items'!Y95)/3)</f>
        <v>13.333333333333334</v>
      </c>
      <c r="N95" s="4">
        <f>4*(('01_WHOQOL_Items'!AW95 + '01_WHOQOL_Items'!AX95 + '01_WHOQOL_Items'!AY95)/3)</f>
        <v>13.333333333333334</v>
      </c>
      <c r="O95" s="4">
        <f t="shared" si="21"/>
        <v>58.333333333333336</v>
      </c>
      <c r="P95" s="4">
        <f t="shared" si="22"/>
        <v>58.333333333333336</v>
      </c>
      <c r="Q95" s="5">
        <f t="shared" si="23"/>
        <v>0</v>
      </c>
      <c r="R95" s="4">
        <f>4*(('01_WHOQOL_Items'!K95 + '01_WHOQOL_Items'!L95 + '01_WHOQOL_Items'!O95 + '01_WHOQOL_Items'!P95 + '01_WHOQOL_Items'!Q95 + '01_WHOQOL_Items'!Z95 + '01_WHOQOL_Items'!AA95 + '01_WHOQOL_Items'!AB95)/8)</f>
        <v>17</v>
      </c>
      <c r="S95" s="4">
        <f>4*(('01_WHOQOL_Items'!AK95 + '01_WHOQOL_Items'!AL95 + '01_WHOQOL_Items'!AO95 + '01_WHOQOL_Items'!AP95 + '01_WHOQOL_Items'!AQ95 + '01_WHOQOL_Items'!AZ95 + '01_WHOQOL_Items'!BA95 + '01_WHOQOL_Items'!BB95)/8)</f>
        <v>16</v>
      </c>
      <c r="T95" s="4">
        <f t="shared" si="24"/>
        <v>81.25</v>
      </c>
      <c r="U95" s="4">
        <f t="shared" si="25"/>
        <v>75</v>
      </c>
      <c r="V95" s="5">
        <f t="shared" si="26"/>
        <v>-7.6923076923076927E-2</v>
      </c>
      <c r="W95" s="4">
        <f t="shared" si="27"/>
        <v>62.425595238095241</v>
      </c>
      <c r="X95" s="4">
        <f t="shared" si="28"/>
        <v>66.517857142857139</v>
      </c>
      <c r="Y95" s="5">
        <f t="shared" si="29"/>
        <v>6.555423122765186E-2</v>
      </c>
      <c r="Z95" s="1">
        <f>'01_WHOQOL_Items'!D95</f>
        <v>4</v>
      </c>
      <c r="AA95" s="1">
        <f>'01_WHOQOL_Items'!AD95</f>
        <v>3</v>
      </c>
      <c r="AB95" s="1">
        <f>'01_WHOQOL_Items'!E95</f>
        <v>3</v>
      </c>
      <c r="AC95" s="1">
        <f>'01_WHOQOL_Items'!AE95</f>
        <v>3</v>
      </c>
    </row>
    <row r="96" spans="1:29">
      <c r="A96" s="1" t="str">
        <f>'01_WHOQOL_Items'!A96</f>
        <v>EXP-095</v>
      </c>
      <c r="B96" s="1" t="str">
        <f>'01_WHOQOL_Items'!B96</f>
        <v>Experimental</v>
      </c>
      <c r="C96" s="4">
        <f>4*(((6-'01_WHOQOL_Items'!F96) + (6-'01_WHOQOL_Items'!G96) + '01_WHOQOL_Items'!M96 + '01_WHOQOL_Items'!R96 + '01_WHOQOL_Items'!S96 + '01_WHOQOL_Items'!T96 + '01_WHOQOL_Items'!U96)/7)</f>
        <v>12.571428571428571</v>
      </c>
      <c r="D96" s="4">
        <f>4*(((6-'01_WHOQOL_Items'!AF96) + (6-'01_WHOQOL_Items'!AG96) + '01_WHOQOL_Items'!AM96 + '01_WHOQOL_Items'!AR96 + '01_WHOQOL_Items'!AS96 + '01_WHOQOL_Items'!AT96 + '01_WHOQOL_Items'!AU96)/7)</f>
        <v>13.714285714285714</v>
      </c>
      <c r="E96" s="4">
        <f t="shared" si="15"/>
        <v>53.571428571428569</v>
      </c>
      <c r="F96" s="4">
        <f t="shared" si="16"/>
        <v>60.714285714285708</v>
      </c>
      <c r="G96" s="5">
        <f t="shared" si="17"/>
        <v>0.13333333333333328</v>
      </c>
      <c r="H96" s="4">
        <f>4*(('01_WHOQOL_Items'!H96 + '01_WHOQOL_Items'!I96 + '01_WHOQOL_Items'!J96 + '01_WHOQOL_Items'!N96 + '01_WHOQOL_Items'!V96 + (6-'01_WHOQOL_Items'!AC96))/6)</f>
        <v>11.333333333333334</v>
      </c>
      <c r="I96" s="4">
        <f>4*(('01_WHOQOL_Items'!AH96 + '01_WHOQOL_Items'!AI96 + '01_WHOQOL_Items'!AJ96 + '01_WHOQOL_Items'!AN96 + '01_WHOQOL_Items'!AV96 + (6-'01_WHOQOL_Items'!BC96))/6)</f>
        <v>14</v>
      </c>
      <c r="J96" s="4">
        <f t="shared" si="18"/>
        <v>45.833333333333336</v>
      </c>
      <c r="K96" s="4">
        <f t="shared" si="19"/>
        <v>62.5</v>
      </c>
      <c r="L96" s="5">
        <f t="shared" si="20"/>
        <v>0.36363636363636359</v>
      </c>
      <c r="M96" s="4">
        <f>4*(('01_WHOQOL_Items'!W96 + '01_WHOQOL_Items'!X96 + '01_WHOQOL_Items'!Y96)/3)</f>
        <v>13.333333333333334</v>
      </c>
      <c r="N96" s="4">
        <f>4*(('01_WHOQOL_Items'!AW96 + '01_WHOQOL_Items'!AX96 + '01_WHOQOL_Items'!AY96)/3)</f>
        <v>16</v>
      </c>
      <c r="O96" s="4">
        <f t="shared" si="21"/>
        <v>58.333333333333336</v>
      </c>
      <c r="P96" s="4">
        <f t="shared" si="22"/>
        <v>75</v>
      </c>
      <c r="Q96" s="5">
        <f t="shared" si="23"/>
        <v>0.28571428571428564</v>
      </c>
      <c r="R96" s="4">
        <f>4*(('01_WHOQOL_Items'!K96 + '01_WHOQOL_Items'!L96 + '01_WHOQOL_Items'!O96 + '01_WHOQOL_Items'!P96 + '01_WHOQOL_Items'!Q96 + '01_WHOQOL_Items'!Z96 + '01_WHOQOL_Items'!AA96 + '01_WHOQOL_Items'!AB96)/8)</f>
        <v>12.5</v>
      </c>
      <c r="S96" s="4">
        <f>4*(('01_WHOQOL_Items'!AK96 + '01_WHOQOL_Items'!AL96 + '01_WHOQOL_Items'!AO96 + '01_WHOQOL_Items'!AP96 + '01_WHOQOL_Items'!AQ96 + '01_WHOQOL_Items'!AZ96 + '01_WHOQOL_Items'!BA96 + '01_WHOQOL_Items'!BB96)/8)</f>
        <v>15</v>
      </c>
      <c r="T96" s="4">
        <f t="shared" si="24"/>
        <v>53.125</v>
      </c>
      <c r="U96" s="4">
        <f t="shared" si="25"/>
        <v>68.75</v>
      </c>
      <c r="V96" s="5">
        <f t="shared" si="26"/>
        <v>0.29411764705882354</v>
      </c>
      <c r="W96" s="4">
        <f t="shared" si="27"/>
        <v>52.71577380952381</v>
      </c>
      <c r="X96" s="4">
        <f t="shared" si="28"/>
        <v>66.741071428571431</v>
      </c>
      <c r="Y96" s="5">
        <f t="shared" si="29"/>
        <v>0.26605504587155965</v>
      </c>
      <c r="Z96" s="1">
        <f>'01_WHOQOL_Items'!D96</f>
        <v>2</v>
      </c>
      <c r="AA96" s="1">
        <f>'01_WHOQOL_Items'!AD96</f>
        <v>3</v>
      </c>
      <c r="AB96" s="1">
        <f>'01_WHOQOL_Items'!E96</f>
        <v>3</v>
      </c>
      <c r="AC96" s="1">
        <f>'01_WHOQOL_Items'!AE96</f>
        <v>4</v>
      </c>
    </row>
    <row r="97" spans="1:29">
      <c r="A97" s="1" t="str">
        <f>'01_WHOQOL_Items'!A97</f>
        <v>EXP-096</v>
      </c>
      <c r="B97" s="1" t="str">
        <f>'01_WHOQOL_Items'!B97</f>
        <v>Experimental</v>
      </c>
      <c r="C97" s="4">
        <f>4*(((6-'01_WHOQOL_Items'!F97) + (6-'01_WHOQOL_Items'!G97) + '01_WHOQOL_Items'!M97 + '01_WHOQOL_Items'!R97 + '01_WHOQOL_Items'!S97 + '01_WHOQOL_Items'!T97 + '01_WHOQOL_Items'!U97)/7)</f>
        <v>12.571428571428571</v>
      </c>
      <c r="D97" s="4">
        <f>4*(((6-'01_WHOQOL_Items'!AF97) + (6-'01_WHOQOL_Items'!AG97) + '01_WHOQOL_Items'!AM97 + '01_WHOQOL_Items'!AR97 + '01_WHOQOL_Items'!AS97 + '01_WHOQOL_Items'!AT97 + '01_WHOQOL_Items'!AU97)/7)</f>
        <v>16</v>
      </c>
      <c r="E97" s="4">
        <f t="shared" si="15"/>
        <v>53.571428571428569</v>
      </c>
      <c r="F97" s="4">
        <f t="shared" si="16"/>
        <v>75</v>
      </c>
      <c r="G97" s="5">
        <f t="shared" si="17"/>
        <v>0.40000000000000008</v>
      </c>
      <c r="H97" s="4">
        <f>4*(('01_WHOQOL_Items'!H97 + '01_WHOQOL_Items'!I97 + '01_WHOQOL_Items'!J97 + '01_WHOQOL_Items'!N97 + '01_WHOQOL_Items'!V97 + (6-'01_WHOQOL_Items'!AC97))/6)</f>
        <v>14</v>
      </c>
      <c r="I97" s="4">
        <f>4*(('01_WHOQOL_Items'!AH97 + '01_WHOQOL_Items'!AI97 + '01_WHOQOL_Items'!AJ97 + '01_WHOQOL_Items'!AN97 + '01_WHOQOL_Items'!AV97 + (6-'01_WHOQOL_Items'!BC97))/6)</f>
        <v>16</v>
      </c>
      <c r="J97" s="4">
        <f t="shared" si="18"/>
        <v>62.5</v>
      </c>
      <c r="K97" s="4">
        <f t="shared" si="19"/>
        <v>75</v>
      </c>
      <c r="L97" s="5">
        <f t="shared" si="20"/>
        <v>0.2</v>
      </c>
      <c r="M97" s="4">
        <f>4*(('01_WHOQOL_Items'!W97 + '01_WHOQOL_Items'!X97 + '01_WHOQOL_Items'!Y97)/3)</f>
        <v>10.666666666666666</v>
      </c>
      <c r="N97" s="4">
        <f>4*(('01_WHOQOL_Items'!AW97 + '01_WHOQOL_Items'!AX97 + '01_WHOQOL_Items'!AY97)/3)</f>
        <v>17.333333333333332</v>
      </c>
      <c r="O97" s="4">
        <f t="shared" si="21"/>
        <v>41.666666666666664</v>
      </c>
      <c r="P97" s="4">
        <f t="shared" si="22"/>
        <v>83.333333333333329</v>
      </c>
      <c r="Q97" s="5">
        <f t="shared" si="23"/>
        <v>1</v>
      </c>
      <c r="R97" s="4">
        <f>4*(('01_WHOQOL_Items'!K97 + '01_WHOQOL_Items'!L97 + '01_WHOQOL_Items'!O97 + '01_WHOQOL_Items'!P97 + '01_WHOQOL_Items'!Q97 + '01_WHOQOL_Items'!Z97 + '01_WHOQOL_Items'!AA97 + '01_WHOQOL_Items'!AB97)/8)</f>
        <v>13</v>
      </c>
      <c r="S97" s="4">
        <f>4*(('01_WHOQOL_Items'!AK97 + '01_WHOQOL_Items'!AL97 + '01_WHOQOL_Items'!AO97 + '01_WHOQOL_Items'!AP97 + '01_WHOQOL_Items'!AQ97 + '01_WHOQOL_Items'!AZ97 + '01_WHOQOL_Items'!BA97 + '01_WHOQOL_Items'!BB97)/8)</f>
        <v>16</v>
      </c>
      <c r="T97" s="4">
        <f t="shared" si="24"/>
        <v>56.25</v>
      </c>
      <c r="U97" s="4">
        <f t="shared" si="25"/>
        <v>75</v>
      </c>
      <c r="V97" s="5">
        <f t="shared" si="26"/>
        <v>0.33333333333333331</v>
      </c>
      <c r="W97" s="4">
        <f t="shared" si="27"/>
        <v>53.49702380952381</v>
      </c>
      <c r="X97" s="4">
        <f t="shared" si="28"/>
        <v>77.083333333333329</v>
      </c>
      <c r="Y97" s="5">
        <f t="shared" si="29"/>
        <v>0.44089012517385245</v>
      </c>
      <c r="Z97" s="1">
        <f>'01_WHOQOL_Items'!D97</f>
        <v>3</v>
      </c>
      <c r="AA97" s="1">
        <f>'01_WHOQOL_Items'!AD97</f>
        <v>4</v>
      </c>
      <c r="AB97" s="1">
        <f>'01_WHOQOL_Items'!E97</f>
        <v>3</v>
      </c>
      <c r="AC97" s="1">
        <f>'01_WHOQOL_Items'!AE97</f>
        <v>4</v>
      </c>
    </row>
    <row r="98" spans="1:29">
      <c r="A98" s="1" t="str">
        <f>'01_WHOQOL_Items'!A98</f>
        <v>EXP-097</v>
      </c>
      <c r="B98" s="1" t="str">
        <f>'01_WHOQOL_Items'!B98</f>
        <v>Experimental</v>
      </c>
      <c r="C98" s="4">
        <f>4*(((6-'01_WHOQOL_Items'!F98) + (6-'01_WHOQOL_Items'!G98) + '01_WHOQOL_Items'!M98 + '01_WHOQOL_Items'!R98 + '01_WHOQOL_Items'!S98 + '01_WHOQOL_Items'!T98 + '01_WHOQOL_Items'!U98)/7)</f>
        <v>13.142857142857142</v>
      </c>
      <c r="D98" s="4">
        <f>4*(((6-'01_WHOQOL_Items'!AF98) + (6-'01_WHOQOL_Items'!AG98) + '01_WHOQOL_Items'!AM98 + '01_WHOQOL_Items'!AR98 + '01_WHOQOL_Items'!AS98 + '01_WHOQOL_Items'!AT98 + '01_WHOQOL_Items'!AU98)/7)</f>
        <v>14.285714285714286</v>
      </c>
      <c r="E98" s="4">
        <f t="shared" si="15"/>
        <v>57.142857142857139</v>
      </c>
      <c r="F98" s="4">
        <f t="shared" si="16"/>
        <v>64.285714285714292</v>
      </c>
      <c r="G98" s="5">
        <f t="shared" si="17"/>
        <v>0.12500000000000019</v>
      </c>
      <c r="H98" s="4">
        <f>4*(('01_WHOQOL_Items'!H98 + '01_WHOQOL_Items'!I98 + '01_WHOQOL_Items'!J98 + '01_WHOQOL_Items'!N98 + '01_WHOQOL_Items'!V98 + (6-'01_WHOQOL_Items'!AC98))/6)</f>
        <v>10.666666666666666</v>
      </c>
      <c r="I98" s="4">
        <f>4*(('01_WHOQOL_Items'!AH98 + '01_WHOQOL_Items'!AI98 + '01_WHOQOL_Items'!AJ98 + '01_WHOQOL_Items'!AN98 + '01_WHOQOL_Items'!AV98 + (6-'01_WHOQOL_Items'!BC98))/6)</f>
        <v>11.333333333333334</v>
      </c>
      <c r="J98" s="4">
        <f t="shared" si="18"/>
        <v>41.666666666666664</v>
      </c>
      <c r="K98" s="4">
        <f t="shared" si="19"/>
        <v>45.833333333333336</v>
      </c>
      <c r="L98" s="5">
        <f t="shared" si="20"/>
        <v>0.10000000000000012</v>
      </c>
      <c r="M98" s="4">
        <f>4*(('01_WHOQOL_Items'!W98 + '01_WHOQOL_Items'!X98 + '01_WHOQOL_Items'!Y98)/3)</f>
        <v>12</v>
      </c>
      <c r="N98" s="4">
        <f>4*(('01_WHOQOL_Items'!AW98 + '01_WHOQOL_Items'!AX98 + '01_WHOQOL_Items'!AY98)/3)</f>
        <v>16</v>
      </c>
      <c r="O98" s="4">
        <f t="shared" si="21"/>
        <v>50</v>
      </c>
      <c r="P98" s="4">
        <f t="shared" si="22"/>
        <v>75</v>
      </c>
      <c r="Q98" s="5">
        <f t="shared" si="23"/>
        <v>0.5</v>
      </c>
      <c r="R98" s="4">
        <f>4*(('01_WHOQOL_Items'!K98 + '01_WHOQOL_Items'!L98 + '01_WHOQOL_Items'!O98 + '01_WHOQOL_Items'!P98 + '01_WHOQOL_Items'!Q98 + '01_WHOQOL_Items'!Z98 + '01_WHOQOL_Items'!AA98 + '01_WHOQOL_Items'!AB98)/8)</f>
        <v>11</v>
      </c>
      <c r="S98" s="4">
        <f>4*(('01_WHOQOL_Items'!AK98 + '01_WHOQOL_Items'!AL98 + '01_WHOQOL_Items'!AO98 + '01_WHOQOL_Items'!AP98 + '01_WHOQOL_Items'!AQ98 + '01_WHOQOL_Items'!AZ98 + '01_WHOQOL_Items'!BA98 + '01_WHOQOL_Items'!BB98)/8)</f>
        <v>11.5</v>
      </c>
      <c r="T98" s="4">
        <f t="shared" si="24"/>
        <v>43.75</v>
      </c>
      <c r="U98" s="4">
        <f t="shared" si="25"/>
        <v>46.875</v>
      </c>
      <c r="V98" s="5">
        <f t="shared" si="26"/>
        <v>7.1428571428571425E-2</v>
      </c>
      <c r="W98" s="4">
        <f t="shared" si="27"/>
        <v>48.139880952380949</v>
      </c>
      <c r="X98" s="4">
        <f t="shared" si="28"/>
        <v>57.998511904761905</v>
      </c>
      <c r="Y98" s="5">
        <f t="shared" si="29"/>
        <v>0.20479134466769716</v>
      </c>
      <c r="Z98" s="1">
        <f>'01_WHOQOL_Items'!D98</f>
        <v>2</v>
      </c>
      <c r="AA98" s="1">
        <f>'01_WHOQOL_Items'!AD98</f>
        <v>3</v>
      </c>
      <c r="AB98" s="1">
        <f>'01_WHOQOL_Items'!E98</f>
        <v>5</v>
      </c>
      <c r="AC98" s="1">
        <f>'01_WHOQOL_Items'!AE98</f>
        <v>4</v>
      </c>
    </row>
    <row r="99" spans="1:29">
      <c r="A99" s="1" t="str">
        <f>'01_WHOQOL_Items'!A99</f>
        <v>EXP-098</v>
      </c>
      <c r="B99" s="1" t="str">
        <f>'01_WHOQOL_Items'!B99</f>
        <v>Experimental</v>
      </c>
      <c r="C99" s="4">
        <f>4*(((6-'01_WHOQOL_Items'!F99) + (6-'01_WHOQOL_Items'!G99) + '01_WHOQOL_Items'!M99 + '01_WHOQOL_Items'!R99 + '01_WHOQOL_Items'!S99 + '01_WHOQOL_Items'!T99 + '01_WHOQOL_Items'!U99)/7)</f>
        <v>10.857142857142858</v>
      </c>
      <c r="D99" s="4">
        <f>4*(((6-'01_WHOQOL_Items'!AF99) + (6-'01_WHOQOL_Items'!AG99) + '01_WHOQOL_Items'!AM99 + '01_WHOQOL_Items'!AR99 + '01_WHOQOL_Items'!AS99 + '01_WHOQOL_Items'!AT99 + '01_WHOQOL_Items'!AU99)/7)</f>
        <v>11.428571428571429</v>
      </c>
      <c r="E99" s="4">
        <f t="shared" si="15"/>
        <v>42.857142857142861</v>
      </c>
      <c r="F99" s="4">
        <f t="shared" si="16"/>
        <v>46.428571428571431</v>
      </c>
      <c r="G99" s="5">
        <f t="shared" si="17"/>
        <v>8.3333333333333273E-2</v>
      </c>
      <c r="H99" s="4">
        <f>4*(('01_WHOQOL_Items'!H99 + '01_WHOQOL_Items'!I99 + '01_WHOQOL_Items'!J99 + '01_WHOQOL_Items'!N99 + '01_WHOQOL_Items'!V99 + (6-'01_WHOQOL_Items'!AC99))/6)</f>
        <v>18</v>
      </c>
      <c r="I99" s="4">
        <f>4*(('01_WHOQOL_Items'!AH99 + '01_WHOQOL_Items'!AI99 + '01_WHOQOL_Items'!AJ99 + '01_WHOQOL_Items'!AN99 + '01_WHOQOL_Items'!AV99 + (6-'01_WHOQOL_Items'!BC99))/6)</f>
        <v>18</v>
      </c>
      <c r="J99" s="4">
        <f t="shared" si="18"/>
        <v>87.5</v>
      </c>
      <c r="K99" s="4">
        <f t="shared" si="19"/>
        <v>87.5</v>
      </c>
      <c r="L99" s="5">
        <f t="shared" si="20"/>
        <v>0</v>
      </c>
      <c r="M99" s="4">
        <f>4*(('01_WHOQOL_Items'!W99 + '01_WHOQOL_Items'!X99 + '01_WHOQOL_Items'!Y99)/3)</f>
        <v>12</v>
      </c>
      <c r="N99" s="4">
        <f>4*(('01_WHOQOL_Items'!AW99 + '01_WHOQOL_Items'!AX99 + '01_WHOQOL_Items'!AY99)/3)</f>
        <v>13.333333333333334</v>
      </c>
      <c r="O99" s="4">
        <f t="shared" si="21"/>
        <v>50</v>
      </c>
      <c r="P99" s="4">
        <f t="shared" si="22"/>
        <v>58.333333333333336</v>
      </c>
      <c r="Q99" s="5">
        <f t="shared" si="23"/>
        <v>0.16666666666666671</v>
      </c>
      <c r="R99" s="4">
        <f>4*(('01_WHOQOL_Items'!K99 + '01_WHOQOL_Items'!L99 + '01_WHOQOL_Items'!O99 + '01_WHOQOL_Items'!P99 + '01_WHOQOL_Items'!Q99 + '01_WHOQOL_Items'!Z99 + '01_WHOQOL_Items'!AA99 + '01_WHOQOL_Items'!AB99)/8)</f>
        <v>12.5</v>
      </c>
      <c r="S99" s="4">
        <f>4*(('01_WHOQOL_Items'!AK99 + '01_WHOQOL_Items'!AL99 + '01_WHOQOL_Items'!AO99 + '01_WHOQOL_Items'!AP99 + '01_WHOQOL_Items'!AQ99 + '01_WHOQOL_Items'!AZ99 + '01_WHOQOL_Items'!BA99 + '01_WHOQOL_Items'!BB99)/8)</f>
        <v>13.5</v>
      </c>
      <c r="T99" s="4">
        <f t="shared" si="24"/>
        <v>53.125</v>
      </c>
      <c r="U99" s="4">
        <f t="shared" si="25"/>
        <v>59.375</v>
      </c>
      <c r="V99" s="5">
        <f t="shared" si="26"/>
        <v>0.11764705882352941</v>
      </c>
      <c r="W99" s="4">
        <f t="shared" si="27"/>
        <v>58.370535714285715</v>
      </c>
      <c r="X99" s="4">
        <f t="shared" si="28"/>
        <v>62.909226190476197</v>
      </c>
      <c r="Y99" s="5">
        <f t="shared" si="29"/>
        <v>7.7756532823454516E-2</v>
      </c>
      <c r="Z99" s="1">
        <f>'01_WHOQOL_Items'!D99</f>
        <v>3</v>
      </c>
      <c r="AA99" s="1">
        <f>'01_WHOQOL_Items'!AD99</f>
        <v>4</v>
      </c>
      <c r="AB99" s="1">
        <f>'01_WHOQOL_Items'!E99</f>
        <v>4</v>
      </c>
      <c r="AC99" s="1">
        <f>'01_WHOQOL_Items'!AE99</f>
        <v>3</v>
      </c>
    </row>
    <row r="100" spans="1:29">
      <c r="A100" s="1" t="str">
        <f>'01_WHOQOL_Items'!A100</f>
        <v>EXP-099</v>
      </c>
      <c r="B100" s="1" t="str">
        <f>'01_WHOQOL_Items'!B100</f>
        <v>Experimental</v>
      </c>
      <c r="C100" s="4">
        <f>4*(((6-'01_WHOQOL_Items'!F100) + (6-'01_WHOQOL_Items'!G100) + '01_WHOQOL_Items'!M100 + '01_WHOQOL_Items'!R100 + '01_WHOQOL_Items'!S100 + '01_WHOQOL_Items'!T100 + '01_WHOQOL_Items'!U100)/7)</f>
        <v>12</v>
      </c>
      <c r="D100" s="4">
        <f>4*(((6-'01_WHOQOL_Items'!AF100) + (6-'01_WHOQOL_Items'!AG100) + '01_WHOQOL_Items'!AM100 + '01_WHOQOL_Items'!AR100 + '01_WHOQOL_Items'!AS100 + '01_WHOQOL_Items'!AT100 + '01_WHOQOL_Items'!AU100)/7)</f>
        <v>14.285714285714286</v>
      </c>
      <c r="E100" s="4">
        <f t="shared" si="15"/>
        <v>50</v>
      </c>
      <c r="F100" s="4">
        <f t="shared" si="16"/>
        <v>64.285714285714292</v>
      </c>
      <c r="G100" s="5">
        <f t="shared" si="17"/>
        <v>0.28571428571428581</v>
      </c>
      <c r="H100" s="4">
        <f>4*(('01_WHOQOL_Items'!H100 + '01_WHOQOL_Items'!I100 + '01_WHOQOL_Items'!J100 + '01_WHOQOL_Items'!N100 + '01_WHOQOL_Items'!V100 + (6-'01_WHOQOL_Items'!AC100))/6)</f>
        <v>12.666666666666666</v>
      </c>
      <c r="I100" s="4">
        <f>4*(('01_WHOQOL_Items'!AH100 + '01_WHOQOL_Items'!AI100 + '01_WHOQOL_Items'!AJ100 + '01_WHOQOL_Items'!AN100 + '01_WHOQOL_Items'!AV100 + (6-'01_WHOQOL_Items'!BC100))/6)</f>
        <v>14.666666666666666</v>
      </c>
      <c r="J100" s="4">
        <f t="shared" si="18"/>
        <v>54.166666666666664</v>
      </c>
      <c r="K100" s="4">
        <f t="shared" si="19"/>
        <v>66.666666666666657</v>
      </c>
      <c r="L100" s="5">
        <f t="shared" si="20"/>
        <v>0.23076923076923064</v>
      </c>
      <c r="M100" s="4">
        <f>4*(('01_WHOQOL_Items'!W100 + '01_WHOQOL_Items'!X100 + '01_WHOQOL_Items'!Y100)/3)</f>
        <v>10.666666666666666</v>
      </c>
      <c r="N100" s="4">
        <f>4*(('01_WHOQOL_Items'!AW100 + '01_WHOQOL_Items'!AX100 + '01_WHOQOL_Items'!AY100)/3)</f>
        <v>13.333333333333334</v>
      </c>
      <c r="O100" s="4">
        <f t="shared" si="21"/>
        <v>41.666666666666664</v>
      </c>
      <c r="P100" s="4">
        <f t="shared" si="22"/>
        <v>58.333333333333336</v>
      </c>
      <c r="Q100" s="5">
        <f t="shared" si="23"/>
        <v>0.40000000000000013</v>
      </c>
      <c r="R100" s="4">
        <f>4*(('01_WHOQOL_Items'!K100 + '01_WHOQOL_Items'!L100 + '01_WHOQOL_Items'!O100 + '01_WHOQOL_Items'!P100 + '01_WHOQOL_Items'!Q100 + '01_WHOQOL_Items'!Z100 + '01_WHOQOL_Items'!AA100 + '01_WHOQOL_Items'!AB100)/8)</f>
        <v>12</v>
      </c>
      <c r="S100" s="4">
        <f>4*(('01_WHOQOL_Items'!AK100 + '01_WHOQOL_Items'!AL100 + '01_WHOQOL_Items'!AO100 + '01_WHOQOL_Items'!AP100 + '01_WHOQOL_Items'!AQ100 + '01_WHOQOL_Items'!AZ100 + '01_WHOQOL_Items'!BA100 + '01_WHOQOL_Items'!BB100)/8)</f>
        <v>12</v>
      </c>
      <c r="T100" s="4">
        <f t="shared" si="24"/>
        <v>50</v>
      </c>
      <c r="U100" s="4">
        <f t="shared" si="25"/>
        <v>50</v>
      </c>
      <c r="V100" s="5">
        <f t="shared" si="26"/>
        <v>0</v>
      </c>
      <c r="W100" s="4">
        <f t="shared" si="27"/>
        <v>48.958333333333329</v>
      </c>
      <c r="X100" s="4">
        <f t="shared" si="28"/>
        <v>59.821428571428577</v>
      </c>
      <c r="Y100" s="5">
        <f t="shared" si="29"/>
        <v>0.22188449848024339</v>
      </c>
      <c r="Z100" s="1">
        <f>'01_WHOQOL_Items'!D100</f>
        <v>3</v>
      </c>
      <c r="AA100" s="1">
        <f>'01_WHOQOL_Items'!AD100</f>
        <v>4</v>
      </c>
      <c r="AB100" s="1">
        <f>'01_WHOQOL_Items'!E100</f>
        <v>3</v>
      </c>
      <c r="AC100" s="1">
        <f>'01_WHOQOL_Items'!AE100</f>
        <v>3</v>
      </c>
    </row>
    <row r="101" spans="1:29">
      <c r="A101" s="1" t="str">
        <f>'01_WHOQOL_Items'!A101</f>
        <v>EXP-100</v>
      </c>
      <c r="B101" s="1" t="str">
        <f>'01_WHOQOL_Items'!B101</f>
        <v>Experimental</v>
      </c>
      <c r="C101" s="4">
        <f>4*(((6-'01_WHOQOL_Items'!F101) + (6-'01_WHOQOL_Items'!G101) + '01_WHOQOL_Items'!M101 + '01_WHOQOL_Items'!R101 + '01_WHOQOL_Items'!S101 + '01_WHOQOL_Items'!T101 + '01_WHOQOL_Items'!U101)/7)</f>
        <v>12.571428571428571</v>
      </c>
      <c r="D101" s="4">
        <f>4*(((6-'01_WHOQOL_Items'!AF101) + (6-'01_WHOQOL_Items'!AG101) + '01_WHOQOL_Items'!AM101 + '01_WHOQOL_Items'!AR101 + '01_WHOQOL_Items'!AS101 + '01_WHOQOL_Items'!AT101 + '01_WHOQOL_Items'!AU101)/7)</f>
        <v>14.857142857142858</v>
      </c>
      <c r="E101" s="4">
        <f t="shared" si="15"/>
        <v>53.571428571428569</v>
      </c>
      <c r="F101" s="4">
        <f t="shared" si="16"/>
        <v>67.857142857142861</v>
      </c>
      <c r="G101" s="5">
        <f t="shared" si="17"/>
        <v>0.26666666666666677</v>
      </c>
      <c r="H101" s="4">
        <f>4*(('01_WHOQOL_Items'!H101 + '01_WHOQOL_Items'!I101 + '01_WHOQOL_Items'!J101 + '01_WHOQOL_Items'!N101 + '01_WHOQOL_Items'!V101 + (6-'01_WHOQOL_Items'!AC101))/6)</f>
        <v>16.666666666666668</v>
      </c>
      <c r="I101" s="4">
        <f>4*(('01_WHOQOL_Items'!AH101 + '01_WHOQOL_Items'!AI101 + '01_WHOQOL_Items'!AJ101 + '01_WHOQOL_Items'!AN101 + '01_WHOQOL_Items'!AV101 + (6-'01_WHOQOL_Items'!BC101))/6)</f>
        <v>18</v>
      </c>
      <c r="J101" s="4">
        <f t="shared" si="18"/>
        <v>79.166666666666671</v>
      </c>
      <c r="K101" s="4">
        <f t="shared" si="19"/>
        <v>87.5</v>
      </c>
      <c r="L101" s="5">
        <f t="shared" si="20"/>
        <v>0.10526315789473678</v>
      </c>
      <c r="M101" s="4">
        <f>4*(('01_WHOQOL_Items'!W101 + '01_WHOQOL_Items'!X101 + '01_WHOQOL_Items'!Y101)/3)</f>
        <v>10.666666666666666</v>
      </c>
      <c r="N101" s="4">
        <f>4*(('01_WHOQOL_Items'!AW101 + '01_WHOQOL_Items'!AX101 + '01_WHOQOL_Items'!AY101)/3)</f>
        <v>17.333333333333332</v>
      </c>
      <c r="O101" s="4">
        <f t="shared" si="21"/>
        <v>41.666666666666664</v>
      </c>
      <c r="P101" s="4">
        <f t="shared" si="22"/>
        <v>83.333333333333329</v>
      </c>
      <c r="Q101" s="5">
        <f t="shared" si="23"/>
        <v>1</v>
      </c>
      <c r="R101" s="4">
        <f>4*(('01_WHOQOL_Items'!K101 + '01_WHOQOL_Items'!L101 + '01_WHOQOL_Items'!O101 + '01_WHOQOL_Items'!P101 + '01_WHOQOL_Items'!Q101 + '01_WHOQOL_Items'!Z101 + '01_WHOQOL_Items'!AA101 + '01_WHOQOL_Items'!AB101)/8)</f>
        <v>11.5</v>
      </c>
      <c r="S101" s="4">
        <f>4*(('01_WHOQOL_Items'!AK101 + '01_WHOQOL_Items'!AL101 + '01_WHOQOL_Items'!AO101 + '01_WHOQOL_Items'!AP101 + '01_WHOQOL_Items'!AQ101 + '01_WHOQOL_Items'!AZ101 + '01_WHOQOL_Items'!BA101 + '01_WHOQOL_Items'!BB101)/8)</f>
        <v>13</v>
      </c>
      <c r="T101" s="4">
        <f t="shared" si="24"/>
        <v>46.875</v>
      </c>
      <c r="U101" s="4">
        <f t="shared" si="25"/>
        <v>56.25</v>
      </c>
      <c r="V101" s="5">
        <f t="shared" si="26"/>
        <v>0.2</v>
      </c>
      <c r="W101" s="4">
        <f t="shared" si="27"/>
        <v>55.319940476190474</v>
      </c>
      <c r="X101" s="4">
        <f t="shared" si="28"/>
        <v>73.735119047619051</v>
      </c>
      <c r="Y101" s="5">
        <f t="shared" si="29"/>
        <v>0.3328850033624749</v>
      </c>
      <c r="Z101" s="1">
        <f>'01_WHOQOL_Items'!D101</f>
        <v>3</v>
      </c>
      <c r="AA101" s="1">
        <f>'01_WHOQOL_Items'!AD101</f>
        <v>3</v>
      </c>
      <c r="AB101" s="1">
        <f>'01_WHOQOL_Items'!E101</f>
        <v>3</v>
      </c>
      <c r="AC101" s="1">
        <f>'01_WHOQOL_Items'!AE101</f>
        <v>3</v>
      </c>
    </row>
    <row r="102" spans="1:29">
      <c r="A102" s="1" t="str">
        <f>'01_WHOQOL_Items'!A102</f>
        <v>EXP-101</v>
      </c>
      <c r="B102" s="1" t="str">
        <f>'01_WHOQOL_Items'!B102</f>
        <v>Experimental</v>
      </c>
      <c r="C102" s="4">
        <f>4*(((6-'01_WHOQOL_Items'!F102) + (6-'01_WHOQOL_Items'!G102) + '01_WHOQOL_Items'!M102 + '01_WHOQOL_Items'!R102 + '01_WHOQOL_Items'!S102 + '01_WHOQOL_Items'!T102 + '01_WHOQOL_Items'!U102)/7)</f>
        <v>8</v>
      </c>
      <c r="D102" s="4">
        <f>4*(((6-'01_WHOQOL_Items'!AF102) + (6-'01_WHOQOL_Items'!AG102) + '01_WHOQOL_Items'!AM102 + '01_WHOQOL_Items'!AR102 + '01_WHOQOL_Items'!AS102 + '01_WHOQOL_Items'!AT102 + '01_WHOQOL_Items'!AU102)/7)</f>
        <v>10.285714285714286</v>
      </c>
      <c r="E102" s="4">
        <f t="shared" si="15"/>
        <v>25</v>
      </c>
      <c r="F102" s="4">
        <f t="shared" si="16"/>
        <v>39.285714285714292</v>
      </c>
      <c r="G102" s="5">
        <f t="shared" si="17"/>
        <v>0.57142857142857162</v>
      </c>
      <c r="H102" s="4">
        <f>4*(('01_WHOQOL_Items'!H102 + '01_WHOQOL_Items'!I102 + '01_WHOQOL_Items'!J102 + '01_WHOQOL_Items'!N102 + '01_WHOQOL_Items'!V102 + (6-'01_WHOQOL_Items'!AC102))/6)</f>
        <v>10.666666666666666</v>
      </c>
      <c r="I102" s="4">
        <f>4*(('01_WHOQOL_Items'!AH102 + '01_WHOQOL_Items'!AI102 + '01_WHOQOL_Items'!AJ102 + '01_WHOQOL_Items'!AN102 + '01_WHOQOL_Items'!AV102 + (6-'01_WHOQOL_Items'!BC102))/6)</f>
        <v>11.333333333333334</v>
      </c>
      <c r="J102" s="4">
        <f t="shared" si="18"/>
        <v>41.666666666666664</v>
      </c>
      <c r="K102" s="4">
        <f t="shared" si="19"/>
        <v>45.833333333333336</v>
      </c>
      <c r="L102" s="5">
        <f t="shared" si="20"/>
        <v>0.10000000000000012</v>
      </c>
      <c r="M102" s="4">
        <f>4*(('01_WHOQOL_Items'!W102 + '01_WHOQOL_Items'!X102 + '01_WHOQOL_Items'!Y102)/3)</f>
        <v>12</v>
      </c>
      <c r="N102" s="4">
        <f>4*(('01_WHOQOL_Items'!AW102 + '01_WHOQOL_Items'!AX102 + '01_WHOQOL_Items'!AY102)/3)</f>
        <v>17.333333333333332</v>
      </c>
      <c r="O102" s="4">
        <f t="shared" si="21"/>
        <v>50</v>
      </c>
      <c r="P102" s="4">
        <f t="shared" si="22"/>
        <v>83.333333333333329</v>
      </c>
      <c r="Q102" s="5">
        <f t="shared" si="23"/>
        <v>0.66666666666666652</v>
      </c>
      <c r="R102" s="4">
        <f>4*(('01_WHOQOL_Items'!K102 + '01_WHOQOL_Items'!L102 + '01_WHOQOL_Items'!O102 + '01_WHOQOL_Items'!P102 + '01_WHOQOL_Items'!Q102 + '01_WHOQOL_Items'!Z102 + '01_WHOQOL_Items'!AA102 + '01_WHOQOL_Items'!AB102)/8)</f>
        <v>9.5</v>
      </c>
      <c r="S102" s="4">
        <f>4*(('01_WHOQOL_Items'!AK102 + '01_WHOQOL_Items'!AL102 + '01_WHOQOL_Items'!AO102 + '01_WHOQOL_Items'!AP102 + '01_WHOQOL_Items'!AQ102 + '01_WHOQOL_Items'!AZ102 + '01_WHOQOL_Items'!BA102 + '01_WHOQOL_Items'!BB102)/8)</f>
        <v>10.5</v>
      </c>
      <c r="T102" s="4">
        <f t="shared" si="24"/>
        <v>34.375</v>
      </c>
      <c r="U102" s="4">
        <f t="shared" si="25"/>
        <v>40.625</v>
      </c>
      <c r="V102" s="5">
        <f t="shared" si="26"/>
        <v>0.18181818181818182</v>
      </c>
      <c r="W102" s="4">
        <f t="shared" si="27"/>
        <v>37.760416666666664</v>
      </c>
      <c r="X102" s="4">
        <f t="shared" si="28"/>
        <v>52.269345238095241</v>
      </c>
      <c r="Y102" s="5">
        <f t="shared" si="29"/>
        <v>0.38423645320197058</v>
      </c>
      <c r="Z102" s="1">
        <f>'01_WHOQOL_Items'!D102</f>
        <v>3</v>
      </c>
      <c r="AA102" s="1">
        <f>'01_WHOQOL_Items'!AD102</f>
        <v>3</v>
      </c>
      <c r="AB102" s="1">
        <f>'01_WHOQOL_Items'!E102</f>
        <v>3</v>
      </c>
      <c r="AC102" s="1">
        <f>'01_WHOQOL_Items'!AE102</f>
        <v>2</v>
      </c>
    </row>
    <row r="103" spans="1:29">
      <c r="A103" s="1" t="str">
        <f>'01_WHOQOL_Items'!A103</f>
        <v>EXP-102</v>
      </c>
      <c r="B103" s="1" t="str">
        <f>'01_WHOQOL_Items'!B103</f>
        <v>Experimental</v>
      </c>
      <c r="C103" s="4">
        <f>4*(((6-'01_WHOQOL_Items'!F103) + (6-'01_WHOQOL_Items'!G103) + '01_WHOQOL_Items'!M103 + '01_WHOQOL_Items'!R103 + '01_WHOQOL_Items'!S103 + '01_WHOQOL_Items'!T103 + '01_WHOQOL_Items'!U103)/7)</f>
        <v>11.428571428571429</v>
      </c>
      <c r="D103" s="4">
        <f>4*(((6-'01_WHOQOL_Items'!AF103) + (6-'01_WHOQOL_Items'!AG103) + '01_WHOQOL_Items'!AM103 + '01_WHOQOL_Items'!AR103 + '01_WHOQOL_Items'!AS103 + '01_WHOQOL_Items'!AT103 + '01_WHOQOL_Items'!AU103)/7)</f>
        <v>12</v>
      </c>
      <c r="E103" s="4">
        <f t="shared" si="15"/>
        <v>46.428571428571431</v>
      </c>
      <c r="F103" s="4">
        <f t="shared" si="16"/>
        <v>50</v>
      </c>
      <c r="G103" s="5">
        <f t="shared" si="17"/>
        <v>7.6923076923076872E-2</v>
      </c>
      <c r="H103" s="4">
        <f>4*(('01_WHOQOL_Items'!H103 + '01_WHOQOL_Items'!I103 + '01_WHOQOL_Items'!J103 + '01_WHOQOL_Items'!N103 + '01_WHOQOL_Items'!V103 + (6-'01_WHOQOL_Items'!AC103))/6)</f>
        <v>8.6666666666666661</v>
      </c>
      <c r="I103" s="4">
        <f>4*(('01_WHOQOL_Items'!AH103 + '01_WHOQOL_Items'!AI103 + '01_WHOQOL_Items'!AJ103 + '01_WHOQOL_Items'!AN103 + '01_WHOQOL_Items'!AV103 + (6-'01_WHOQOL_Items'!BC103))/6)</f>
        <v>11.333333333333334</v>
      </c>
      <c r="J103" s="4">
        <f t="shared" si="18"/>
        <v>29.166666666666664</v>
      </c>
      <c r="K103" s="4">
        <f t="shared" si="19"/>
        <v>45.833333333333336</v>
      </c>
      <c r="L103" s="5">
        <f t="shared" si="20"/>
        <v>0.57142857142857162</v>
      </c>
      <c r="M103" s="4">
        <f>4*(('01_WHOQOL_Items'!W103 + '01_WHOQOL_Items'!X103 + '01_WHOQOL_Items'!Y103)/3)</f>
        <v>10.666666666666666</v>
      </c>
      <c r="N103" s="4">
        <f>4*(('01_WHOQOL_Items'!AW103 + '01_WHOQOL_Items'!AX103 + '01_WHOQOL_Items'!AY103)/3)</f>
        <v>10.666666666666666</v>
      </c>
      <c r="O103" s="4">
        <f t="shared" si="21"/>
        <v>41.666666666666664</v>
      </c>
      <c r="P103" s="4">
        <f t="shared" si="22"/>
        <v>41.666666666666664</v>
      </c>
      <c r="Q103" s="5">
        <f t="shared" si="23"/>
        <v>0</v>
      </c>
      <c r="R103" s="4">
        <f>4*(('01_WHOQOL_Items'!K103 + '01_WHOQOL_Items'!L103 + '01_WHOQOL_Items'!O103 + '01_WHOQOL_Items'!P103 + '01_WHOQOL_Items'!Q103 + '01_WHOQOL_Items'!Z103 + '01_WHOQOL_Items'!AA103 + '01_WHOQOL_Items'!AB103)/8)</f>
        <v>10.5</v>
      </c>
      <c r="S103" s="4">
        <f>4*(('01_WHOQOL_Items'!AK103 + '01_WHOQOL_Items'!AL103 + '01_WHOQOL_Items'!AO103 + '01_WHOQOL_Items'!AP103 + '01_WHOQOL_Items'!AQ103 + '01_WHOQOL_Items'!AZ103 + '01_WHOQOL_Items'!BA103 + '01_WHOQOL_Items'!BB103)/8)</f>
        <v>12.5</v>
      </c>
      <c r="T103" s="4">
        <f t="shared" si="24"/>
        <v>40.625</v>
      </c>
      <c r="U103" s="4">
        <f t="shared" si="25"/>
        <v>53.125</v>
      </c>
      <c r="V103" s="5">
        <f t="shared" si="26"/>
        <v>0.30769230769230771</v>
      </c>
      <c r="W103" s="4">
        <f t="shared" si="27"/>
        <v>39.47172619047619</v>
      </c>
      <c r="X103" s="4">
        <f t="shared" si="28"/>
        <v>47.65625</v>
      </c>
      <c r="Y103" s="5">
        <f t="shared" si="29"/>
        <v>0.20735155513666353</v>
      </c>
      <c r="Z103" s="1">
        <f>'01_WHOQOL_Items'!D103</f>
        <v>3</v>
      </c>
      <c r="AA103" s="1">
        <f>'01_WHOQOL_Items'!AD103</f>
        <v>4</v>
      </c>
      <c r="AB103" s="1">
        <f>'01_WHOQOL_Items'!E103</f>
        <v>3</v>
      </c>
      <c r="AC103" s="1">
        <f>'01_WHOQOL_Items'!AE103</f>
        <v>4</v>
      </c>
    </row>
    <row r="104" spans="1:29">
      <c r="A104" s="1" t="str">
        <f>'01_WHOQOL_Items'!A104</f>
        <v>EXP-103</v>
      </c>
      <c r="B104" s="1" t="str">
        <f>'01_WHOQOL_Items'!B104</f>
        <v>Experimental</v>
      </c>
      <c r="C104" s="4">
        <f>4*(((6-'01_WHOQOL_Items'!F104) + (6-'01_WHOQOL_Items'!G104) + '01_WHOQOL_Items'!M104 + '01_WHOQOL_Items'!R104 + '01_WHOQOL_Items'!S104 + '01_WHOQOL_Items'!T104 + '01_WHOQOL_Items'!U104)/7)</f>
        <v>9.7142857142857135</v>
      </c>
      <c r="D104" s="4">
        <f>4*(((6-'01_WHOQOL_Items'!AF104) + (6-'01_WHOQOL_Items'!AG104) + '01_WHOQOL_Items'!AM104 + '01_WHOQOL_Items'!AR104 + '01_WHOQOL_Items'!AS104 + '01_WHOQOL_Items'!AT104 + '01_WHOQOL_Items'!AU104)/7)</f>
        <v>9.7142857142857135</v>
      </c>
      <c r="E104" s="4">
        <f t="shared" si="15"/>
        <v>35.714285714285708</v>
      </c>
      <c r="F104" s="4">
        <f t="shared" si="16"/>
        <v>35.714285714285708</v>
      </c>
      <c r="G104" s="5">
        <f t="shared" si="17"/>
        <v>0</v>
      </c>
      <c r="H104" s="4">
        <f>4*(('01_WHOQOL_Items'!H104 + '01_WHOQOL_Items'!I104 + '01_WHOQOL_Items'!J104 + '01_WHOQOL_Items'!N104 + '01_WHOQOL_Items'!V104 + (6-'01_WHOQOL_Items'!AC104))/6)</f>
        <v>11.333333333333334</v>
      </c>
      <c r="I104" s="4">
        <f>4*(('01_WHOQOL_Items'!AH104 + '01_WHOQOL_Items'!AI104 + '01_WHOQOL_Items'!AJ104 + '01_WHOQOL_Items'!AN104 + '01_WHOQOL_Items'!AV104 + (6-'01_WHOQOL_Items'!BC104))/6)</f>
        <v>14</v>
      </c>
      <c r="J104" s="4">
        <f t="shared" si="18"/>
        <v>45.833333333333336</v>
      </c>
      <c r="K104" s="4">
        <f t="shared" si="19"/>
        <v>62.5</v>
      </c>
      <c r="L104" s="5">
        <f t="shared" si="20"/>
        <v>0.36363636363636359</v>
      </c>
      <c r="M104" s="4">
        <f>4*(('01_WHOQOL_Items'!W104 + '01_WHOQOL_Items'!X104 + '01_WHOQOL_Items'!Y104)/3)</f>
        <v>9.3333333333333339</v>
      </c>
      <c r="N104" s="4">
        <f>4*(('01_WHOQOL_Items'!AW104 + '01_WHOQOL_Items'!AX104 + '01_WHOQOL_Items'!AY104)/3)</f>
        <v>16</v>
      </c>
      <c r="O104" s="4">
        <f t="shared" si="21"/>
        <v>33.333333333333336</v>
      </c>
      <c r="P104" s="4">
        <f t="shared" si="22"/>
        <v>75</v>
      </c>
      <c r="Q104" s="5">
        <f t="shared" si="23"/>
        <v>1.2499999999999998</v>
      </c>
      <c r="R104" s="4">
        <f>4*(('01_WHOQOL_Items'!K104 + '01_WHOQOL_Items'!L104 + '01_WHOQOL_Items'!O104 + '01_WHOQOL_Items'!P104 + '01_WHOQOL_Items'!Q104 + '01_WHOQOL_Items'!Z104 + '01_WHOQOL_Items'!AA104 + '01_WHOQOL_Items'!AB104)/8)</f>
        <v>11</v>
      </c>
      <c r="S104" s="4">
        <f>4*(('01_WHOQOL_Items'!AK104 + '01_WHOQOL_Items'!AL104 + '01_WHOQOL_Items'!AO104 + '01_WHOQOL_Items'!AP104 + '01_WHOQOL_Items'!AQ104 + '01_WHOQOL_Items'!AZ104 + '01_WHOQOL_Items'!BA104 + '01_WHOQOL_Items'!BB104)/8)</f>
        <v>12.5</v>
      </c>
      <c r="T104" s="4">
        <f t="shared" si="24"/>
        <v>43.75</v>
      </c>
      <c r="U104" s="4">
        <f t="shared" si="25"/>
        <v>53.125</v>
      </c>
      <c r="V104" s="5">
        <f t="shared" si="26"/>
        <v>0.21428571428571427</v>
      </c>
      <c r="W104" s="4">
        <f t="shared" si="27"/>
        <v>39.657738095238095</v>
      </c>
      <c r="X104" s="4">
        <f t="shared" si="28"/>
        <v>56.584821428571431</v>
      </c>
      <c r="Y104" s="5">
        <f t="shared" si="29"/>
        <v>0.42682926829268297</v>
      </c>
      <c r="Z104" s="1">
        <f>'01_WHOQOL_Items'!D104</f>
        <v>2</v>
      </c>
      <c r="AA104" s="1">
        <f>'01_WHOQOL_Items'!AD104</f>
        <v>3</v>
      </c>
      <c r="AB104" s="1">
        <f>'01_WHOQOL_Items'!E104</f>
        <v>3</v>
      </c>
      <c r="AC104" s="1">
        <f>'01_WHOQOL_Items'!AE104</f>
        <v>2</v>
      </c>
    </row>
    <row r="105" spans="1:29">
      <c r="A105" s="1" t="str">
        <f>'01_WHOQOL_Items'!A105</f>
        <v>EXP-104</v>
      </c>
      <c r="B105" s="1" t="str">
        <f>'01_WHOQOL_Items'!B105</f>
        <v>Experimental</v>
      </c>
      <c r="C105" s="4">
        <f>4*(((6-'01_WHOQOL_Items'!F105) + (6-'01_WHOQOL_Items'!G105) + '01_WHOQOL_Items'!M105 + '01_WHOQOL_Items'!R105 + '01_WHOQOL_Items'!S105 + '01_WHOQOL_Items'!T105 + '01_WHOQOL_Items'!U105)/7)</f>
        <v>14.285714285714286</v>
      </c>
      <c r="D105" s="4">
        <f>4*(((6-'01_WHOQOL_Items'!AF105) + (6-'01_WHOQOL_Items'!AG105) + '01_WHOQOL_Items'!AM105 + '01_WHOQOL_Items'!AR105 + '01_WHOQOL_Items'!AS105 + '01_WHOQOL_Items'!AT105 + '01_WHOQOL_Items'!AU105)/7)</f>
        <v>17.142857142857142</v>
      </c>
      <c r="E105" s="4">
        <f t="shared" si="15"/>
        <v>64.285714285714292</v>
      </c>
      <c r="F105" s="4">
        <f t="shared" si="16"/>
        <v>82.142857142857139</v>
      </c>
      <c r="G105" s="5">
        <f t="shared" si="17"/>
        <v>0.27777777777777757</v>
      </c>
      <c r="H105" s="4">
        <f>4*(('01_WHOQOL_Items'!H105 + '01_WHOQOL_Items'!I105 + '01_WHOQOL_Items'!J105 + '01_WHOQOL_Items'!N105 + '01_WHOQOL_Items'!V105 + (6-'01_WHOQOL_Items'!AC105))/6)</f>
        <v>14.666666666666666</v>
      </c>
      <c r="I105" s="4">
        <f>4*(('01_WHOQOL_Items'!AH105 + '01_WHOQOL_Items'!AI105 + '01_WHOQOL_Items'!AJ105 + '01_WHOQOL_Items'!AN105 + '01_WHOQOL_Items'!AV105 + (6-'01_WHOQOL_Items'!BC105))/6)</f>
        <v>16</v>
      </c>
      <c r="J105" s="4">
        <f t="shared" si="18"/>
        <v>66.666666666666657</v>
      </c>
      <c r="K105" s="4">
        <f t="shared" si="19"/>
        <v>75</v>
      </c>
      <c r="L105" s="5">
        <f t="shared" si="20"/>
        <v>0.12500000000000017</v>
      </c>
      <c r="M105" s="4">
        <f>4*(('01_WHOQOL_Items'!W105 + '01_WHOQOL_Items'!X105 + '01_WHOQOL_Items'!Y105)/3)</f>
        <v>14.666666666666666</v>
      </c>
      <c r="N105" s="4">
        <f>4*(('01_WHOQOL_Items'!AW105 + '01_WHOQOL_Items'!AX105 + '01_WHOQOL_Items'!AY105)/3)</f>
        <v>17.333333333333332</v>
      </c>
      <c r="O105" s="4">
        <f t="shared" si="21"/>
        <v>66.666666666666657</v>
      </c>
      <c r="P105" s="4">
        <f t="shared" si="22"/>
        <v>83.333333333333329</v>
      </c>
      <c r="Q105" s="5">
        <f t="shared" si="23"/>
        <v>0.25000000000000011</v>
      </c>
      <c r="R105" s="4">
        <f>4*(('01_WHOQOL_Items'!K105 + '01_WHOQOL_Items'!L105 + '01_WHOQOL_Items'!O105 + '01_WHOQOL_Items'!P105 + '01_WHOQOL_Items'!Q105 + '01_WHOQOL_Items'!Z105 + '01_WHOQOL_Items'!AA105 + '01_WHOQOL_Items'!AB105)/8)</f>
        <v>16</v>
      </c>
      <c r="S105" s="4">
        <f>4*(('01_WHOQOL_Items'!AK105 + '01_WHOQOL_Items'!AL105 + '01_WHOQOL_Items'!AO105 + '01_WHOQOL_Items'!AP105 + '01_WHOQOL_Items'!AQ105 + '01_WHOQOL_Items'!AZ105 + '01_WHOQOL_Items'!BA105 + '01_WHOQOL_Items'!BB105)/8)</f>
        <v>18.5</v>
      </c>
      <c r="T105" s="4">
        <f t="shared" si="24"/>
        <v>75</v>
      </c>
      <c r="U105" s="4">
        <f t="shared" si="25"/>
        <v>90.625</v>
      </c>
      <c r="V105" s="5">
        <f t="shared" si="26"/>
        <v>0.20833333333333334</v>
      </c>
      <c r="W105" s="4">
        <f t="shared" si="27"/>
        <v>68.154761904761898</v>
      </c>
      <c r="X105" s="4">
        <f t="shared" si="28"/>
        <v>82.77529761904762</v>
      </c>
      <c r="Y105" s="5">
        <f t="shared" si="29"/>
        <v>0.21451965065502199</v>
      </c>
      <c r="Z105" s="1">
        <f>'01_WHOQOL_Items'!D105</f>
        <v>4</v>
      </c>
      <c r="AA105" s="1">
        <f>'01_WHOQOL_Items'!AD105</f>
        <v>4</v>
      </c>
      <c r="AB105" s="1">
        <f>'01_WHOQOL_Items'!E105</f>
        <v>4</v>
      </c>
      <c r="AC105" s="1">
        <f>'01_WHOQOL_Items'!AE105</f>
        <v>4</v>
      </c>
    </row>
    <row r="106" spans="1:29">
      <c r="A106" s="1" t="str">
        <f>'01_WHOQOL_Items'!A106</f>
        <v>EXP-105</v>
      </c>
      <c r="B106" s="1" t="str">
        <f>'01_WHOQOL_Items'!B106</f>
        <v>Experimental</v>
      </c>
      <c r="C106" s="4">
        <f>4*(((6-'01_WHOQOL_Items'!F106) + (6-'01_WHOQOL_Items'!G106) + '01_WHOQOL_Items'!M106 + '01_WHOQOL_Items'!R106 + '01_WHOQOL_Items'!S106 + '01_WHOQOL_Items'!T106 + '01_WHOQOL_Items'!U106)/7)</f>
        <v>12</v>
      </c>
      <c r="D106" s="4">
        <f>4*(((6-'01_WHOQOL_Items'!AF106) + (6-'01_WHOQOL_Items'!AG106) + '01_WHOQOL_Items'!AM106 + '01_WHOQOL_Items'!AR106 + '01_WHOQOL_Items'!AS106 + '01_WHOQOL_Items'!AT106 + '01_WHOQOL_Items'!AU106)/7)</f>
        <v>12.571428571428571</v>
      </c>
      <c r="E106" s="4">
        <f t="shared" si="15"/>
        <v>50</v>
      </c>
      <c r="F106" s="4">
        <f t="shared" si="16"/>
        <v>53.571428571428569</v>
      </c>
      <c r="G106" s="5">
        <f t="shared" si="17"/>
        <v>7.1428571428571383E-2</v>
      </c>
      <c r="H106" s="4">
        <f>4*(('01_WHOQOL_Items'!H106 + '01_WHOQOL_Items'!I106 + '01_WHOQOL_Items'!J106 + '01_WHOQOL_Items'!N106 + '01_WHOQOL_Items'!V106 + (6-'01_WHOQOL_Items'!AC106))/6)</f>
        <v>15.333333333333334</v>
      </c>
      <c r="I106" s="4">
        <f>4*(('01_WHOQOL_Items'!AH106 + '01_WHOQOL_Items'!AI106 + '01_WHOQOL_Items'!AJ106 + '01_WHOQOL_Items'!AN106 + '01_WHOQOL_Items'!AV106 + (6-'01_WHOQOL_Items'!BC106))/6)</f>
        <v>15.333333333333334</v>
      </c>
      <c r="J106" s="4">
        <f t="shared" si="18"/>
        <v>70.833333333333343</v>
      </c>
      <c r="K106" s="4">
        <f t="shared" si="19"/>
        <v>70.833333333333343</v>
      </c>
      <c r="L106" s="5">
        <f t="shared" si="20"/>
        <v>0</v>
      </c>
      <c r="M106" s="4">
        <f>4*(('01_WHOQOL_Items'!W106 + '01_WHOQOL_Items'!X106 + '01_WHOQOL_Items'!Y106)/3)</f>
        <v>14.666666666666666</v>
      </c>
      <c r="N106" s="4">
        <f>4*(('01_WHOQOL_Items'!AW106 + '01_WHOQOL_Items'!AX106 + '01_WHOQOL_Items'!AY106)/3)</f>
        <v>17.333333333333332</v>
      </c>
      <c r="O106" s="4">
        <f t="shared" si="21"/>
        <v>66.666666666666657</v>
      </c>
      <c r="P106" s="4">
        <f t="shared" si="22"/>
        <v>83.333333333333329</v>
      </c>
      <c r="Q106" s="5">
        <f t="shared" si="23"/>
        <v>0.25000000000000011</v>
      </c>
      <c r="R106" s="4">
        <f>4*(('01_WHOQOL_Items'!K106 + '01_WHOQOL_Items'!L106 + '01_WHOQOL_Items'!O106 + '01_WHOQOL_Items'!P106 + '01_WHOQOL_Items'!Q106 + '01_WHOQOL_Items'!Z106 + '01_WHOQOL_Items'!AA106 + '01_WHOQOL_Items'!AB106)/8)</f>
        <v>14</v>
      </c>
      <c r="S106" s="4">
        <f>4*(('01_WHOQOL_Items'!AK106 + '01_WHOQOL_Items'!AL106 + '01_WHOQOL_Items'!AO106 + '01_WHOQOL_Items'!AP106 + '01_WHOQOL_Items'!AQ106 + '01_WHOQOL_Items'!AZ106 + '01_WHOQOL_Items'!BA106 + '01_WHOQOL_Items'!BB106)/8)</f>
        <v>12.5</v>
      </c>
      <c r="T106" s="4">
        <f t="shared" si="24"/>
        <v>62.5</v>
      </c>
      <c r="U106" s="4">
        <f t="shared" si="25"/>
        <v>53.125</v>
      </c>
      <c r="V106" s="5">
        <f t="shared" si="26"/>
        <v>-0.15</v>
      </c>
      <c r="W106" s="4">
        <f t="shared" si="27"/>
        <v>62.5</v>
      </c>
      <c r="X106" s="4">
        <f t="shared" si="28"/>
        <v>65.21577380952381</v>
      </c>
      <c r="Y106" s="5">
        <f t="shared" si="29"/>
        <v>4.3452380952380965E-2</v>
      </c>
      <c r="Z106" s="1">
        <f>'01_WHOQOL_Items'!D106</f>
        <v>3</v>
      </c>
      <c r="AA106" s="1">
        <f>'01_WHOQOL_Items'!AD106</f>
        <v>4</v>
      </c>
      <c r="AB106" s="1">
        <f>'01_WHOQOL_Items'!E106</f>
        <v>3</v>
      </c>
      <c r="AC106" s="1">
        <f>'01_WHOQOL_Items'!AE106</f>
        <v>3</v>
      </c>
    </row>
    <row r="107" spans="1:29">
      <c r="A107" s="1" t="str">
        <f>'01_WHOQOL_Items'!A107</f>
        <v>EXP-106</v>
      </c>
      <c r="B107" s="1" t="str">
        <f>'01_WHOQOL_Items'!B107</f>
        <v>Experimental</v>
      </c>
      <c r="C107" s="4">
        <f>4*(((6-'01_WHOQOL_Items'!F107) + (6-'01_WHOQOL_Items'!G107) + '01_WHOQOL_Items'!M107 + '01_WHOQOL_Items'!R107 + '01_WHOQOL_Items'!S107 + '01_WHOQOL_Items'!T107 + '01_WHOQOL_Items'!U107)/7)</f>
        <v>11.428571428571429</v>
      </c>
      <c r="D107" s="4">
        <f>4*(((6-'01_WHOQOL_Items'!AF107) + (6-'01_WHOQOL_Items'!AG107) + '01_WHOQOL_Items'!AM107 + '01_WHOQOL_Items'!AR107 + '01_WHOQOL_Items'!AS107 + '01_WHOQOL_Items'!AT107 + '01_WHOQOL_Items'!AU107)/7)</f>
        <v>13.142857142857142</v>
      </c>
      <c r="E107" s="4">
        <f t="shared" si="15"/>
        <v>46.428571428571431</v>
      </c>
      <c r="F107" s="4">
        <f t="shared" si="16"/>
        <v>57.142857142857139</v>
      </c>
      <c r="G107" s="5">
        <f t="shared" si="17"/>
        <v>0.23076923076923062</v>
      </c>
      <c r="H107" s="4">
        <f>4*(('01_WHOQOL_Items'!H107 + '01_WHOQOL_Items'!I107 + '01_WHOQOL_Items'!J107 + '01_WHOQOL_Items'!N107 + '01_WHOQOL_Items'!V107 + (6-'01_WHOQOL_Items'!AC107))/6)</f>
        <v>8</v>
      </c>
      <c r="I107" s="4">
        <f>4*(('01_WHOQOL_Items'!AH107 + '01_WHOQOL_Items'!AI107 + '01_WHOQOL_Items'!AJ107 + '01_WHOQOL_Items'!AN107 + '01_WHOQOL_Items'!AV107 + (6-'01_WHOQOL_Items'!BC107))/6)</f>
        <v>9.3333333333333339</v>
      </c>
      <c r="J107" s="4">
        <f t="shared" si="18"/>
        <v>25</v>
      </c>
      <c r="K107" s="4">
        <f t="shared" si="19"/>
        <v>33.333333333333336</v>
      </c>
      <c r="L107" s="5">
        <f t="shared" si="20"/>
        <v>0.33333333333333343</v>
      </c>
      <c r="M107" s="4">
        <f>4*(('01_WHOQOL_Items'!W107 + '01_WHOQOL_Items'!X107 + '01_WHOQOL_Items'!Y107)/3)</f>
        <v>12</v>
      </c>
      <c r="N107" s="4">
        <f>4*(('01_WHOQOL_Items'!AW107 + '01_WHOQOL_Items'!AX107 + '01_WHOQOL_Items'!AY107)/3)</f>
        <v>14.666666666666666</v>
      </c>
      <c r="O107" s="4">
        <f t="shared" si="21"/>
        <v>50</v>
      </c>
      <c r="P107" s="4">
        <f t="shared" si="22"/>
        <v>66.666666666666657</v>
      </c>
      <c r="Q107" s="5">
        <f t="shared" si="23"/>
        <v>0.33333333333333315</v>
      </c>
      <c r="R107" s="4">
        <f>4*(('01_WHOQOL_Items'!K107 + '01_WHOQOL_Items'!L107 + '01_WHOQOL_Items'!O107 + '01_WHOQOL_Items'!P107 + '01_WHOQOL_Items'!Q107 + '01_WHOQOL_Items'!Z107 + '01_WHOQOL_Items'!AA107 + '01_WHOQOL_Items'!AB107)/8)</f>
        <v>9.5</v>
      </c>
      <c r="S107" s="4">
        <f>4*(('01_WHOQOL_Items'!AK107 + '01_WHOQOL_Items'!AL107 + '01_WHOQOL_Items'!AO107 + '01_WHOQOL_Items'!AP107 + '01_WHOQOL_Items'!AQ107 + '01_WHOQOL_Items'!AZ107 + '01_WHOQOL_Items'!BA107 + '01_WHOQOL_Items'!BB107)/8)</f>
        <v>11</v>
      </c>
      <c r="T107" s="4">
        <f t="shared" si="24"/>
        <v>34.375</v>
      </c>
      <c r="U107" s="4">
        <f t="shared" si="25"/>
        <v>43.75</v>
      </c>
      <c r="V107" s="5">
        <f t="shared" si="26"/>
        <v>0.27272727272727271</v>
      </c>
      <c r="W107" s="4">
        <f t="shared" si="27"/>
        <v>38.950892857142861</v>
      </c>
      <c r="X107" s="4">
        <f t="shared" si="28"/>
        <v>50.223214285714285</v>
      </c>
      <c r="Y107" s="5">
        <f t="shared" si="29"/>
        <v>0.28939828080229213</v>
      </c>
      <c r="Z107" s="1">
        <f>'01_WHOQOL_Items'!D107</f>
        <v>3</v>
      </c>
      <c r="AA107" s="1">
        <f>'01_WHOQOL_Items'!AD107</f>
        <v>2</v>
      </c>
      <c r="AB107" s="1">
        <f>'01_WHOQOL_Items'!E107</f>
        <v>3</v>
      </c>
      <c r="AC107" s="1">
        <f>'01_WHOQOL_Items'!AE107</f>
        <v>3</v>
      </c>
    </row>
    <row r="108" spans="1:29">
      <c r="A108" s="1" t="str">
        <f>'01_WHOQOL_Items'!A108</f>
        <v>EXP-107</v>
      </c>
      <c r="B108" s="1" t="str">
        <f>'01_WHOQOL_Items'!B108</f>
        <v>Experimental</v>
      </c>
      <c r="C108" s="4">
        <f>4*(((6-'01_WHOQOL_Items'!F108) + (6-'01_WHOQOL_Items'!G108) + '01_WHOQOL_Items'!M108 + '01_WHOQOL_Items'!R108 + '01_WHOQOL_Items'!S108 + '01_WHOQOL_Items'!T108 + '01_WHOQOL_Items'!U108)/7)</f>
        <v>13.714285714285714</v>
      </c>
      <c r="D108" s="4">
        <f>4*(((6-'01_WHOQOL_Items'!AF108) + (6-'01_WHOQOL_Items'!AG108) + '01_WHOQOL_Items'!AM108 + '01_WHOQOL_Items'!AR108 + '01_WHOQOL_Items'!AS108 + '01_WHOQOL_Items'!AT108 + '01_WHOQOL_Items'!AU108)/7)</f>
        <v>16.571428571428573</v>
      </c>
      <c r="E108" s="4">
        <f t="shared" si="15"/>
        <v>60.714285714285708</v>
      </c>
      <c r="F108" s="4">
        <f t="shared" si="16"/>
        <v>78.571428571428584</v>
      </c>
      <c r="G108" s="5">
        <f t="shared" si="17"/>
        <v>0.29411764705882387</v>
      </c>
      <c r="H108" s="4">
        <f>4*(('01_WHOQOL_Items'!H108 + '01_WHOQOL_Items'!I108 + '01_WHOQOL_Items'!J108 + '01_WHOQOL_Items'!N108 + '01_WHOQOL_Items'!V108 + (6-'01_WHOQOL_Items'!AC108))/6)</f>
        <v>9.3333333333333339</v>
      </c>
      <c r="I108" s="4">
        <f>4*(('01_WHOQOL_Items'!AH108 + '01_WHOQOL_Items'!AI108 + '01_WHOQOL_Items'!AJ108 + '01_WHOQOL_Items'!AN108 + '01_WHOQOL_Items'!AV108 + (6-'01_WHOQOL_Items'!BC108))/6)</f>
        <v>12</v>
      </c>
      <c r="J108" s="4">
        <f t="shared" si="18"/>
        <v>33.333333333333336</v>
      </c>
      <c r="K108" s="4">
        <f t="shared" si="19"/>
        <v>50</v>
      </c>
      <c r="L108" s="5">
        <f t="shared" si="20"/>
        <v>0.49999999999999989</v>
      </c>
      <c r="M108" s="4">
        <f>4*(('01_WHOQOL_Items'!W108 + '01_WHOQOL_Items'!X108 + '01_WHOQOL_Items'!Y108)/3)</f>
        <v>8</v>
      </c>
      <c r="N108" s="4">
        <f>4*(('01_WHOQOL_Items'!AW108 + '01_WHOQOL_Items'!AX108 + '01_WHOQOL_Items'!AY108)/3)</f>
        <v>10.666666666666666</v>
      </c>
      <c r="O108" s="4">
        <f t="shared" si="21"/>
        <v>25</v>
      </c>
      <c r="P108" s="4">
        <f t="shared" si="22"/>
        <v>41.666666666666664</v>
      </c>
      <c r="Q108" s="5">
        <f t="shared" si="23"/>
        <v>0.66666666666666652</v>
      </c>
      <c r="R108" s="4">
        <f>4*(('01_WHOQOL_Items'!K108 + '01_WHOQOL_Items'!L108 + '01_WHOQOL_Items'!O108 + '01_WHOQOL_Items'!P108 + '01_WHOQOL_Items'!Q108 + '01_WHOQOL_Items'!Z108 + '01_WHOQOL_Items'!AA108 + '01_WHOQOL_Items'!AB108)/8)</f>
        <v>12</v>
      </c>
      <c r="S108" s="4">
        <f>4*(('01_WHOQOL_Items'!AK108 + '01_WHOQOL_Items'!AL108 + '01_WHOQOL_Items'!AO108 + '01_WHOQOL_Items'!AP108 + '01_WHOQOL_Items'!AQ108 + '01_WHOQOL_Items'!AZ108 + '01_WHOQOL_Items'!BA108 + '01_WHOQOL_Items'!BB108)/8)</f>
        <v>13</v>
      </c>
      <c r="T108" s="4">
        <f t="shared" si="24"/>
        <v>50</v>
      </c>
      <c r="U108" s="4">
        <f t="shared" si="25"/>
        <v>56.25</v>
      </c>
      <c r="V108" s="5">
        <f t="shared" si="26"/>
        <v>0.125</v>
      </c>
      <c r="W108" s="4">
        <f t="shared" si="27"/>
        <v>42.261904761904759</v>
      </c>
      <c r="X108" s="4">
        <f t="shared" si="28"/>
        <v>56.62202380952381</v>
      </c>
      <c r="Y108" s="5">
        <f t="shared" si="29"/>
        <v>0.3397887323943663</v>
      </c>
      <c r="Z108" s="1">
        <f>'01_WHOQOL_Items'!D108</f>
        <v>3</v>
      </c>
      <c r="AA108" s="1">
        <f>'01_WHOQOL_Items'!AD108</f>
        <v>2</v>
      </c>
      <c r="AB108" s="1">
        <f>'01_WHOQOL_Items'!E108</f>
        <v>3</v>
      </c>
      <c r="AC108" s="1">
        <f>'01_WHOQOL_Items'!AE108</f>
        <v>4</v>
      </c>
    </row>
    <row r="109" spans="1:29">
      <c r="A109" s="1" t="str">
        <f>'01_WHOQOL_Items'!A109</f>
        <v>EXP-108</v>
      </c>
      <c r="B109" s="1" t="str">
        <f>'01_WHOQOL_Items'!B109</f>
        <v>Experimental</v>
      </c>
      <c r="C109" s="4">
        <f>4*(((6-'01_WHOQOL_Items'!F109) + (6-'01_WHOQOL_Items'!G109) + '01_WHOQOL_Items'!M109 + '01_WHOQOL_Items'!R109 + '01_WHOQOL_Items'!S109 + '01_WHOQOL_Items'!T109 + '01_WHOQOL_Items'!U109)/7)</f>
        <v>12.571428571428571</v>
      </c>
      <c r="D109" s="4">
        <f>4*(((6-'01_WHOQOL_Items'!AF109) + (6-'01_WHOQOL_Items'!AG109) + '01_WHOQOL_Items'!AM109 + '01_WHOQOL_Items'!AR109 + '01_WHOQOL_Items'!AS109 + '01_WHOQOL_Items'!AT109 + '01_WHOQOL_Items'!AU109)/7)</f>
        <v>14.857142857142858</v>
      </c>
      <c r="E109" s="4">
        <f t="shared" si="15"/>
        <v>53.571428571428569</v>
      </c>
      <c r="F109" s="4">
        <f t="shared" si="16"/>
        <v>67.857142857142861</v>
      </c>
      <c r="G109" s="5">
        <f t="shared" si="17"/>
        <v>0.26666666666666677</v>
      </c>
      <c r="H109" s="4">
        <f>4*(('01_WHOQOL_Items'!H109 + '01_WHOQOL_Items'!I109 + '01_WHOQOL_Items'!J109 + '01_WHOQOL_Items'!N109 + '01_WHOQOL_Items'!V109 + (6-'01_WHOQOL_Items'!AC109))/6)</f>
        <v>12</v>
      </c>
      <c r="I109" s="4">
        <f>4*(('01_WHOQOL_Items'!AH109 + '01_WHOQOL_Items'!AI109 + '01_WHOQOL_Items'!AJ109 + '01_WHOQOL_Items'!AN109 + '01_WHOQOL_Items'!AV109 + (6-'01_WHOQOL_Items'!BC109))/6)</f>
        <v>17.333333333333332</v>
      </c>
      <c r="J109" s="4">
        <f t="shared" si="18"/>
        <v>50</v>
      </c>
      <c r="K109" s="4">
        <f t="shared" si="19"/>
        <v>83.333333333333329</v>
      </c>
      <c r="L109" s="5">
        <f t="shared" si="20"/>
        <v>0.66666666666666652</v>
      </c>
      <c r="M109" s="4">
        <f>4*(('01_WHOQOL_Items'!W109 + '01_WHOQOL_Items'!X109 + '01_WHOQOL_Items'!Y109)/3)</f>
        <v>12</v>
      </c>
      <c r="N109" s="4">
        <f>4*(('01_WHOQOL_Items'!AW109 + '01_WHOQOL_Items'!AX109 + '01_WHOQOL_Items'!AY109)/3)</f>
        <v>13.333333333333334</v>
      </c>
      <c r="O109" s="4">
        <f t="shared" si="21"/>
        <v>50</v>
      </c>
      <c r="P109" s="4">
        <f t="shared" si="22"/>
        <v>58.333333333333336</v>
      </c>
      <c r="Q109" s="5">
        <f t="shared" si="23"/>
        <v>0.16666666666666671</v>
      </c>
      <c r="R109" s="4">
        <f>4*(('01_WHOQOL_Items'!K109 + '01_WHOQOL_Items'!L109 + '01_WHOQOL_Items'!O109 + '01_WHOQOL_Items'!P109 + '01_WHOQOL_Items'!Q109 + '01_WHOQOL_Items'!Z109 + '01_WHOQOL_Items'!AA109 + '01_WHOQOL_Items'!AB109)/8)</f>
        <v>14</v>
      </c>
      <c r="S109" s="4">
        <f>4*(('01_WHOQOL_Items'!AK109 + '01_WHOQOL_Items'!AL109 + '01_WHOQOL_Items'!AO109 + '01_WHOQOL_Items'!AP109 + '01_WHOQOL_Items'!AQ109 + '01_WHOQOL_Items'!AZ109 + '01_WHOQOL_Items'!BA109 + '01_WHOQOL_Items'!BB109)/8)</f>
        <v>17.5</v>
      </c>
      <c r="T109" s="4">
        <f t="shared" si="24"/>
        <v>62.5</v>
      </c>
      <c r="U109" s="4">
        <f t="shared" si="25"/>
        <v>84.375</v>
      </c>
      <c r="V109" s="5">
        <f t="shared" si="26"/>
        <v>0.35</v>
      </c>
      <c r="W109" s="4">
        <f t="shared" si="27"/>
        <v>54.017857142857139</v>
      </c>
      <c r="X109" s="4">
        <f t="shared" si="28"/>
        <v>73.47470238095238</v>
      </c>
      <c r="Y109" s="5">
        <f t="shared" si="29"/>
        <v>0.3601928374655648</v>
      </c>
      <c r="Z109" s="1">
        <f>'01_WHOQOL_Items'!D109</f>
        <v>4</v>
      </c>
      <c r="AA109" s="1">
        <f>'01_WHOQOL_Items'!AD109</f>
        <v>4</v>
      </c>
      <c r="AB109" s="1">
        <f>'01_WHOQOL_Items'!E109</f>
        <v>3</v>
      </c>
      <c r="AC109" s="1">
        <f>'01_WHOQOL_Items'!AE109</f>
        <v>3</v>
      </c>
    </row>
    <row r="110" spans="1:29">
      <c r="A110" s="1" t="str">
        <f>'01_WHOQOL_Items'!A110</f>
        <v>EXP-109</v>
      </c>
      <c r="B110" s="1" t="str">
        <f>'01_WHOQOL_Items'!B110</f>
        <v>Experimental</v>
      </c>
      <c r="C110" s="4">
        <f>4*(((6-'01_WHOQOL_Items'!F110) + (6-'01_WHOQOL_Items'!G110) + '01_WHOQOL_Items'!M110 + '01_WHOQOL_Items'!R110 + '01_WHOQOL_Items'!S110 + '01_WHOQOL_Items'!T110 + '01_WHOQOL_Items'!U110)/7)</f>
        <v>9.7142857142857135</v>
      </c>
      <c r="D110" s="4">
        <f>4*(((6-'01_WHOQOL_Items'!AF110) + (6-'01_WHOQOL_Items'!AG110) + '01_WHOQOL_Items'!AM110 + '01_WHOQOL_Items'!AR110 + '01_WHOQOL_Items'!AS110 + '01_WHOQOL_Items'!AT110 + '01_WHOQOL_Items'!AU110)/7)</f>
        <v>12</v>
      </c>
      <c r="E110" s="4">
        <f t="shared" si="15"/>
        <v>35.714285714285708</v>
      </c>
      <c r="F110" s="4">
        <f t="shared" si="16"/>
        <v>50</v>
      </c>
      <c r="G110" s="5">
        <f t="shared" si="17"/>
        <v>0.40000000000000024</v>
      </c>
      <c r="H110" s="4">
        <f>4*(('01_WHOQOL_Items'!H110 + '01_WHOQOL_Items'!I110 + '01_WHOQOL_Items'!J110 + '01_WHOQOL_Items'!N110 + '01_WHOQOL_Items'!V110 + (6-'01_WHOQOL_Items'!AC110))/6)</f>
        <v>10</v>
      </c>
      <c r="I110" s="4">
        <f>4*(('01_WHOQOL_Items'!AH110 + '01_WHOQOL_Items'!AI110 + '01_WHOQOL_Items'!AJ110 + '01_WHOQOL_Items'!AN110 + '01_WHOQOL_Items'!AV110 + (6-'01_WHOQOL_Items'!BC110))/6)</f>
        <v>12</v>
      </c>
      <c r="J110" s="4">
        <f t="shared" si="18"/>
        <v>37.5</v>
      </c>
      <c r="K110" s="4">
        <f t="shared" si="19"/>
        <v>50</v>
      </c>
      <c r="L110" s="5">
        <f t="shared" si="20"/>
        <v>0.33333333333333331</v>
      </c>
      <c r="M110" s="4">
        <f>4*(('01_WHOQOL_Items'!W110 + '01_WHOQOL_Items'!X110 + '01_WHOQOL_Items'!Y110)/3)</f>
        <v>10.666666666666666</v>
      </c>
      <c r="N110" s="4">
        <f>4*(('01_WHOQOL_Items'!AW110 + '01_WHOQOL_Items'!AX110 + '01_WHOQOL_Items'!AY110)/3)</f>
        <v>14.666666666666666</v>
      </c>
      <c r="O110" s="4">
        <f t="shared" si="21"/>
        <v>41.666666666666664</v>
      </c>
      <c r="P110" s="4">
        <f t="shared" si="22"/>
        <v>66.666666666666657</v>
      </c>
      <c r="Q110" s="5">
        <f t="shared" si="23"/>
        <v>0.59999999999999987</v>
      </c>
      <c r="R110" s="4">
        <f>4*(('01_WHOQOL_Items'!K110 + '01_WHOQOL_Items'!L110 + '01_WHOQOL_Items'!O110 + '01_WHOQOL_Items'!P110 + '01_WHOQOL_Items'!Q110 + '01_WHOQOL_Items'!Z110 + '01_WHOQOL_Items'!AA110 + '01_WHOQOL_Items'!AB110)/8)</f>
        <v>13</v>
      </c>
      <c r="S110" s="4">
        <f>4*(('01_WHOQOL_Items'!AK110 + '01_WHOQOL_Items'!AL110 + '01_WHOQOL_Items'!AO110 + '01_WHOQOL_Items'!AP110 + '01_WHOQOL_Items'!AQ110 + '01_WHOQOL_Items'!AZ110 + '01_WHOQOL_Items'!BA110 + '01_WHOQOL_Items'!BB110)/8)</f>
        <v>15</v>
      </c>
      <c r="T110" s="4">
        <f t="shared" si="24"/>
        <v>56.25</v>
      </c>
      <c r="U110" s="4">
        <f t="shared" si="25"/>
        <v>68.75</v>
      </c>
      <c r="V110" s="5">
        <f t="shared" si="26"/>
        <v>0.22222222222222221</v>
      </c>
      <c r="W110" s="4">
        <f t="shared" si="27"/>
        <v>42.782738095238095</v>
      </c>
      <c r="X110" s="4">
        <f t="shared" si="28"/>
        <v>58.854166666666664</v>
      </c>
      <c r="Y110" s="5">
        <f t="shared" si="29"/>
        <v>0.37565217391304345</v>
      </c>
      <c r="Z110" s="1">
        <f>'01_WHOQOL_Items'!D110</f>
        <v>3</v>
      </c>
      <c r="AA110" s="1">
        <f>'01_WHOQOL_Items'!AD110</f>
        <v>4</v>
      </c>
      <c r="AB110" s="1">
        <f>'01_WHOQOL_Items'!E110</f>
        <v>2</v>
      </c>
      <c r="AC110" s="1">
        <f>'01_WHOQOL_Items'!AE110</f>
        <v>3</v>
      </c>
    </row>
    <row r="111" spans="1:29">
      <c r="A111" s="1" t="str">
        <f>'01_WHOQOL_Items'!A111</f>
        <v>EXP-110</v>
      </c>
      <c r="B111" s="1" t="str">
        <f>'01_WHOQOL_Items'!B111</f>
        <v>Experimental</v>
      </c>
      <c r="C111" s="4">
        <f>4*(((6-'01_WHOQOL_Items'!F111) + (6-'01_WHOQOL_Items'!G111) + '01_WHOQOL_Items'!M111 + '01_WHOQOL_Items'!R111 + '01_WHOQOL_Items'!S111 + '01_WHOQOL_Items'!T111 + '01_WHOQOL_Items'!U111)/7)</f>
        <v>13.142857142857142</v>
      </c>
      <c r="D111" s="4">
        <f>4*(((6-'01_WHOQOL_Items'!AF111) + (6-'01_WHOQOL_Items'!AG111) + '01_WHOQOL_Items'!AM111 + '01_WHOQOL_Items'!AR111 + '01_WHOQOL_Items'!AS111 + '01_WHOQOL_Items'!AT111 + '01_WHOQOL_Items'!AU111)/7)</f>
        <v>12.571428571428571</v>
      </c>
      <c r="E111" s="4">
        <f t="shared" si="15"/>
        <v>57.142857142857139</v>
      </c>
      <c r="F111" s="4">
        <f t="shared" si="16"/>
        <v>53.571428571428569</v>
      </c>
      <c r="G111" s="5">
        <f t="shared" si="17"/>
        <v>-6.2499999999999972E-2</v>
      </c>
      <c r="H111" s="4">
        <f>4*(('01_WHOQOL_Items'!H111 + '01_WHOQOL_Items'!I111 + '01_WHOQOL_Items'!J111 + '01_WHOQOL_Items'!N111 + '01_WHOQOL_Items'!V111 + (6-'01_WHOQOL_Items'!AC111))/6)</f>
        <v>10.666666666666666</v>
      </c>
      <c r="I111" s="4">
        <f>4*(('01_WHOQOL_Items'!AH111 + '01_WHOQOL_Items'!AI111 + '01_WHOQOL_Items'!AJ111 + '01_WHOQOL_Items'!AN111 + '01_WHOQOL_Items'!AV111 + (6-'01_WHOQOL_Items'!BC111))/6)</f>
        <v>14.666666666666666</v>
      </c>
      <c r="J111" s="4">
        <f t="shared" si="18"/>
        <v>41.666666666666664</v>
      </c>
      <c r="K111" s="4">
        <f t="shared" si="19"/>
        <v>66.666666666666657</v>
      </c>
      <c r="L111" s="5">
        <f t="shared" si="20"/>
        <v>0.59999999999999987</v>
      </c>
      <c r="M111" s="4">
        <f>4*(('01_WHOQOL_Items'!W111 + '01_WHOQOL_Items'!X111 + '01_WHOQOL_Items'!Y111)/3)</f>
        <v>14.666666666666666</v>
      </c>
      <c r="N111" s="4">
        <f>4*(('01_WHOQOL_Items'!AW111 + '01_WHOQOL_Items'!AX111 + '01_WHOQOL_Items'!AY111)/3)</f>
        <v>14.666666666666666</v>
      </c>
      <c r="O111" s="4">
        <f t="shared" si="21"/>
        <v>66.666666666666657</v>
      </c>
      <c r="P111" s="4">
        <f t="shared" si="22"/>
        <v>66.666666666666657</v>
      </c>
      <c r="Q111" s="5">
        <f t="shared" si="23"/>
        <v>0</v>
      </c>
      <c r="R111" s="4">
        <f>4*(('01_WHOQOL_Items'!K111 + '01_WHOQOL_Items'!L111 + '01_WHOQOL_Items'!O111 + '01_WHOQOL_Items'!P111 + '01_WHOQOL_Items'!Q111 + '01_WHOQOL_Items'!Z111 + '01_WHOQOL_Items'!AA111 + '01_WHOQOL_Items'!AB111)/8)</f>
        <v>14</v>
      </c>
      <c r="S111" s="4">
        <f>4*(('01_WHOQOL_Items'!AK111 + '01_WHOQOL_Items'!AL111 + '01_WHOQOL_Items'!AO111 + '01_WHOQOL_Items'!AP111 + '01_WHOQOL_Items'!AQ111 + '01_WHOQOL_Items'!AZ111 + '01_WHOQOL_Items'!BA111 + '01_WHOQOL_Items'!BB111)/8)</f>
        <v>17.5</v>
      </c>
      <c r="T111" s="4">
        <f t="shared" si="24"/>
        <v>62.5</v>
      </c>
      <c r="U111" s="4">
        <f t="shared" si="25"/>
        <v>84.375</v>
      </c>
      <c r="V111" s="5">
        <f t="shared" si="26"/>
        <v>0.35</v>
      </c>
      <c r="W111" s="4">
        <f t="shared" si="27"/>
        <v>56.994047619047613</v>
      </c>
      <c r="X111" s="4">
        <f t="shared" si="28"/>
        <v>67.819940476190467</v>
      </c>
      <c r="Y111" s="5">
        <f t="shared" si="29"/>
        <v>0.18994778067885115</v>
      </c>
      <c r="Z111" s="1">
        <f>'01_WHOQOL_Items'!D111</f>
        <v>3</v>
      </c>
      <c r="AA111" s="1">
        <f>'01_WHOQOL_Items'!AD111</f>
        <v>3</v>
      </c>
      <c r="AB111" s="1">
        <f>'01_WHOQOL_Items'!E111</f>
        <v>3</v>
      </c>
      <c r="AC111" s="1">
        <f>'01_WHOQOL_Items'!AE111</f>
        <v>3</v>
      </c>
    </row>
    <row r="112" spans="1:29">
      <c r="A112" s="1" t="str">
        <f>'01_WHOQOL_Items'!A112</f>
        <v>EXP-111</v>
      </c>
      <c r="B112" s="1" t="str">
        <f>'01_WHOQOL_Items'!B112</f>
        <v>Experimental</v>
      </c>
      <c r="C112" s="4">
        <f>4*(((6-'01_WHOQOL_Items'!F112) + (6-'01_WHOQOL_Items'!G112) + '01_WHOQOL_Items'!M112 + '01_WHOQOL_Items'!R112 + '01_WHOQOL_Items'!S112 + '01_WHOQOL_Items'!T112 + '01_WHOQOL_Items'!U112)/7)</f>
        <v>16.571428571428573</v>
      </c>
      <c r="D112" s="4">
        <f>4*(((6-'01_WHOQOL_Items'!AF112) + (6-'01_WHOQOL_Items'!AG112) + '01_WHOQOL_Items'!AM112 + '01_WHOQOL_Items'!AR112 + '01_WHOQOL_Items'!AS112 + '01_WHOQOL_Items'!AT112 + '01_WHOQOL_Items'!AU112)/7)</f>
        <v>17.142857142857142</v>
      </c>
      <c r="E112" s="4">
        <f t="shared" si="15"/>
        <v>78.571428571428584</v>
      </c>
      <c r="F112" s="4">
        <f t="shared" si="16"/>
        <v>82.142857142857139</v>
      </c>
      <c r="G112" s="5">
        <f t="shared" si="17"/>
        <v>4.5454545454545241E-2</v>
      </c>
      <c r="H112" s="4">
        <f>4*(('01_WHOQOL_Items'!H112 + '01_WHOQOL_Items'!I112 + '01_WHOQOL_Items'!J112 + '01_WHOQOL_Items'!N112 + '01_WHOQOL_Items'!V112 + (6-'01_WHOQOL_Items'!AC112))/6)</f>
        <v>13.333333333333334</v>
      </c>
      <c r="I112" s="4">
        <f>4*(('01_WHOQOL_Items'!AH112 + '01_WHOQOL_Items'!AI112 + '01_WHOQOL_Items'!AJ112 + '01_WHOQOL_Items'!AN112 + '01_WHOQOL_Items'!AV112 + (6-'01_WHOQOL_Items'!BC112))/6)</f>
        <v>14.666666666666666</v>
      </c>
      <c r="J112" s="4">
        <f t="shared" si="18"/>
        <v>58.333333333333336</v>
      </c>
      <c r="K112" s="4">
        <f t="shared" si="19"/>
        <v>66.666666666666657</v>
      </c>
      <c r="L112" s="5">
        <f t="shared" si="20"/>
        <v>0.14285714285714265</v>
      </c>
      <c r="M112" s="4">
        <f>4*(('01_WHOQOL_Items'!W112 + '01_WHOQOL_Items'!X112 + '01_WHOQOL_Items'!Y112)/3)</f>
        <v>9.3333333333333339</v>
      </c>
      <c r="N112" s="4">
        <f>4*(('01_WHOQOL_Items'!AW112 + '01_WHOQOL_Items'!AX112 + '01_WHOQOL_Items'!AY112)/3)</f>
        <v>14.666666666666666</v>
      </c>
      <c r="O112" s="4">
        <f t="shared" si="21"/>
        <v>33.333333333333336</v>
      </c>
      <c r="P112" s="4">
        <f t="shared" si="22"/>
        <v>66.666666666666657</v>
      </c>
      <c r="Q112" s="5">
        <f t="shared" si="23"/>
        <v>0.99999999999999956</v>
      </c>
      <c r="R112" s="4">
        <f>4*(('01_WHOQOL_Items'!K112 + '01_WHOQOL_Items'!L112 + '01_WHOQOL_Items'!O112 + '01_WHOQOL_Items'!P112 + '01_WHOQOL_Items'!Q112 + '01_WHOQOL_Items'!Z112 + '01_WHOQOL_Items'!AA112 + '01_WHOQOL_Items'!AB112)/8)</f>
        <v>12.5</v>
      </c>
      <c r="S112" s="4">
        <f>4*(('01_WHOQOL_Items'!AK112 + '01_WHOQOL_Items'!AL112 + '01_WHOQOL_Items'!AO112 + '01_WHOQOL_Items'!AP112 + '01_WHOQOL_Items'!AQ112 + '01_WHOQOL_Items'!AZ112 + '01_WHOQOL_Items'!BA112 + '01_WHOQOL_Items'!BB112)/8)</f>
        <v>13.5</v>
      </c>
      <c r="T112" s="4">
        <f t="shared" si="24"/>
        <v>53.125</v>
      </c>
      <c r="U112" s="4">
        <f t="shared" si="25"/>
        <v>59.375</v>
      </c>
      <c r="V112" s="5">
        <f t="shared" si="26"/>
        <v>0.11764705882352941</v>
      </c>
      <c r="W112" s="4">
        <f t="shared" si="27"/>
        <v>55.840773809523817</v>
      </c>
      <c r="X112" s="4">
        <f t="shared" si="28"/>
        <v>68.71279761904762</v>
      </c>
      <c r="Y112" s="5">
        <f t="shared" si="29"/>
        <v>0.2305129913391071</v>
      </c>
      <c r="Z112" s="1">
        <f>'01_WHOQOL_Items'!D112</f>
        <v>3</v>
      </c>
      <c r="AA112" s="1">
        <f>'01_WHOQOL_Items'!AD112</f>
        <v>4</v>
      </c>
      <c r="AB112" s="1">
        <f>'01_WHOQOL_Items'!E112</f>
        <v>4</v>
      </c>
      <c r="AC112" s="1">
        <f>'01_WHOQOL_Items'!AE112</f>
        <v>4</v>
      </c>
    </row>
    <row r="113" spans="1:29">
      <c r="A113" s="1" t="str">
        <f>'01_WHOQOL_Items'!A113</f>
        <v>EXP-112</v>
      </c>
      <c r="B113" s="1" t="str">
        <f>'01_WHOQOL_Items'!B113</f>
        <v>Experimental</v>
      </c>
      <c r="C113" s="4">
        <f>4*(((6-'01_WHOQOL_Items'!F113) + (6-'01_WHOQOL_Items'!G113) + '01_WHOQOL_Items'!M113 + '01_WHOQOL_Items'!R113 + '01_WHOQOL_Items'!S113 + '01_WHOQOL_Items'!T113 + '01_WHOQOL_Items'!U113)/7)</f>
        <v>13.142857142857142</v>
      </c>
      <c r="D113" s="4">
        <f>4*(((6-'01_WHOQOL_Items'!AF113) + (6-'01_WHOQOL_Items'!AG113) + '01_WHOQOL_Items'!AM113 + '01_WHOQOL_Items'!AR113 + '01_WHOQOL_Items'!AS113 + '01_WHOQOL_Items'!AT113 + '01_WHOQOL_Items'!AU113)/7)</f>
        <v>14.285714285714286</v>
      </c>
      <c r="E113" s="4">
        <f t="shared" si="15"/>
        <v>57.142857142857139</v>
      </c>
      <c r="F113" s="4">
        <f t="shared" si="16"/>
        <v>64.285714285714292</v>
      </c>
      <c r="G113" s="5">
        <f t="shared" si="17"/>
        <v>0.12500000000000019</v>
      </c>
      <c r="H113" s="4">
        <f>4*(('01_WHOQOL_Items'!H113 + '01_WHOQOL_Items'!I113 + '01_WHOQOL_Items'!J113 + '01_WHOQOL_Items'!N113 + '01_WHOQOL_Items'!V113 + (6-'01_WHOQOL_Items'!AC113))/6)</f>
        <v>10.666666666666666</v>
      </c>
      <c r="I113" s="4">
        <f>4*(('01_WHOQOL_Items'!AH113 + '01_WHOQOL_Items'!AI113 + '01_WHOQOL_Items'!AJ113 + '01_WHOQOL_Items'!AN113 + '01_WHOQOL_Items'!AV113 + (6-'01_WHOQOL_Items'!BC113))/6)</f>
        <v>12.666666666666666</v>
      </c>
      <c r="J113" s="4">
        <f t="shared" si="18"/>
        <v>41.666666666666664</v>
      </c>
      <c r="K113" s="4">
        <f t="shared" si="19"/>
        <v>54.166666666666664</v>
      </c>
      <c r="L113" s="5">
        <f t="shared" si="20"/>
        <v>0.30000000000000004</v>
      </c>
      <c r="M113" s="4">
        <f>4*(('01_WHOQOL_Items'!W113 + '01_WHOQOL_Items'!X113 + '01_WHOQOL_Items'!Y113)/3)</f>
        <v>14.666666666666666</v>
      </c>
      <c r="N113" s="4">
        <f>4*(('01_WHOQOL_Items'!AW113 + '01_WHOQOL_Items'!AX113 + '01_WHOQOL_Items'!AY113)/3)</f>
        <v>17.333333333333332</v>
      </c>
      <c r="O113" s="4">
        <f t="shared" si="21"/>
        <v>66.666666666666657</v>
      </c>
      <c r="P113" s="4">
        <f t="shared" si="22"/>
        <v>83.333333333333329</v>
      </c>
      <c r="Q113" s="5">
        <f t="shared" si="23"/>
        <v>0.25000000000000011</v>
      </c>
      <c r="R113" s="4">
        <f>4*(('01_WHOQOL_Items'!K113 + '01_WHOQOL_Items'!L113 + '01_WHOQOL_Items'!O113 + '01_WHOQOL_Items'!P113 + '01_WHOQOL_Items'!Q113 + '01_WHOQOL_Items'!Z113 + '01_WHOQOL_Items'!AA113 + '01_WHOQOL_Items'!AB113)/8)</f>
        <v>12</v>
      </c>
      <c r="S113" s="4">
        <f>4*(('01_WHOQOL_Items'!AK113 + '01_WHOQOL_Items'!AL113 + '01_WHOQOL_Items'!AO113 + '01_WHOQOL_Items'!AP113 + '01_WHOQOL_Items'!AQ113 + '01_WHOQOL_Items'!AZ113 + '01_WHOQOL_Items'!BA113 + '01_WHOQOL_Items'!BB113)/8)</f>
        <v>16.5</v>
      </c>
      <c r="T113" s="4">
        <f t="shared" si="24"/>
        <v>50</v>
      </c>
      <c r="U113" s="4">
        <f t="shared" si="25"/>
        <v>78.125</v>
      </c>
      <c r="V113" s="5">
        <f t="shared" si="26"/>
        <v>0.5625</v>
      </c>
      <c r="W113" s="4">
        <f t="shared" si="27"/>
        <v>53.869047619047613</v>
      </c>
      <c r="X113" s="4">
        <f t="shared" si="28"/>
        <v>69.977678571428569</v>
      </c>
      <c r="Y113" s="5">
        <f t="shared" si="29"/>
        <v>0.29903314917127083</v>
      </c>
      <c r="Z113" s="1">
        <f>'01_WHOQOL_Items'!D113</f>
        <v>3</v>
      </c>
      <c r="AA113" s="1">
        <f>'01_WHOQOL_Items'!AD113</f>
        <v>4</v>
      </c>
      <c r="AB113" s="1">
        <f>'01_WHOQOL_Items'!E113</f>
        <v>4</v>
      </c>
      <c r="AC113" s="1">
        <f>'01_WHOQOL_Items'!AE113</f>
        <v>3</v>
      </c>
    </row>
    <row r="114" spans="1:29">
      <c r="A114" s="1" t="str">
        <f>'01_WHOQOL_Items'!A114</f>
        <v>EXP-113</v>
      </c>
      <c r="B114" s="1" t="str">
        <f>'01_WHOQOL_Items'!B114</f>
        <v>Experimental</v>
      </c>
      <c r="C114" s="4">
        <f>4*(((6-'01_WHOQOL_Items'!F114) + (6-'01_WHOQOL_Items'!G114) + '01_WHOQOL_Items'!M114 + '01_WHOQOL_Items'!R114 + '01_WHOQOL_Items'!S114 + '01_WHOQOL_Items'!T114 + '01_WHOQOL_Items'!U114)/7)</f>
        <v>11.428571428571429</v>
      </c>
      <c r="D114" s="4">
        <f>4*(((6-'01_WHOQOL_Items'!AF114) + (6-'01_WHOQOL_Items'!AG114) + '01_WHOQOL_Items'!AM114 + '01_WHOQOL_Items'!AR114 + '01_WHOQOL_Items'!AS114 + '01_WHOQOL_Items'!AT114 + '01_WHOQOL_Items'!AU114)/7)</f>
        <v>10.857142857142858</v>
      </c>
      <c r="E114" s="4">
        <f t="shared" si="15"/>
        <v>46.428571428571431</v>
      </c>
      <c r="F114" s="4">
        <f t="shared" si="16"/>
        <v>42.857142857142861</v>
      </c>
      <c r="G114" s="5">
        <f t="shared" si="17"/>
        <v>-7.6923076923076872E-2</v>
      </c>
      <c r="H114" s="4">
        <f>4*(('01_WHOQOL_Items'!H114 + '01_WHOQOL_Items'!I114 + '01_WHOQOL_Items'!J114 + '01_WHOQOL_Items'!N114 + '01_WHOQOL_Items'!V114 + (6-'01_WHOQOL_Items'!AC114))/6)</f>
        <v>12.666666666666666</v>
      </c>
      <c r="I114" s="4">
        <f>4*(('01_WHOQOL_Items'!AH114 + '01_WHOQOL_Items'!AI114 + '01_WHOQOL_Items'!AJ114 + '01_WHOQOL_Items'!AN114 + '01_WHOQOL_Items'!AV114 + (6-'01_WHOQOL_Items'!BC114))/6)</f>
        <v>15.333333333333334</v>
      </c>
      <c r="J114" s="4">
        <f t="shared" si="18"/>
        <v>54.166666666666664</v>
      </c>
      <c r="K114" s="4">
        <f t="shared" si="19"/>
        <v>70.833333333333343</v>
      </c>
      <c r="L114" s="5">
        <f t="shared" si="20"/>
        <v>0.30769230769230793</v>
      </c>
      <c r="M114" s="4">
        <f>4*(('01_WHOQOL_Items'!W114 + '01_WHOQOL_Items'!X114 + '01_WHOQOL_Items'!Y114)/3)</f>
        <v>10.666666666666666</v>
      </c>
      <c r="N114" s="4">
        <f>4*(('01_WHOQOL_Items'!AW114 + '01_WHOQOL_Items'!AX114 + '01_WHOQOL_Items'!AY114)/3)</f>
        <v>12</v>
      </c>
      <c r="O114" s="4">
        <f t="shared" si="21"/>
        <v>41.666666666666664</v>
      </c>
      <c r="P114" s="4">
        <f t="shared" si="22"/>
        <v>50</v>
      </c>
      <c r="Q114" s="5">
        <f t="shared" si="23"/>
        <v>0.20000000000000007</v>
      </c>
      <c r="R114" s="4">
        <f>4*(('01_WHOQOL_Items'!K114 + '01_WHOQOL_Items'!L114 + '01_WHOQOL_Items'!O114 + '01_WHOQOL_Items'!P114 + '01_WHOQOL_Items'!Q114 + '01_WHOQOL_Items'!Z114 + '01_WHOQOL_Items'!AA114 + '01_WHOQOL_Items'!AB114)/8)</f>
        <v>10.5</v>
      </c>
      <c r="S114" s="4">
        <f>4*(('01_WHOQOL_Items'!AK114 + '01_WHOQOL_Items'!AL114 + '01_WHOQOL_Items'!AO114 + '01_WHOQOL_Items'!AP114 + '01_WHOQOL_Items'!AQ114 + '01_WHOQOL_Items'!AZ114 + '01_WHOQOL_Items'!BA114 + '01_WHOQOL_Items'!BB114)/8)</f>
        <v>12</v>
      </c>
      <c r="T114" s="4">
        <f t="shared" si="24"/>
        <v>40.625</v>
      </c>
      <c r="U114" s="4">
        <f t="shared" si="25"/>
        <v>50</v>
      </c>
      <c r="V114" s="5">
        <f t="shared" si="26"/>
        <v>0.23076923076923078</v>
      </c>
      <c r="W114" s="4">
        <f t="shared" si="27"/>
        <v>45.72172619047619</v>
      </c>
      <c r="X114" s="4">
        <f t="shared" si="28"/>
        <v>53.422619047619051</v>
      </c>
      <c r="Y114" s="5">
        <f t="shared" si="29"/>
        <v>0.16842961757526453</v>
      </c>
      <c r="Z114" s="1">
        <f>'01_WHOQOL_Items'!D114</f>
        <v>3</v>
      </c>
      <c r="AA114" s="1">
        <f>'01_WHOQOL_Items'!AD114</f>
        <v>4</v>
      </c>
      <c r="AB114" s="1">
        <f>'01_WHOQOL_Items'!E114</f>
        <v>3</v>
      </c>
      <c r="AC114" s="1">
        <f>'01_WHOQOL_Items'!AE114</f>
        <v>3</v>
      </c>
    </row>
    <row r="115" spans="1:29">
      <c r="A115" s="1" t="str">
        <f>'01_WHOQOL_Items'!A115</f>
        <v>EXP-114</v>
      </c>
      <c r="B115" s="1" t="str">
        <f>'01_WHOQOL_Items'!B115</f>
        <v>Experimental</v>
      </c>
      <c r="C115" s="4">
        <f>4*(((6-'01_WHOQOL_Items'!F115) + (6-'01_WHOQOL_Items'!G115) + '01_WHOQOL_Items'!M115 + '01_WHOQOL_Items'!R115 + '01_WHOQOL_Items'!S115 + '01_WHOQOL_Items'!T115 + '01_WHOQOL_Items'!U115)/7)</f>
        <v>14.857142857142858</v>
      </c>
      <c r="D115" s="4">
        <f>4*(((6-'01_WHOQOL_Items'!AF115) + (6-'01_WHOQOL_Items'!AG115) + '01_WHOQOL_Items'!AM115 + '01_WHOQOL_Items'!AR115 + '01_WHOQOL_Items'!AS115 + '01_WHOQOL_Items'!AT115 + '01_WHOQOL_Items'!AU115)/7)</f>
        <v>17.142857142857142</v>
      </c>
      <c r="E115" s="4">
        <f t="shared" si="15"/>
        <v>67.857142857142861</v>
      </c>
      <c r="F115" s="4">
        <f t="shared" si="16"/>
        <v>82.142857142857139</v>
      </c>
      <c r="G115" s="5">
        <f t="shared" si="17"/>
        <v>0.21052631578947356</v>
      </c>
      <c r="H115" s="4">
        <f>4*(('01_WHOQOL_Items'!H115 + '01_WHOQOL_Items'!I115 + '01_WHOQOL_Items'!J115 + '01_WHOQOL_Items'!N115 + '01_WHOQOL_Items'!V115 + (6-'01_WHOQOL_Items'!AC115))/6)</f>
        <v>10</v>
      </c>
      <c r="I115" s="4">
        <f>4*(('01_WHOQOL_Items'!AH115 + '01_WHOQOL_Items'!AI115 + '01_WHOQOL_Items'!AJ115 + '01_WHOQOL_Items'!AN115 + '01_WHOQOL_Items'!AV115 + (6-'01_WHOQOL_Items'!BC115))/6)</f>
        <v>12</v>
      </c>
      <c r="J115" s="4">
        <f t="shared" si="18"/>
        <v>37.5</v>
      </c>
      <c r="K115" s="4">
        <f t="shared" si="19"/>
        <v>50</v>
      </c>
      <c r="L115" s="5">
        <f t="shared" si="20"/>
        <v>0.33333333333333331</v>
      </c>
      <c r="M115" s="4">
        <f>4*(('01_WHOQOL_Items'!W115 + '01_WHOQOL_Items'!X115 + '01_WHOQOL_Items'!Y115)/3)</f>
        <v>10.666666666666666</v>
      </c>
      <c r="N115" s="4">
        <f>4*(('01_WHOQOL_Items'!AW115 + '01_WHOQOL_Items'!AX115 + '01_WHOQOL_Items'!AY115)/3)</f>
        <v>9.3333333333333339</v>
      </c>
      <c r="O115" s="4">
        <f t="shared" si="21"/>
        <v>41.666666666666664</v>
      </c>
      <c r="P115" s="4">
        <f t="shared" si="22"/>
        <v>33.333333333333336</v>
      </c>
      <c r="Q115" s="5">
        <f t="shared" si="23"/>
        <v>-0.1999999999999999</v>
      </c>
      <c r="R115" s="4">
        <f>4*(('01_WHOQOL_Items'!K115 + '01_WHOQOL_Items'!L115 + '01_WHOQOL_Items'!O115 + '01_WHOQOL_Items'!P115 + '01_WHOQOL_Items'!Q115 + '01_WHOQOL_Items'!Z115 + '01_WHOQOL_Items'!AA115 + '01_WHOQOL_Items'!AB115)/8)</f>
        <v>15</v>
      </c>
      <c r="S115" s="4">
        <f>4*(('01_WHOQOL_Items'!AK115 + '01_WHOQOL_Items'!AL115 + '01_WHOQOL_Items'!AO115 + '01_WHOQOL_Items'!AP115 + '01_WHOQOL_Items'!AQ115 + '01_WHOQOL_Items'!AZ115 + '01_WHOQOL_Items'!BA115 + '01_WHOQOL_Items'!BB115)/8)</f>
        <v>16</v>
      </c>
      <c r="T115" s="4">
        <f t="shared" si="24"/>
        <v>68.75</v>
      </c>
      <c r="U115" s="4">
        <f t="shared" si="25"/>
        <v>75</v>
      </c>
      <c r="V115" s="5">
        <f t="shared" si="26"/>
        <v>9.0909090909090912E-2</v>
      </c>
      <c r="W115" s="4">
        <f t="shared" si="27"/>
        <v>53.94345238095238</v>
      </c>
      <c r="X115" s="4">
        <f t="shared" si="28"/>
        <v>60.11904761904762</v>
      </c>
      <c r="Y115" s="5">
        <f t="shared" si="29"/>
        <v>0.11448275862068971</v>
      </c>
      <c r="Z115" s="1">
        <f>'01_WHOQOL_Items'!D115</f>
        <v>3</v>
      </c>
      <c r="AA115" s="1">
        <f>'01_WHOQOL_Items'!AD115</f>
        <v>4</v>
      </c>
      <c r="AB115" s="1">
        <f>'01_WHOQOL_Items'!E115</f>
        <v>4</v>
      </c>
      <c r="AC115" s="1">
        <f>'01_WHOQOL_Items'!AE115</f>
        <v>5</v>
      </c>
    </row>
    <row r="116" spans="1:29">
      <c r="A116" s="1" t="str">
        <f>'01_WHOQOL_Items'!A116</f>
        <v>EXP-115</v>
      </c>
      <c r="B116" s="1" t="str">
        <f>'01_WHOQOL_Items'!B116</f>
        <v>Experimental</v>
      </c>
      <c r="C116" s="4">
        <f>4*(((6-'01_WHOQOL_Items'!F116) + (6-'01_WHOQOL_Items'!G116) + '01_WHOQOL_Items'!M116 + '01_WHOQOL_Items'!R116 + '01_WHOQOL_Items'!S116 + '01_WHOQOL_Items'!T116 + '01_WHOQOL_Items'!U116)/7)</f>
        <v>12.571428571428571</v>
      </c>
      <c r="D116" s="4">
        <f>4*(((6-'01_WHOQOL_Items'!AF116) + (6-'01_WHOQOL_Items'!AG116) + '01_WHOQOL_Items'!AM116 + '01_WHOQOL_Items'!AR116 + '01_WHOQOL_Items'!AS116 + '01_WHOQOL_Items'!AT116 + '01_WHOQOL_Items'!AU116)/7)</f>
        <v>12.571428571428571</v>
      </c>
      <c r="E116" s="4">
        <f t="shared" si="15"/>
        <v>53.571428571428569</v>
      </c>
      <c r="F116" s="4">
        <f t="shared" si="16"/>
        <v>53.571428571428569</v>
      </c>
      <c r="G116" s="5">
        <f t="shared" si="17"/>
        <v>0</v>
      </c>
      <c r="H116" s="4">
        <f>4*(('01_WHOQOL_Items'!H116 + '01_WHOQOL_Items'!I116 + '01_WHOQOL_Items'!J116 + '01_WHOQOL_Items'!N116 + '01_WHOQOL_Items'!V116 + (6-'01_WHOQOL_Items'!AC116))/6)</f>
        <v>12.666666666666666</v>
      </c>
      <c r="I116" s="4">
        <f>4*(('01_WHOQOL_Items'!AH116 + '01_WHOQOL_Items'!AI116 + '01_WHOQOL_Items'!AJ116 + '01_WHOQOL_Items'!AN116 + '01_WHOQOL_Items'!AV116 + (6-'01_WHOQOL_Items'!BC116))/6)</f>
        <v>14.666666666666666</v>
      </c>
      <c r="J116" s="4">
        <f t="shared" si="18"/>
        <v>54.166666666666664</v>
      </c>
      <c r="K116" s="4">
        <f t="shared" si="19"/>
        <v>66.666666666666657</v>
      </c>
      <c r="L116" s="5">
        <f t="shared" si="20"/>
        <v>0.23076923076923064</v>
      </c>
      <c r="M116" s="4">
        <f>4*(('01_WHOQOL_Items'!W116 + '01_WHOQOL_Items'!X116 + '01_WHOQOL_Items'!Y116)/3)</f>
        <v>13.333333333333334</v>
      </c>
      <c r="N116" s="4">
        <f>4*(('01_WHOQOL_Items'!AW116 + '01_WHOQOL_Items'!AX116 + '01_WHOQOL_Items'!AY116)/3)</f>
        <v>16</v>
      </c>
      <c r="O116" s="4">
        <f t="shared" si="21"/>
        <v>58.333333333333336</v>
      </c>
      <c r="P116" s="4">
        <f t="shared" si="22"/>
        <v>75</v>
      </c>
      <c r="Q116" s="5">
        <f t="shared" si="23"/>
        <v>0.28571428571428564</v>
      </c>
      <c r="R116" s="4">
        <f>4*(('01_WHOQOL_Items'!K116 + '01_WHOQOL_Items'!L116 + '01_WHOQOL_Items'!O116 + '01_WHOQOL_Items'!P116 + '01_WHOQOL_Items'!Q116 + '01_WHOQOL_Items'!Z116 + '01_WHOQOL_Items'!AA116 + '01_WHOQOL_Items'!AB116)/8)</f>
        <v>11</v>
      </c>
      <c r="S116" s="4">
        <f>4*(('01_WHOQOL_Items'!AK116 + '01_WHOQOL_Items'!AL116 + '01_WHOQOL_Items'!AO116 + '01_WHOQOL_Items'!AP116 + '01_WHOQOL_Items'!AQ116 + '01_WHOQOL_Items'!AZ116 + '01_WHOQOL_Items'!BA116 + '01_WHOQOL_Items'!BB116)/8)</f>
        <v>14</v>
      </c>
      <c r="T116" s="4">
        <f t="shared" si="24"/>
        <v>43.75</v>
      </c>
      <c r="U116" s="4">
        <f t="shared" si="25"/>
        <v>62.5</v>
      </c>
      <c r="V116" s="5">
        <f t="shared" si="26"/>
        <v>0.42857142857142855</v>
      </c>
      <c r="W116" s="4">
        <f t="shared" si="27"/>
        <v>52.455357142857146</v>
      </c>
      <c r="X116" s="4">
        <f t="shared" si="28"/>
        <v>64.43452380952381</v>
      </c>
      <c r="Y116" s="5">
        <f t="shared" si="29"/>
        <v>0.22836879432624108</v>
      </c>
      <c r="Z116" s="1">
        <f>'01_WHOQOL_Items'!D116</f>
        <v>4</v>
      </c>
      <c r="AA116" s="1">
        <f>'01_WHOQOL_Items'!AD116</f>
        <v>3</v>
      </c>
      <c r="AB116" s="1">
        <f>'01_WHOQOL_Items'!E116</f>
        <v>4</v>
      </c>
      <c r="AC116" s="1">
        <f>'01_WHOQOL_Items'!AE116</f>
        <v>4</v>
      </c>
    </row>
    <row r="117" spans="1:29">
      <c r="A117" s="1" t="str">
        <f>'01_WHOQOL_Items'!A117</f>
        <v>EXP-116</v>
      </c>
      <c r="B117" s="1" t="str">
        <f>'01_WHOQOL_Items'!B117</f>
        <v>Experimental</v>
      </c>
      <c r="C117" s="4">
        <f>4*(((6-'01_WHOQOL_Items'!F117) + (6-'01_WHOQOL_Items'!G117) + '01_WHOQOL_Items'!M117 + '01_WHOQOL_Items'!R117 + '01_WHOQOL_Items'!S117 + '01_WHOQOL_Items'!T117 + '01_WHOQOL_Items'!U117)/7)</f>
        <v>13.142857142857142</v>
      </c>
      <c r="D117" s="4">
        <f>4*(((6-'01_WHOQOL_Items'!AF117) + (6-'01_WHOQOL_Items'!AG117) + '01_WHOQOL_Items'!AM117 + '01_WHOQOL_Items'!AR117 + '01_WHOQOL_Items'!AS117 + '01_WHOQOL_Items'!AT117 + '01_WHOQOL_Items'!AU117)/7)</f>
        <v>12</v>
      </c>
      <c r="E117" s="4">
        <f t="shared" si="15"/>
        <v>57.142857142857139</v>
      </c>
      <c r="F117" s="4">
        <f t="shared" si="16"/>
        <v>50</v>
      </c>
      <c r="G117" s="5">
        <f t="shared" si="17"/>
        <v>-0.12499999999999994</v>
      </c>
      <c r="H117" s="4">
        <f>4*(('01_WHOQOL_Items'!H117 + '01_WHOQOL_Items'!I117 + '01_WHOQOL_Items'!J117 + '01_WHOQOL_Items'!N117 + '01_WHOQOL_Items'!V117 + (6-'01_WHOQOL_Items'!AC117))/6)</f>
        <v>14</v>
      </c>
      <c r="I117" s="4">
        <f>4*(('01_WHOQOL_Items'!AH117 + '01_WHOQOL_Items'!AI117 + '01_WHOQOL_Items'!AJ117 + '01_WHOQOL_Items'!AN117 + '01_WHOQOL_Items'!AV117 + (6-'01_WHOQOL_Items'!BC117))/6)</f>
        <v>16.666666666666668</v>
      </c>
      <c r="J117" s="4">
        <f t="shared" si="18"/>
        <v>62.5</v>
      </c>
      <c r="K117" s="4">
        <f t="shared" si="19"/>
        <v>79.166666666666671</v>
      </c>
      <c r="L117" s="5">
        <f t="shared" si="20"/>
        <v>0.26666666666666672</v>
      </c>
      <c r="M117" s="4">
        <f>4*(('01_WHOQOL_Items'!W117 + '01_WHOQOL_Items'!X117 + '01_WHOQOL_Items'!Y117)/3)</f>
        <v>9.3333333333333339</v>
      </c>
      <c r="N117" s="4">
        <f>4*(('01_WHOQOL_Items'!AW117 + '01_WHOQOL_Items'!AX117 + '01_WHOQOL_Items'!AY117)/3)</f>
        <v>10.666666666666666</v>
      </c>
      <c r="O117" s="4">
        <f t="shared" si="21"/>
        <v>33.333333333333336</v>
      </c>
      <c r="P117" s="4">
        <f t="shared" si="22"/>
        <v>41.666666666666664</v>
      </c>
      <c r="Q117" s="5">
        <f t="shared" si="23"/>
        <v>0.24999999999999983</v>
      </c>
      <c r="R117" s="4">
        <f>4*(('01_WHOQOL_Items'!K117 + '01_WHOQOL_Items'!L117 + '01_WHOQOL_Items'!O117 + '01_WHOQOL_Items'!P117 + '01_WHOQOL_Items'!Q117 + '01_WHOQOL_Items'!Z117 + '01_WHOQOL_Items'!AA117 + '01_WHOQOL_Items'!AB117)/8)</f>
        <v>12</v>
      </c>
      <c r="S117" s="4">
        <f>4*(('01_WHOQOL_Items'!AK117 + '01_WHOQOL_Items'!AL117 + '01_WHOQOL_Items'!AO117 + '01_WHOQOL_Items'!AP117 + '01_WHOQOL_Items'!AQ117 + '01_WHOQOL_Items'!AZ117 + '01_WHOQOL_Items'!BA117 + '01_WHOQOL_Items'!BB117)/8)</f>
        <v>14.5</v>
      </c>
      <c r="T117" s="4">
        <f t="shared" si="24"/>
        <v>50</v>
      </c>
      <c r="U117" s="4">
        <f t="shared" si="25"/>
        <v>65.625</v>
      </c>
      <c r="V117" s="5">
        <f t="shared" si="26"/>
        <v>0.3125</v>
      </c>
      <c r="W117" s="4">
        <f t="shared" si="27"/>
        <v>50.74404761904762</v>
      </c>
      <c r="X117" s="4">
        <f t="shared" si="28"/>
        <v>59.114583333333336</v>
      </c>
      <c r="Y117" s="5">
        <f t="shared" si="29"/>
        <v>0.1649560117302053</v>
      </c>
      <c r="Z117" s="1">
        <f>'01_WHOQOL_Items'!D117</f>
        <v>3</v>
      </c>
      <c r="AA117" s="1">
        <f>'01_WHOQOL_Items'!AD117</f>
        <v>3</v>
      </c>
      <c r="AB117" s="1">
        <f>'01_WHOQOL_Items'!E117</f>
        <v>3</v>
      </c>
      <c r="AC117" s="1">
        <f>'01_WHOQOL_Items'!AE117</f>
        <v>3</v>
      </c>
    </row>
    <row r="118" spans="1:29">
      <c r="A118" s="1" t="str">
        <f>'01_WHOQOL_Items'!A118</f>
        <v>EXP-117</v>
      </c>
      <c r="B118" s="1" t="str">
        <f>'01_WHOQOL_Items'!B118</f>
        <v>Experimental</v>
      </c>
      <c r="C118" s="4">
        <f>4*(((6-'01_WHOQOL_Items'!F118) + (6-'01_WHOQOL_Items'!G118) + '01_WHOQOL_Items'!M118 + '01_WHOQOL_Items'!R118 + '01_WHOQOL_Items'!S118 + '01_WHOQOL_Items'!T118 + '01_WHOQOL_Items'!U118)/7)</f>
        <v>14.285714285714286</v>
      </c>
      <c r="D118" s="4">
        <f>4*(((6-'01_WHOQOL_Items'!AF118) + (6-'01_WHOQOL_Items'!AG118) + '01_WHOQOL_Items'!AM118 + '01_WHOQOL_Items'!AR118 + '01_WHOQOL_Items'!AS118 + '01_WHOQOL_Items'!AT118 + '01_WHOQOL_Items'!AU118)/7)</f>
        <v>15.428571428571429</v>
      </c>
      <c r="E118" s="4">
        <f t="shared" si="15"/>
        <v>64.285714285714292</v>
      </c>
      <c r="F118" s="4">
        <f t="shared" si="16"/>
        <v>71.428571428571431</v>
      </c>
      <c r="G118" s="5">
        <f t="shared" si="17"/>
        <v>0.11111111111111104</v>
      </c>
      <c r="H118" s="4">
        <f>4*(('01_WHOQOL_Items'!H118 + '01_WHOQOL_Items'!I118 + '01_WHOQOL_Items'!J118 + '01_WHOQOL_Items'!N118 + '01_WHOQOL_Items'!V118 + (6-'01_WHOQOL_Items'!AC118))/6)</f>
        <v>11.333333333333334</v>
      </c>
      <c r="I118" s="4">
        <f>4*(('01_WHOQOL_Items'!AH118 + '01_WHOQOL_Items'!AI118 + '01_WHOQOL_Items'!AJ118 + '01_WHOQOL_Items'!AN118 + '01_WHOQOL_Items'!AV118 + (6-'01_WHOQOL_Items'!BC118))/6)</f>
        <v>12.666666666666666</v>
      </c>
      <c r="J118" s="4">
        <f t="shared" si="18"/>
        <v>45.833333333333336</v>
      </c>
      <c r="K118" s="4">
        <f t="shared" si="19"/>
        <v>54.166666666666664</v>
      </c>
      <c r="L118" s="5">
        <f t="shared" si="20"/>
        <v>0.18181818181818171</v>
      </c>
      <c r="M118" s="4">
        <f>4*(('01_WHOQOL_Items'!W118 + '01_WHOQOL_Items'!X118 + '01_WHOQOL_Items'!Y118)/3)</f>
        <v>14.666666666666666</v>
      </c>
      <c r="N118" s="4">
        <f>4*(('01_WHOQOL_Items'!AW118 + '01_WHOQOL_Items'!AX118 + '01_WHOQOL_Items'!AY118)/3)</f>
        <v>16</v>
      </c>
      <c r="O118" s="4">
        <f t="shared" si="21"/>
        <v>66.666666666666657</v>
      </c>
      <c r="P118" s="4">
        <f t="shared" si="22"/>
        <v>75</v>
      </c>
      <c r="Q118" s="5">
        <f t="shared" si="23"/>
        <v>0.12500000000000017</v>
      </c>
      <c r="R118" s="4">
        <f>4*(('01_WHOQOL_Items'!K118 + '01_WHOQOL_Items'!L118 + '01_WHOQOL_Items'!O118 + '01_WHOQOL_Items'!P118 + '01_WHOQOL_Items'!Q118 + '01_WHOQOL_Items'!Z118 + '01_WHOQOL_Items'!AA118 + '01_WHOQOL_Items'!AB118)/8)</f>
        <v>11.5</v>
      </c>
      <c r="S118" s="4">
        <f>4*(('01_WHOQOL_Items'!AK118 + '01_WHOQOL_Items'!AL118 + '01_WHOQOL_Items'!AO118 + '01_WHOQOL_Items'!AP118 + '01_WHOQOL_Items'!AQ118 + '01_WHOQOL_Items'!AZ118 + '01_WHOQOL_Items'!BA118 + '01_WHOQOL_Items'!BB118)/8)</f>
        <v>13.5</v>
      </c>
      <c r="T118" s="4">
        <f t="shared" si="24"/>
        <v>46.875</v>
      </c>
      <c r="U118" s="4">
        <f t="shared" si="25"/>
        <v>59.375</v>
      </c>
      <c r="V118" s="5">
        <f t="shared" si="26"/>
        <v>0.26666666666666666</v>
      </c>
      <c r="W118" s="4">
        <f t="shared" si="27"/>
        <v>55.915178571428569</v>
      </c>
      <c r="X118" s="4">
        <f t="shared" si="28"/>
        <v>64.992559523809518</v>
      </c>
      <c r="Y118" s="5">
        <f t="shared" si="29"/>
        <v>0.16234198270126407</v>
      </c>
      <c r="Z118" s="1">
        <f>'01_WHOQOL_Items'!D118</f>
        <v>4</v>
      </c>
      <c r="AA118" s="1">
        <f>'01_WHOQOL_Items'!AD118</f>
        <v>4</v>
      </c>
      <c r="AB118" s="1">
        <f>'01_WHOQOL_Items'!E118</f>
        <v>3</v>
      </c>
      <c r="AC118" s="1">
        <f>'01_WHOQOL_Items'!AE118</f>
        <v>4</v>
      </c>
    </row>
    <row r="119" spans="1:29">
      <c r="A119" s="1" t="str">
        <f>'01_WHOQOL_Items'!A119</f>
        <v>EXP-118</v>
      </c>
      <c r="B119" s="1" t="str">
        <f>'01_WHOQOL_Items'!B119</f>
        <v>Experimental</v>
      </c>
      <c r="C119" s="4">
        <f>4*(((6-'01_WHOQOL_Items'!F119) + (6-'01_WHOQOL_Items'!G119) + '01_WHOQOL_Items'!M119 + '01_WHOQOL_Items'!R119 + '01_WHOQOL_Items'!S119 + '01_WHOQOL_Items'!T119 + '01_WHOQOL_Items'!U119)/7)</f>
        <v>10.857142857142858</v>
      </c>
      <c r="D119" s="4">
        <f>4*(((6-'01_WHOQOL_Items'!AF119) + (6-'01_WHOQOL_Items'!AG119) + '01_WHOQOL_Items'!AM119 + '01_WHOQOL_Items'!AR119 + '01_WHOQOL_Items'!AS119 + '01_WHOQOL_Items'!AT119 + '01_WHOQOL_Items'!AU119)/7)</f>
        <v>13.714285714285714</v>
      </c>
      <c r="E119" s="4">
        <f t="shared" si="15"/>
        <v>42.857142857142861</v>
      </c>
      <c r="F119" s="4">
        <f t="shared" si="16"/>
        <v>60.714285714285708</v>
      </c>
      <c r="G119" s="5">
        <f t="shared" si="17"/>
        <v>0.41666666666666641</v>
      </c>
      <c r="H119" s="4">
        <f>4*(('01_WHOQOL_Items'!H119 + '01_WHOQOL_Items'!I119 + '01_WHOQOL_Items'!J119 + '01_WHOQOL_Items'!N119 + '01_WHOQOL_Items'!V119 + (6-'01_WHOQOL_Items'!AC119))/6)</f>
        <v>10.666666666666666</v>
      </c>
      <c r="I119" s="4">
        <f>4*(('01_WHOQOL_Items'!AH119 + '01_WHOQOL_Items'!AI119 + '01_WHOQOL_Items'!AJ119 + '01_WHOQOL_Items'!AN119 + '01_WHOQOL_Items'!AV119 + (6-'01_WHOQOL_Items'!BC119))/6)</f>
        <v>12.666666666666666</v>
      </c>
      <c r="J119" s="4">
        <f t="shared" si="18"/>
        <v>41.666666666666664</v>
      </c>
      <c r="K119" s="4">
        <f t="shared" si="19"/>
        <v>54.166666666666664</v>
      </c>
      <c r="L119" s="5">
        <f t="shared" si="20"/>
        <v>0.30000000000000004</v>
      </c>
      <c r="M119" s="4">
        <f>4*(('01_WHOQOL_Items'!W119 + '01_WHOQOL_Items'!X119 + '01_WHOQOL_Items'!Y119)/3)</f>
        <v>10.666666666666666</v>
      </c>
      <c r="N119" s="4">
        <f>4*(('01_WHOQOL_Items'!AW119 + '01_WHOQOL_Items'!AX119 + '01_WHOQOL_Items'!AY119)/3)</f>
        <v>14.666666666666666</v>
      </c>
      <c r="O119" s="4">
        <f t="shared" si="21"/>
        <v>41.666666666666664</v>
      </c>
      <c r="P119" s="4">
        <f t="shared" si="22"/>
        <v>66.666666666666657</v>
      </c>
      <c r="Q119" s="5">
        <f t="shared" si="23"/>
        <v>0.59999999999999987</v>
      </c>
      <c r="R119" s="4">
        <f>4*(('01_WHOQOL_Items'!K119 + '01_WHOQOL_Items'!L119 + '01_WHOQOL_Items'!O119 + '01_WHOQOL_Items'!P119 + '01_WHOQOL_Items'!Q119 + '01_WHOQOL_Items'!Z119 + '01_WHOQOL_Items'!AA119 + '01_WHOQOL_Items'!AB119)/8)</f>
        <v>9</v>
      </c>
      <c r="S119" s="4">
        <f>4*(('01_WHOQOL_Items'!AK119 + '01_WHOQOL_Items'!AL119 + '01_WHOQOL_Items'!AO119 + '01_WHOQOL_Items'!AP119 + '01_WHOQOL_Items'!AQ119 + '01_WHOQOL_Items'!AZ119 + '01_WHOQOL_Items'!BA119 + '01_WHOQOL_Items'!BB119)/8)</f>
        <v>11</v>
      </c>
      <c r="T119" s="4">
        <f t="shared" si="24"/>
        <v>31.25</v>
      </c>
      <c r="U119" s="4">
        <f t="shared" si="25"/>
        <v>43.75</v>
      </c>
      <c r="V119" s="5">
        <f t="shared" si="26"/>
        <v>0.4</v>
      </c>
      <c r="W119" s="4">
        <f t="shared" si="27"/>
        <v>39.360119047619044</v>
      </c>
      <c r="X119" s="4">
        <f t="shared" si="28"/>
        <v>56.324404761904759</v>
      </c>
      <c r="Y119" s="5">
        <f t="shared" si="29"/>
        <v>0.4310018903591683</v>
      </c>
      <c r="Z119" s="1">
        <f>'01_WHOQOL_Items'!D119</f>
        <v>4</v>
      </c>
      <c r="AA119" s="1">
        <f>'01_WHOQOL_Items'!AD119</f>
        <v>3</v>
      </c>
      <c r="AB119" s="1">
        <f>'01_WHOQOL_Items'!E119</f>
        <v>3</v>
      </c>
      <c r="AC119" s="1">
        <f>'01_WHOQOL_Items'!AE119</f>
        <v>3</v>
      </c>
    </row>
    <row r="120" spans="1:29">
      <c r="A120" s="1" t="str">
        <f>'01_WHOQOL_Items'!A120</f>
        <v>EXP-119</v>
      </c>
      <c r="B120" s="1" t="str">
        <f>'01_WHOQOL_Items'!B120</f>
        <v>Experimental</v>
      </c>
      <c r="C120" s="4">
        <f>4*(((6-'01_WHOQOL_Items'!F120) + (6-'01_WHOQOL_Items'!G120) + '01_WHOQOL_Items'!M120 + '01_WHOQOL_Items'!R120 + '01_WHOQOL_Items'!S120 + '01_WHOQOL_Items'!T120 + '01_WHOQOL_Items'!U120)/7)</f>
        <v>14.285714285714286</v>
      </c>
      <c r="D120" s="4">
        <f>4*(((6-'01_WHOQOL_Items'!AF120) + (6-'01_WHOQOL_Items'!AG120) + '01_WHOQOL_Items'!AM120 + '01_WHOQOL_Items'!AR120 + '01_WHOQOL_Items'!AS120 + '01_WHOQOL_Items'!AT120 + '01_WHOQOL_Items'!AU120)/7)</f>
        <v>15.428571428571429</v>
      </c>
      <c r="E120" s="4">
        <f t="shared" si="15"/>
        <v>64.285714285714292</v>
      </c>
      <c r="F120" s="4">
        <f t="shared" si="16"/>
        <v>71.428571428571431</v>
      </c>
      <c r="G120" s="5">
        <f t="shared" si="17"/>
        <v>0.11111111111111104</v>
      </c>
      <c r="H120" s="4">
        <f>4*(('01_WHOQOL_Items'!H120 + '01_WHOQOL_Items'!I120 + '01_WHOQOL_Items'!J120 + '01_WHOQOL_Items'!N120 + '01_WHOQOL_Items'!V120 + (6-'01_WHOQOL_Items'!AC120))/6)</f>
        <v>14</v>
      </c>
      <c r="I120" s="4">
        <f>4*(('01_WHOQOL_Items'!AH120 + '01_WHOQOL_Items'!AI120 + '01_WHOQOL_Items'!AJ120 + '01_WHOQOL_Items'!AN120 + '01_WHOQOL_Items'!AV120 + (6-'01_WHOQOL_Items'!BC120))/6)</f>
        <v>16.666666666666668</v>
      </c>
      <c r="J120" s="4">
        <f t="shared" si="18"/>
        <v>62.5</v>
      </c>
      <c r="K120" s="4">
        <f t="shared" si="19"/>
        <v>79.166666666666671</v>
      </c>
      <c r="L120" s="5">
        <f t="shared" si="20"/>
        <v>0.26666666666666672</v>
      </c>
      <c r="M120" s="4">
        <f>4*(('01_WHOQOL_Items'!W120 + '01_WHOQOL_Items'!X120 + '01_WHOQOL_Items'!Y120)/3)</f>
        <v>8</v>
      </c>
      <c r="N120" s="4">
        <f>4*(('01_WHOQOL_Items'!AW120 + '01_WHOQOL_Items'!AX120 + '01_WHOQOL_Items'!AY120)/3)</f>
        <v>10.666666666666666</v>
      </c>
      <c r="O120" s="4">
        <f t="shared" si="21"/>
        <v>25</v>
      </c>
      <c r="P120" s="4">
        <f t="shared" si="22"/>
        <v>41.666666666666664</v>
      </c>
      <c r="Q120" s="5">
        <f t="shared" si="23"/>
        <v>0.66666666666666652</v>
      </c>
      <c r="R120" s="4">
        <f>4*(('01_WHOQOL_Items'!K120 + '01_WHOQOL_Items'!L120 + '01_WHOQOL_Items'!O120 + '01_WHOQOL_Items'!P120 + '01_WHOQOL_Items'!Q120 + '01_WHOQOL_Items'!Z120 + '01_WHOQOL_Items'!AA120 + '01_WHOQOL_Items'!AB120)/8)</f>
        <v>12</v>
      </c>
      <c r="S120" s="4">
        <f>4*(('01_WHOQOL_Items'!AK120 + '01_WHOQOL_Items'!AL120 + '01_WHOQOL_Items'!AO120 + '01_WHOQOL_Items'!AP120 + '01_WHOQOL_Items'!AQ120 + '01_WHOQOL_Items'!AZ120 + '01_WHOQOL_Items'!BA120 + '01_WHOQOL_Items'!BB120)/8)</f>
        <v>12.5</v>
      </c>
      <c r="T120" s="4">
        <f t="shared" si="24"/>
        <v>50</v>
      </c>
      <c r="U120" s="4">
        <f t="shared" si="25"/>
        <v>53.125</v>
      </c>
      <c r="V120" s="5">
        <f t="shared" si="26"/>
        <v>6.25E-2</v>
      </c>
      <c r="W120" s="4">
        <f t="shared" si="27"/>
        <v>50.446428571428569</v>
      </c>
      <c r="X120" s="4">
        <f t="shared" si="28"/>
        <v>61.34672619047619</v>
      </c>
      <c r="Y120" s="5">
        <f t="shared" si="29"/>
        <v>0.21607669616519179</v>
      </c>
      <c r="Z120" s="1">
        <f>'01_WHOQOL_Items'!D120</f>
        <v>4</v>
      </c>
      <c r="AA120" s="1">
        <f>'01_WHOQOL_Items'!AD120</f>
        <v>4</v>
      </c>
      <c r="AB120" s="1">
        <f>'01_WHOQOL_Items'!E120</f>
        <v>4</v>
      </c>
      <c r="AC120" s="1">
        <f>'01_WHOQOL_Items'!AE120</f>
        <v>3</v>
      </c>
    </row>
    <row r="121" spans="1:29">
      <c r="A121" s="1" t="str">
        <f>'01_WHOQOL_Items'!A121</f>
        <v>EXP-120</v>
      </c>
      <c r="B121" s="1" t="str">
        <f>'01_WHOQOL_Items'!B121</f>
        <v>Experimental</v>
      </c>
      <c r="C121" s="4">
        <f>4*(((6-'01_WHOQOL_Items'!F121) + (6-'01_WHOQOL_Items'!G121) + '01_WHOQOL_Items'!M121 + '01_WHOQOL_Items'!R121 + '01_WHOQOL_Items'!S121 + '01_WHOQOL_Items'!T121 + '01_WHOQOL_Items'!U121)/7)</f>
        <v>6.8571428571428568</v>
      </c>
      <c r="D121" s="4">
        <f>4*(((6-'01_WHOQOL_Items'!AF121) + (6-'01_WHOQOL_Items'!AG121) + '01_WHOQOL_Items'!AM121 + '01_WHOQOL_Items'!AR121 + '01_WHOQOL_Items'!AS121 + '01_WHOQOL_Items'!AT121 + '01_WHOQOL_Items'!AU121)/7)</f>
        <v>6.8571428571428568</v>
      </c>
      <c r="E121" s="4">
        <f t="shared" si="15"/>
        <v>17.857142857142854</v>
      </c>
      <c r="F121" s="4">
        <f t="shared" si="16"/>
        <v>17.857142857142854</v>
      </c>
      <c r="G121" s="5">
        <f t="shared" si="17"/>
        <v>0</v>
      </c>
      <c r="H121" s="4">
        <f>4*(('01_WHOQOL_Items'!H121 + '01_WHOQOL_Items'!I121 + '01_WHOQOL_Items'!J121 + '01_WHOQOL_Items'!N121 + '01_WHOQOL_Items'!V121 + (6-'01_WHOQOL_Items'!AC121))/6)</f>
        <v>11.333333333333334</v>
      </c>
      <c r="I121" s="4">
        <f>4*(('01_WHOQOL_Items'!AH121 + '01_WHOQOL_Items'!AI121 + '01_WHOQOL_Items'!AJ121 + '01_WHOQOL_Items'!AN121 + '01_WHOQOL_Items'!AV121 + (6-'01_WHOQOL_Items'!BC121))/6)</f>
        <v>14.666666666666666</v>
      </c>
      <c r="J121" s="4">
        <f t="shared" si="18"/>
        <v>45.833333333333336</v>
      </c>
      <c r="K121" s="4">
        <f t="shared" si="19"/>
        <v>66.666666666666657</v>
      </c>
      <c r="L121" s="5">
        <f t="shared" si="20"/>
        <v>0.45454545454545425</v>
      </c>
      <c r="M121" s="4">
        <f>4*(('01_WHOQOL_Items'!W121 + '01_WHOQOL_Items'!X121 + '01_WHOQOL_Items'!Y121)/3)</f>
        <v>10.666666666666666</v>
      </c>
      <c r="N121" s="4">
        <f>4*(('01_WHOQOL_Items'!AW121 + '01_WHOQOL_Items'!AX121 + '01_WHOQOL_Items'!AY121)/3)</f>
        <v>13.333333333333334</v>
      </c>
      <c r="O121" s="4">
        <f t="shared" si="21"/>
        <v>41.666666666666664</v>
      </c>
      <c r="P121" s="4">
        <f t="shared" si="22"/>
        <v>58.333333333333336</v>
      </c>
      <c r="Q121" s="5">
        <f t="shared" si="23"/>
        <v>0.40000000000000013</v>
      </c>
      <c r="R121" s="4">
        <f>4*(('01_WHOQOL_Items'!K121 + '01_WHOQOL_Items'!L121 + '01_WHOQOL_Items'!O121 + '01_WHOQOL_Items'!P121 + '01_WHOQOL_Items'!Q121 + '01_WHOQOL_Items'!Z121 + '01_WHOQOL_Items'!AA121 + '01_WHOQOL_Items'!AB121)/8)</f>
        <v>14</v>
      </c>
      <c r="S121" s="4">
        <f>4*(('01_WHOQOL_Items'!AK121 + '01_WHOQOL_Items'!AL121 + '01_WHOQOL_Items'!AO121 + '01_WHOQOL_Items'!AP121 + '01_WHOQOL_Items'!AQ121 + '01_WHOQOL_Items'!AZ121 + '01_WHOQOL_Items'!BA121 + '01_WHOQOL_Items'!BB121)/8)</f>
        <v>15</v>
      </c>
      <c r="T121" s="4">
        <f t="shared" si="24"/>
        <v>62.5</v>
      </c>
      <c r="U121" s="4">
        <f t="shared" si="25"/>
        <v>68.75</v>
      </c>
      <c r="V121" s="5">
        <f t="shared" si="26"/>
        <v>0.1</v>
      </c>
      <c r="W121" s="4">
        <f t="shared" si="27"/>
        <v>41.964285714285715</v>
      </c>
      <c r="X121" s="4">
        <f t="shared" si="28"/>
        <v>52.901785714285715</v>
      </c>
      <c r="Y121" s="5">
        <f t="shared" si="29"/>
        <v>0.26063829787234044</v>
      </c>
      <c r="Z121" s="1">
        <f>'01_WHOQOL_Items'!D121</f>
        <v>3</v>
      </c>
      <c r="AA121" s="1">
        <f>'01_WHOQOL_Items'!AD121</f>
        <v>4</v>
      </c>
      <c r="AB121" s="1">
        <f>'01_WHOQOL_Items'!E121</f>
        <v>2</v>
      </c>
      <c r="AC121" s="1">
        <f>'01_WHOQOL_Items'!AE121</f>
        <v>3</v>
      </c>
    </row>
    <row r="122" spans="1:29">
      <c r="A122" s="1" t="str">
        <f>'01_WHOQOL_Items'!A122</f>
        <v>EXP-121</v>
      </c>
      <c r="B122" s="1" t="str">
        <f>'01_WHOQOL_Items'!B122</f>
        <v>Experimental</v>
      </c>
      <c r="C122" s="4">
        <f>4*(((6-'01_WHOQOL_Items'!F122) + (6-'01_WHOQOL_Items'!G122) + '01_WHOQOL_Items'!M122 + '01_WHOQOL_Items'!R122 + '01_WHOQOL_Items'!S122 + '01_WHOQOL_Items'!T122 + '01_WHOQOL_Items'!U122)/7)</f>
        <v>16</v>
      </c>
      <c r="D122" s="4">
        <f>4*(((6-'01_WHOQOL_Items'!AF122) + (6-'01_WHOQOL_Items'!AG122) + '01_WHOQOL_Items'!AM122 + '01_WHOQOL_Items'!AR122 + '01_WHOQOL_Items'!AS122 + '01_WHOQOL_Items'!AT122 + '01_WHOQOL_Items'!AU122)/7)</f>
        <v>16.571428571428573</v>
      </c>
      <c r="E122" s="4">
        <f t="shared" si="15"/>
        <v>75</v>
      </c>
      <c r="F122" s="4">
        <f t="shared" si="16"/>
        <v>78.571428571428584</v>
      </c>
      <c r="G122" s="5">
        <f t="shared" si="17"/>
        <v>4.7619047619047783E-2</v>
      </c>
      <c r="H122" s="4">
        <f>4*(('01_WHOQOL_Items'!H122 + '01_WHOQOL_Items'!I122 + '01_WHOQOL_Items'!J122 + '01_WHOQOL_Items'!N122 + '01_WHOQOL_Items'!V122 + (6-'01_WHOQOL_Items'!AC122))/6)</f>
        <v>10</v>
      </c>
      <c r="I122" s="4">
        <f>4*(('01_WHOQOL_Items'!AH122 + '01_WHOQOL_Items'!AI122 + '01_WHOQOL_Items'!AJ122 + '01_WHOQOL_Items'!AN122 + '01_WHOQOL_Items'!AV122 + (6-'01_WHOQOL_Items'!BC122))/6)</f>
        <v>10</v>
      </c>
      <c r="J122" s="4">
        <f t="shared" si="18"/>
        <v>37.5</v>
      </c>
      <c r="K122" s="4">
        <f t="shared" si="19"/>
        <v>37.5</v>
      </c>
      <c r="L122" s="5">
        <f t="shared" si="20"/>
        <v>0</v>
      </c>
      <c r="M122" s="4">
        <f>4*(('01_WHOQOL_Items'!W122 + '01_WHOQOL_Items'!X122 + '01_WHOQOL_Items'!Y122)/3)</f>
        <v>8</v>
      </c>
      <c r="N122" s="4">
        <f>4*(('01_WHOQOL_Items'!AW122 + '01_WHOQOL_Items'!AX122 + '01_WHOQOL_Items'!AY122)/3)</f>
        <v>8</v>
      </c>
      <c r="O122" s="4">
        <f t="shared" si="21"/>
        <v>25</v>
      </c>
      <c r="P122" s="4">
        <f t="shared" si="22"/>
        <v>25</v>
      </c>
      <c r="Q122" s="5">
        <f t="shared" si="23"/>
        <v>0</v>
      </c>
      <c r="R122" s="4">
        <f>4*(('01_WHOQOL_Items'!K122 + '01_WHOQOL_Items'!L122 + '01_WHOQOL_Items'!O122 + '01_WHOQOL_Items'!P122 + '01_WHOQOL_Items'!Q122 + '01_WHOQOL_Items'!Z122 + '01_WHOQOL_Items'!AA122 + '01_WHOQOL_Items'!AB122)/8)</f>
        <v>12</v>
      </c>
      <c r="S122" s="4">
        <f>4*(('01_WHOQOL_Items'!AK122 + '01_WHOQOL_Items'!AL122 + '01_WHOQOL_Items'!AO122 + '01_WHOQOL_Items'!AP122 + '01_WHOQOL_Items'!AQ122 + '01_WHOQOL_Items'!AZ122 + '01_WHOQOL_Items'!BA122 + '01_WHOQOL_Items'!BB122)/8)</f>
        <v>15</v>
      </c>
      <c r="T122" s="4">
        <f t="shared" si="24"/>
        <v>50</v>
      </c>
      <c r="U122" s="4">
        <f t="shared" si="25"/>
        <v>68.75</v>
      </c>
      <c r="V122" s="5">
        <f t="shared" si="26"/>
        <v>0.375</v>
      </c>
      <c r="W122" s="4">
        <f t="shared" si="27"/>
        <v>46.875</v>
      </c>
      <c r="X122" s="4">
        <f t="shared" si="28"/>
        <v>52.455357142857146</v>
      </c>
      <c r="Y122" s="5">
        <f t="shared" si="29"/>
        <v>0.11904761904761911</v>
      </c>
      <c r="Z122" s="1">
        <f>'01_WHOQOL_Items'!D122</f>
        <v>3</v>
      </c>
      <c r="AA122" s="1">
        <f>'01_WHOQOL_Items'!AD122</f>
        <v>3</v>
      </c>
      <c r="AB122" s="1">
        <f>'01_WHOQOL_Items'!E122</f>
        <v>3</v>
      </c>
      <c r="AC122" s="1">
        <f>'01_WHOQOL_Items'!AE122</f>
        <v>4</v>
      </c>
    </row>
    <row r="123" spans="1:29">
      <c r="A123" s="1" t="str">
        <f>'01_WHOQOL_Items'!A123</f>
        <v>EXP-122</v>
      </c>
      <c r="B123" s="1" t="str">
        <f>'01_WHOQOL_Items'!B123</f>
        <v>Experimental</v>
      </c>
      <c r="C123" s="4">
        <f>4*(((6-'01_WHOQOL_Items'!F123) + (6-'01_WHOQOL_Items'!G123) + '01_WHOQOL_Items'!M123 + '01_WHOQOL_Items'!R123 + '01_WHOQOL_Items'!S123 + '01_WHOQOL_Items'!T123 + '01_WHOQOL_Items'!U123)/7)</f>
        <v>16.571428571428573</v>
      </c>
      <c r="D123" s="4">
        <f>4*(((6-'01_WHOQOL_Items'!AF123) + (6-'01_WHOQOL_Items'!AG123) + '01_WHOQOL_Items'!AM123 + '01_WHOQOL_Items'!AR123 + '01_WHOQOL_Items'!AS123 + '01_WHOQOL_Items'!AT123 + '01_WHOQOL_Items'!AU123)/7)</f>
        <v>18.857142857142858</v>
      </c>
      <c r="E123" s="4">
        <f t="shared" si="15"/>
        <v>78.571428571428584</v>
      </c>
      <c r="F123" s="4">
        <f t="shared" si="16"/>
        <v>92.857142857142861</v>
      </c>
      <c r="G123" s="5">
        <f t="shared" si="17"/>
        <v>0.18181818181818168</v>
      </c>
      <c r="H123" s="4">
        <f>4*(('01_WHOQOL_Items'!H123 + '01_WHOQOL_Items'!I123 + '01_WHOQOL_Items'!J123 + '01_WHOQOL_Items'!N123 + '01_WHOQOL_Items'!V123 + (6-'01_WHOQOL_Items'!AC123))/6)</f>
        <v>13.333333333333334</v>
      </c>
      <c r="I123" s="4">
        <f>4*(('01_WHOQOL_Items'!AH123 + '01_WHOQOL_Items'!AI123 + '01_WHOQOL_Items'!AJ123 + '01_WHOQOL_Items'!AN123 + '01_WHOQOL_Items'!AV123 + (6-'01_WHOQOL_Items'!BC123))/6)</f>
        <v>18.666666666666668</v>
      </c>
      <c r="J123" s="4">
        <f t="shared" si="18"/>
        <v>58.333333333333336</v>
      </c>
      <c r="K123" s="4">
        <f t="shared" si="19"/>
        <v>91.666666666666671</v>
      </c>
      <c r="L123" s="5">
        <f t="shared" si="20"/>
        <v>0.5714285714285714</v>
      </c>
      <c r="M123" s="4">
        <f>4*(('01_WHOQOL_Items'!W123 + '01_WHOQOL_Items'!X123 + '01_WHOQOL_Items'!Y123)/3)</f>
        <v>9.3333333333333339</v>
      </c>
      <c r="N123" s="4">
        <f>4*(('01_WHOQOL_Items'!AW123 + '01_WHOQOL_Items'!AX123 + '01_WHOQOL_Items'!AY123)/3)</f>
        <v>14.666666666666666</v>
      </c>
      <c r="O123" s="4">
        <f t="shared" si="21"/>
        <v>33.333333333333336</v>
      </c>
      <c r="P123" s="4">
        <f t="shared" si="22"/>
        <v>66.666666666666657</v>
      </c>
      <c r="Q123" s="5">
        <f t="shared" si="23"/>
        <v>0.99999999999999956</v>
      </c>
      <c r="R123" s="4">
        <f>4*(('01_WHOQOL_Items'!K123 + '01_WHOQOL_Items'!L123 + '01_WHOQOL_Items'!O123 + '01_WHOQOL_Items'!P123 + '01_WHOQOL_Items'!Q123 + '01_WHOQOL_Items'!Z123 + '01_WHOQOL_Items'!AA123 + '01_WHOQOL_Items'!AB123)/8)</f>
        <v>13</v>
      </c>
      <c r="S123" s="4">
        <f>4*(('01_WHOQOL_Items'!AK123 + '01_WHOQOL_Items'!AL123 + '01_WHOQOL_Items'!AO123 + '01_WHOQOL_Items'!AP123 + '01_WHOQOL_Items'!AQ123 + '01_WHOQOL_Items'!AZ123 + '01_WHOQOL_Items'!BA123 + '01_WHOQOL_Items'!BB123)/8)</f>
        <v>15</v>
      </c>
      <c r="T123" s="4">
        <f t="shared" si="24"/>
        <v>56.25</v>
      </c>
      <c r="U123" s="4">
        <f t="shared" si="25"/>
        <v>68.75</v>
      </c>
      <c r="V123" s="5">
        <f t="shared" si="26"/>
        <v>0.22222222222222221</v>
      </c>
      <c r="W123" s="4">
        <f t="shared" si="27"/>
        <v>56.622023809523817</v>
      </c>
      <c r="X123" s="4">
        <f t="shared" si="28"/>
        <v>79.985119047619037</v>
      </c>
      <c r="Y123" s="5">
        <f t="shared" si="29"/>
        <v>0.41261498028909294</v>
      </c>
      <c r="Z123" s="1">
        <f>'01_WHOQOL_Items'!D123</f>
        <v>3</v>
      </c>
      <c r="AA123" s="1">
        <f>'01_WHOQOL_Items'!AD123</f>
        <v>4</v>
      </c>
      <c r="AB123" s="1">
        <f>'01_WHOQOL_Items'!E123</f>
        <v>4</v>
      </c>
      <c r="AC123" s="1">
        <f>'01_WHOQOL_Items'!AE123</f>
        <v>5</v>
      </c>
    </row>
    <row r="124" spans="1:29">
      <c r="A124" s="1" t="str">
        <f>'01_WHOQOL_Items'!A124</f>
        <v>EXP-123</v>
      </c>
      <c r="B124" s="1" t="str">
        <f>'01_WHOQOL_Items'!B124</f>
        <v>Experimental</v>
      </c>
      <c r="C124" s="4">
        <f>4*(((6-'01_WHOQOL_Items'!F124) + (6-'01_WHOQOL_Items'!G124) + '01_WHOQOL_Items'!M124 + '01_WHOQOL_Items'!R124 + '01_WHOQOL_Items'!S124 + '01_WHOQOL_Items'!T124 + '01_WHOQOL_Items'!U124)/7)</f>
        <v>14.285714285714286</v>
      </c>
      <c r="D124" s="4">
        <f>4*(((6-'01_WHOQOL_Items'!AF124) + (6-'01_WHOQOL_Items'!AG124) + '01_WHOQOL_Items'!AM124 + '01_WHOQOL_Items'!AR124 + '01_WHOQOL_Items'!AS124 + '01_WHOQOL_Items'!AT124 + '01_WHOQOL_Items'!AU124)/7)</f>
        <v>16.571428571428573</v>
      </c>
      <c r="E124" s="4">
        <f t="shared" si="15"/>
        <v>64.285714285714292</v>
      </c>
      <c r="F124" s="4">
        <f t="shared" si="16"/>
        <v>78.571428571428584</v>
      </c>
      <c r="G124" s="5">
        <f t="shared" si="17"/>
        <v>0.22222222222222229</v>
      </c>
      <c r="H124" s="4">
        <f>4*(('01_WHOQOL_Items'!H124 + '01_WHOQOL_Items'!I124 + '01_WHOQOL_Items'!J124 + '01_WHOQOL_Items'!N124 + '01_WHOQOL_Items'!V124 + (6-'01_WHOQOL_Items'!AC124))/6)</f>
        <v>13.333333333333334</v>
      </c>
      <c r="I124" s="4">
        <f>4*(('01_WHOQOL_Items'!AH124 + '01_WHOQOL_Items'!AI124 + '01_WHOQOL_Items'!AJ124 + '01_WHOQOL_Items'!AN124 + '01_WHOQOL_Items'!AV124 + (6-'01_WHOQOL_Items'!BC124))/6)</f>
        <v>14</v>
      </c>
      <c r="J124" s="4">
        <f t="shared" si="18"/>
        <v>58.333333333333336</v>
      </c>
      <c r="K124" s="4">
        <f t="shared" si="19"/>
        <v>62.5</v>
      </c>
      <c r="L124" s="5">
        <f t="shared" si="20"/>
        <v>7.1428571428571383E-2</v>
      </c>
      <c r="M124" s="4">
        <f>4*(('01_WHOQOL_Items'!W124 + '01_WHOQOL_Items'!X124 + '01_WHOQOL_Items'!Y124)/3)</f>
        <v>12</v>
      </c>
      <c r="N124" s="4">
        <f>4*(('01_WHOQOL_Items'!AW124 + '01_WHOQOL_Items'!AX124 + '01_WHOQOL_Items'!AY124)/3)</f>
        <v>10.666666666666666</v>
      </c>
      <c r="O124" s="4">
        <f t="shared" si="21"/>
        <v>50</v>
      </c>
      <c r="P124" s="4">
        <f t="shared" si="22"/>
        <v>41.666666666666664</v>
      </c>
      <c r="Q124" s="5">
        <f t="shared" si="23"/>
        <v>-0.16666666666666671</v>
      </c>
      <c r="R124" s="4">
        <f>4*(('01_WHOQOL_Items'!K124 + '01_WHOQOL_Items'!L124 + '01_WHOQOL_Items'!O124 + '01_WHOQOL_Items'!P124 + '01_WHOQOL_Items'!Q124 + '01_WHOQOL_Items'!Z124 + '01_WHOQOL_Items'!AA124 + '01_WHOQOL_Items'!AB124)/8)</f>
        <v>10.5</v>
      </c>
      <c r="S124" s="4">
        <f>4*(('01_WHOQOL_Items'!AK124 + '01_WHOQOL_Items'!AL124 + '01_WHOQOL_Items'!AO124 + '01_WHOQOL_Items'!AP124 + '01_WHOQOL_Items'!AQ124 + '01_WHOQOL_Items'!AZ124 + '01_WHOQOL_Items'!BA124 + '01_WHOQOL_Items'!BB124)/8)</f>
        <v>10</v>
      </c>
      <c r="T124" s="4">
        <f t="shared" si="24"/>
        <v>40.625</v>
      </c>
      <c r="U124" s="4">
        <f t="shared" si="25"/>
        <v>37.5</v>
      </c>
      <c r="V124" s="5">
        <f t="shared" si="26"/>
        <v>-7.6923076923076927E-2</v>
      </c>
      <c r="W124" s="4">
        <f t="shared" si="27"/>
        <v>53.311011904761905</v>
      </c>
      <c r="X124" s="4">
        <f t="shared" si="28"/>
        <v>55.05952380952381</v>
      </c>
      <c r="Y124" s="5">
        <f t="shared" si="29"/>
        <v>3.2798325191905099E-2</v>
      </c>
      <c r="Z124" s="1">
        <f>'01_WHOQOL_Items'!D124</f>
        <v>2</v>
      </c>
      <c r="AA124" s="1">
        <f>'01_WHOQOL_Items'!AD124</f>
        <v>4</v>
      </c>
      <c r="AB124" s="1">
        <f>'01_WHOQOL_Items'!E124</f>
        <v>3</v>
      </c>
      <c r="AC124" s="1">
        <f>'01_WHOQOL_Items'!AE124</f>
        <v>3</v>
      </c>
    </row>
    <row r="125" spans="1:29">
      <c r="A125" s="1" t="str">
        <f>'01_WHOQOL_Items'!A125</f>
        <v>EXP-124</v>
      </c>
      <c r="B125" s="1" t="str">
        <f>'01_WHOQOL_Items'!B125</f>
        <v>Experimental</v>
      </c>
      <c r="C125" s="4">
        <f>4*(((6-'01_WHOQOL_Items'!F125) + (6-'01_WHOQOL_Items'!G125) + '01_WHOQOL_Items'!M125 + '01_WHOQOL_Items'!R125 + '01_WHOQOL_Items'!S125 + '01_WHOQOL_Items'!T125 + '01_WHOQOL_Items'!U125)/7)</f>
        <v>12</v>
      </c>
      <c r="D125" s="4">
        <f>4*(((6-'01_WHOQOL_Items'!AF125) + (6-'01_WHOQOL_Items'!AG125) + '01_WHOQOL_Items'!AM125 + '01_WHOQOL_Items'!AR125 + '01_WHOQOL_Items'!AS125 + '01_WHOQOL_Items'!AT125 + '01_WHOQOL_Items'!AU125)/7)</f>
        <v>9.7142857142857135</v>
      </c>
      <c r="E125" s="4">
        <f t="shared" si="15"/>
        <v>50</v>
      </c>
      <c r="F125" s="4">
        <f t="shared" si="16"/>
        <v>35.714285714285708</v>
      </c>
      <c r="G125" s="5">
        <f t="shared" si="17"/>
        <v>-0.28571428571428581</v>
      </c>
      <c r="H125" s="4">
        <f>4*(('01_WHOQOL_Items'!H125 + '01_WHOQOL_Items'!I125 + '01_WHOQOL_Items'!J125 + '01_WHOQOL_Items'!N125 + '01_WHOQOL_Items'!V125 + (6-'01_WHOQOL_Items'!AC125))/6)</f>
        <v>12.666666666666666</v>
      </c>
      <c r="I125" s="4">
        <f>4*(('01_WHOQOL_Items'!AH125 + '01_WHOQOL_Items'!AI125 + '01_WHOQOL_Items'!AJ125 + '01_WHOQOL_Items'!AN125 + '01_WHOQOL_Items'!AV125 + (6-'01_WHOQOL_Items'!BC125))/6)</f>
        <v>16.666666666666668</v>
      </c>
      <c r="J125" s="4">
        <f t="shared" si="18"/>
        <v>54.166666666666664</v>
      </c>
      <c r="K125" s="4">
        <f t="shared" si="19"/>
        <v>79.166666666666671</v>
      </c>
      <c r="L125" s="5">
        <f t="shared" si="20"/>
        <v>0.46153846153846168</v>
      </c>
      <c r="M125" s="4">
        <f>4*(('01_WHOQOL_Items'!W125 + '01_WHOQOL_Items'!X125 + '01_WHOQOL_Items'!Y125)/3)</f>
        <v>12</v>
      </c>
      <c r="N125" s="4">
        <f>4*(('01_WHOQOL_Items'!AW125 + '01_WHOQOL_Items'!AX125 + '01_WHOQOL_Items'!AY125)/3)</f>
        <v>17.333333333333332</v>
      </c>
      <c r="O125" s="4">
        <f t="shared" si="21"/>
        <v>50</v>
      </c>
      <c r="P125" s="4">
        <f t="shared" si="22"/>
        <v>83.333333333333329</v>
      </c>
      <c r="Q125" s="5">
        <f t="shared" si="23"/>
        <v>0.66666666666666652</v>
      </c>
      <c r="R125" s="4">
        <f>4*(('01_WHOQOL_Items'!K125 + '01_WHOQOL_Items'!L125 + '01_WHOQOL_Items'!O125 + '01_WHOQOL_Items'!P125 + '01_WHOQOL_Items'!Q125 + '01_WHOQOL_Items'!Z125 + '01_WHOQOL_Items'!AA125 + '01_WHOQOL_Items'!AB125)/8)</f>
        <v>10.5</v>
      </c>
      <c r="S125" s="4">
        <f>4*(('01_WHOQOL_Items'!AK125 + '01_WHOQOL_Items'!AL125 + '01_WHOQOL_Items'!AO125 + '01_WHOQOL_Items'!AP125 + '01_WHOQOL_Items'!AQ125 + '01_WHOQOL_Items'!AZ125 + '01_WHOQOL_Items'!BA125 + '01_WHOQOL_Items'!BB125)/8)</f>
        <v>11.5</v>
      </c>
      <c r="T125" s="4">
        <f t="shared" si="24"/>
        <v>40.625</v>
      </c>
      <c r="U125" s="4">
        <f t="shared" si="25"/>
        <v>46.875</v>
      </c>
      <c r="V125" s="5">
        <f t="shared" si="26"/>
        <v>0.15384615384615385</v>
      </c>
      <c r="W125" s="4">
        <f t="shared" si="27"/>
        <v>48.697916666666664</v>
      </c>
      <c r="X125" s="4">
        <f t="shared" si="28"/>
        <v>61.272321428571431</v>
      </c>
      <c r="Y125" s="5">
        <f t="shared" si="29"/>
        <v>0.2582123758594348</v>
      </c>
      <c r="Z125" s="1">
        <f>'01_WHOQOL_Items'!D125</f>
        <v>3</v>
      </c>
      <c r="AA125" s="1">
        <f>'01_WHOQOL_Items'!AD125</f>
        <v>4</v>
      </c>
      <c r="AB125" s="1">
        <f>'01_WHOQOL_Items'!E125</f>
        <v>3</v>
      </c>
      <c r="AC125" s="1">
        <f>'01_WHOQOL_Items'!AE125</f>
        <v>3</v>
      </c>
    </row>
    <row r="126" spans="1:29">
      <c r="A126" s="1" t="str">
        <f>'01_WHOQOL_Items'!A126</f>
        <v>EXP-125</v>
      </c>
      <c r="B126" s="1" t="str">
        <f>'01_WHOQOL_Items'!B126</f>
        <v>Experimental</v>
      </c>
      <c r="C126" s="4">
        <f>4*(((6-'01_WHOQOL_Items'!F126) + (6-'01_WHOQOL_Items'!G126) + '01_WHOQOL_Items'!M126 + '01_WHOQOL_Items'!R126 + '01_WHOQOL_Items'!S126 + '01_WHOQOL_Items'!T126 + '01_WHOQOL_Items'!U126)/7)</f>
        <v>13.142857142857142</v>
      </c>
      <c r="D126" s="4">
        <f>4*(((6-'01_WHOQOL_Items'!AF126) + (6-'01_WHOQOL_Items'!AG126) + '01_WHOQOL_Items'!AM126 + '01_WHOQOL_Items'!AR126 + '01_WHOQOL_Items'!AS126 + '01_WHOQOL_Items'!AT126 + '01_WHOQOL_Items'!AU126)/7)</f>
        <v>13.142857142857142</v>
      </c>
      <c r="E126" s="4">
        <f t="shared" si="15"/>
        <v>57.142857142857139</v>
      </c>
      <c r="F126" s="4">
        <f t="shared" si="16"/>
        <v>57.142857142857139</v>
      </c>
      <c r="G126" s="5">
        <f t="shared" si="17"/>
        <v>0</v>
      </c>
      <c r="H126" s="4">
        <f>4*(('01_WHOQOL_Items'!H126 + '01_WHOQOL_Items'!I126 + '01_WHOQOL_Items'!J126 + '01_WHOQOL_Items'!N126 + '01_WHOQOL_Items'!V126 + (6-'01_WHOQOL_Items'!AC126))/6)</f>
        <v>10</v>
      </c>
      <c r="I126" s="4">
        <f>4*(('01_WHOQOL_Items'!AH126 + '01_WHOQOL_Items'!AI126 + '01_WHOQOL_Items'!AJ126 + '01_WHOQOL_Items'!AN126 + '01_WHOQOL_Items'!AV126 + (6-'01_WHOQOL_Items'!BC126))/6)</f>
        <v>10.666666666666666</v>
      </c>
      <c r="J126" s="4">
        <f t="shared" si="18"/>
        <v>37.5</v>
      </c>
      <c r="K126" s="4">
        <f t="shared" si="19"/>
        <v>41.666666666666664</v>
      </c>
      <c r="L126" s="5">
        <f t="shared" si="20"/>
        <v>0.11111111111111105</v>
      </c>
      <c r="M126" s="4">
        <f>4*(('01_WHOQOL_Items'!W126 + '01_WHOQOL_Items'!X126 + '01_WHOQOL_Items'!Y126)/3)</f>
        <v>10.666666666666666</v>
      </c>
      <c r="N126" s="4">
        <f>4*(('01_WHOQOL_Items'!AW126 + '01_WHOQOL_Items'!AX126 + '01_WHOQOL_Items'!AY126)/3)</f>
        <v>13.333333333333334</v>
      </c>
      <c r="O126" s="4">
        <f t="shared" si="21"/>
        <v>41.666666666666664</v>
      </c>
      <c r="P126" s="4">
        <f t="shared" si="22"/>
        <v>58.333333333333336</v>
      </c>
      <c r="Q126" s="5">
        <f t="shared" si="23"/>
        <v>0.40000000000000013</v>
      </c>
      <c r="R126" s="4">
        <f>4*(('01_WHOQOL_Items'!K126 + '01_WHOQOL_Items'!L126 + '01_WHOQOL_Items'!O126 + '01_WHOQOL_Items'!P126 + '01_WHOQOL_Items'!Q126 + '01_WHOQOL_Items'!Z126 + '01_WHOQOL_Items'!AA126 + '01_WHOQOL_Items'!AB126)/8)</f>
        <v>14</v>
      </c>
      <c r="S126" s="4">
        <f>4*(('01_WHOQOL_Items'!AK126 + '01_WHOQOL_Items'!AL126 + '01_WHOQOL_Items'!AO126 + '01_WHOQOL_Items'!AP126 + '01_WHOQOL_Items'!AQ126 + '01_WHOQOL_Items'!AZ126 + '01_WHOQOL_Items'!BA126 + '01_WHOQOL_Items'!BB126)/8)</f>
        <v>16.5</v>
      </c>
      <c r="T126" s="4">
        <f t="shared" si="24"/>
        <v>62.5</v>
      </c>
      <c r="U126" s="4">
        <f t="shared" si="25"/>
        <v>78.125</v>
      </c>
      <c r="V126" s="5">
        <f t="shared" si="26"/>
        <v>0.25</v>
      </c>
      <c r="W126" s="4">
        <f t="shared" si="27"/>
        <v>49.702380952380949</v>
      </c>
      <c r="X126" s="4">
        <f t="shared" si="28"/>
        <v>58.816964285714285</v>
      </c>
      <c r="Y126" s="5">
        <f t="shared" si="29"/>
        <v>0.1833832335329342</v>
      </c>
      <c r="Z126" s="1">
        <f>'01_WHOQOL_Items'!D126</f>
        <v>4</v>
      </c>
      <c r="AA126" s="1">
        <f>'01_WHOQOL_Items'!AD126</f>
        <v>4</v>
      </c>
      <c r="AB126" s="1">
        <f>'01_WHOQOL_Items'!E126</f>
        <v>4</v>
      </c>
      <c r="AC126" s="1">
        <f>'01_WHOQOL_Items'!AE126</f>
        <v>4</v>
      </c>
    </row>
    <row r="127" spans="1:29">
      <c r="A127" s="1" t="str">
        <f>'01_WHOQOL_Items'!A127</f>
        <v>EXP-126</v>
      </c>
      <c r="B127" s="1" t="str">
        <f>'01_WHOQOL_Items'!B127</f>
        <v>Experimental</v>
      </c>
      <c r="C127" s="4">
        <f>4*(((6-'01_WHOQOL_Items'!F127) + (6-'01_WHOQOL_Items'!G127) + '01_WHOQOL_Items'!M127 + '01_WHOQOL_Items'!R127 + '01_WHOQOL_Items'!S127 + '01_WHOQOL_Items'!T127 + '01_WHOQOL_Items'!U127)/7)</f>
        <v>13.142857142857142</v>
      </c>
      <c r="D127" s="4">
        <f>4*(((6-'01_WHOQOL_Items'!AF127) + (6-'01_WHOQOL_Items'!AG127) + '01_WHOQOL_Items'!AM127 + '01_WHOQOL_Items'!AR127 + '01_WHOQOL_Items'!AS127 + '01_WHOQOL_Items'!AT127 + '01_WHOQOL_Items'!AU127)/7)</f>
        <v>14.285714285714286</v>
      </c>
      <c r="E127" s="4">
        <f t="shared" si="15"/>
        <v>57.142857142857139</v>
      </c>
      <c r="F127" s="4">
        <f t="shared" si="16"/>
        <v>64.285714285714292</v>
      </c>
      <c r="G127" s="5">
        <f t="shared" si="17"/>
        <v>0.12500000000000019</v>
      </c>
      <c r="H127" s="4">
        <f>4*(('01_WHOQOL_Items'!H127 + '01_WHOQOL_Items'!I127 + '01_WHOQOL_Items'!J127 + '01_WHOQOL_Items'!N127 + '01_WHOQOL_Items'!V127 + (6-'01_WHOQOL_Items'!AC127))/6)</f>
        <v>14.666666666666666</v>
      </c>
      <c r="I127" s="4">
        <f>4*(('01_WHOQOL_Items'!AH127 + '01_WHOQOL_Items'!AI127 + '01_WHOQOL_Items'!AJ127 + '01_WHOQOL_Items'!AN127 + '01_WHOQOL_Items'!AV127 + (6-'01_WHOQOL_Items'!BC127))/6)</f>
        <v>18</v>
      </c>
      <c r="J127" s="4">
        <f t="shared" si="18"/>
        <v>66.666666666666657</v>
      </c>
      <c r="K127" s="4">
        <f t="shared" si="19"/>
        <v>87.5</v>
      </c>
      <c r="L127" s="5">
        <f t="shared" si="20"/>
        <v>0.31250000000000017</v>
      </c>
      <c r="M127" s="4">
        <f>4*(('01_WHOQOL_Items'!W127 + '01_WHOQOL_Items'!X127 + '01_WHOQOL_Items'!Y127)/3)</f>
        <v>10.666666666666666</v>
      </c>
      <c r="N127" s="4">
        <f>4*(('01_WHOQOL_Items'!AW127 + '01_WHOQOL_Items'!AX127 + '01_WHOQOL_Items'!AY127)/3)</f>
        <v>14.666666666666666</v>
      </c>
      <c r="O127" s="4">
        <f t="shared" si="21"/>
        <v>41.666666666666664</v>
      </c>
      <c r="P127" s="4">
        <f t="shared" si="22"/>
        <v>66.666666666666657</v>
      </c>
      <c r="Q127" s="5">
        <f t="shared" si="23"/>
        <v>0.59999999999999987</v>
      </c>
      <c r="R127" s="4">
        <f>4*(('01_WHOQOL_Items'!K127 + '01_WHOQOL_Items'!L127 + '01_WHOQOL_Items'!O127 + '01_WHOQOL_Items'!P127 + '01_WHOQOL_Items'!Q127 + '01_WHOQOL_Items'!Z127 + '01_WHOQOL_Items'!AA127 + '01_WHOQOL_Items'!AB127)/8)</f>
        <v>14</v>
      </c>
      <c r="S127" s="4">
        <f>4*(('01_WHOQOL_Items'!AK127 + '01_WHOQOL_Items'!AL127 + '01_WHOQOL_Items'!AO127 + '01_WHOQOL_Items'!AP127 + '01_WHOQOL_Items'!AQ127 + '01_WHOQOL_Items'!AZ127 + '01_WHOQOL_Items'!BA127 + '01_WHOQOL_Items'!BB127)/8)</f>
        <v>12</v>
      </c>
      <c r="T127" s="4">
        <f t="shared" si="24"/>
        <v>62.5</v>
      </c>
      <c r="U127" s="4">
        <f t="shared" si="25"/>
        <v>50</v>
      </c>
      <c r="V127" s="5">
        <f t="shared" si="26"/>
        <v>-0.2</v>
      </c>
      <c r="W127" s="4">
        <f t="shared" si="27"/>
        <v>56.994047619047613</v>
      </c>
      <c r="X127" s="4">
        <f t="shared" si="28"/>
        <v>67.113095238095241</v>
      </c>
      <c r="Y127" s="5">
        <f t="shared" si="29"/>
        <v>0.17754569190600539</v>
      </c>
      <c r="Z127" s="1">
        <f>'01_WHOQOL_Items'!D127</f>
        <v>3</v>
      </c>
      <c r="AA127" s="1">
        <f>'01_WHOQOL_Items'!AD127</f>
        <v>3</v>
      </c>
      <c r="AB127" s="1">
        <f>'01_WHOQOL_Items'!E127</f>
        <v>3</v>
      </c>
      <c r="AC127" s="1">
        <f>'01_WHOQOL_Items'!AE127</f>
        <v>4</v>
      </c>
    </row>
    <row r="128" spans="1:29">
      <c r="A128" s="1" t="str">
        <f>'01_WHOQOL_Items'!A128</f>
        <v>EXP-127</v>
      </c>
      <c r="B128" s="1" t="str">
        <f>'01_WHOQOL_Items'!B128</f>
        <v>Experimental</v>
      </c>
      <c r="C128" s="4">
        <f>4*(((6-'01_WHOQOL_Items'!F128) + (6-'01_WHOQOL_Items'!G128) + '01_WHOQOL_Items'!M128 + '01_WHOQOL_Items'!R128 + '01_WHOQOL_Items'!S128 + '01_WHOQOL_Items'!T128 + '01_WHOQOL_Items'!U128)/7)</f>
        <v>9.7142857142857135</v>
      </c>
      <c r="D128" s="4">
        <f>4*(((6-'01_WHOQOL_Items'!AF128) + (6-'01_WHOQOL_Items'!AG128) + '01_WHOQOL_Items'!AM128 + '01_WHOQOL_Items'!AR128 + '01_WHOQOL_Items'!AS128 + '01_WHOQOL_Items'!AT128 + '01_WHOQOL_Items'!AU128)/7)</f>
        <v>10.857142857142858</v>
      </c>
      <c r="E128" s="4">
        <f t="shared" si="15"/>
        <v>35.714285714285708</v>
      </c>
      <c r="F128" s="4">
        <f t="shared" si="16"/>
        <v>42.857142857142861</v>
      </c>
      <c r="G128" s="5">
        <f t="shared" si="17"/>
        <v>0.20000000000000032</v>
      </c>
      <c r="H128" s="4">
        <f>4*(('01_WHOQOL_Items'!H128 + '01_WHOQOL_Items'!I128 + '01_WHOQOL_Items'!J128 + '01_WHOQOL_Items'!N128 + '01_WHOQOL_Items'!V128 + (6-'01_WHOQOL_Items'!AC128))/6)</f>
        <v>11.333333333333334</v>
      </c>
      <c r="I128" s="4">
        <f>4*(('01_WHOQOL_Items'!AH128 + '01_WHOQOL_Items'!AI128 + '01_WHOQOL_Items'!AJ128 + '01_WHOQOL_Items'!AN128 + '01_WHOQOL_Items'!AV128 + (6-'01_WHOQOL_Items'!BC128))/6)</f>
        <v>12.666666666666666</v>
      </c>
      <c r="J128" s="4">
        <f t="shared" si="18"/>
        <v>45.833333333333336</v>
      </c>
      <c r="K128" s="4">
        <f t="shared" si="19"/>
        <v>54.166666666666664</v>
      </c>
      <c r="L128" s="5">
        <f t="shared" si="20"/>
        <v>0.18181818181818171</v>
      </c>
      <c r="M128" s="4">
        <f>4*(('01_WHOQOL_Items'!W128 + '01_WHOQOL_Items'!X128 + '01_WHOQOL_Items'!Y128)/3)</f>
        <v>10.666666666666666</v>
      </c>
      <c r="N128" s="4">
        <f>4*(('01_WHOQOL_Items'!AW128 + '01_WHOQOL_Items'!AX128 + '01_WHOQOL_Items'!AY128)/3)</f>
        <v>10.666666666666666</v>
      </c>
      <c r="O128" s="4">
        <f t="shared" si="21"/>
        <v>41.666666666666664</v>
      </c>
      <c r="P128" s="4">
        <f t="shared" si="22"/>
        <v>41.666666666666664</v>
      </c>
      <c r="Q128" s="5">
        <f t="shared" si="23"/>
        <v>0</v>
      </c>
      <c r="R128" s="4">
        <f>4*(('01_WHOQOL_Items'!K128 + '01_WHOQOL_Items'!L128 + '01_WHOQOL_Items'!O128 + '01_WHOQOL_Items'!P128 + '01_WHOQOL_Items'!Q128 + '01_WHOQOL_Items'!Z128 + '01_WHOQOL_Items'!AA128 + '01_WHOQOL_Items'!AB128)/8)</f>
        <v>10.5</v>
      </c>
      <c r="S128" s="4">
        <f>4*(('01_WHOQOL_Items'!AK128 + '01_WHOQOL_Items'!AL128 + '01_WHOQOL_Items'!AO128 + '01_WHOQOL_Items'!AP128 + '01_WHOQOL_Items'!AQ128 + '01_WHOQOL_Items'!AZ128 + '01_WHOQOL_Items'!BA128 + '01_WHOQOL_Items'!BB128)/8)</f>
        <v>14.5</v>
      </c>
      <c r="T128" s="4">
        <f t="shared" si="24"/>
        <v>40.625</v>
      </c>
      <c r="U128" s="4">
        <f t="shared" si="25"/>
        <v>65.625</v>
      </c>
      <c r="V128" s="5">
        <f t="shared" si="26"/>
        <v>0.61538461538461542</v>
      </c>
      <c r="W128" s="4">
        <f t="shared" si="27"/>
        <v>40.959821428571423</v>
      </c>
      <c r="X128" s="4">
        <f t="shared" si="28"/>
        <v>51.078869047619044</v>
      </c>
      <c r="Y128" s="5">
        <f t="shared" si="29"/>
        <v>0.24704813805631251</v>
      </c>
      <c r="Z128" s="1">
        <f>'01_WHOQOL_Items'!D128</f>
        <v>3</v>
      </c>
      <c r="AA128" s="1">
        <f>'01_WHOQOL_Items'!AD128</f>
        <v>4</v>
      </c>
      <c r="AB128" s="1">
        <f>'01_WHOQOL_Items'!E128</f>
        <v>3</v>
      </c>
      <c r="AC128" s="1">
        <f>'01_WHOQOL_Items'!AE128</f>
        <v>3</v>
      </c>
    </row>
    <row r="129" spans="1:29">
      <c r="A129" s="1" t="str">
        <f>'01_WHOQOL_Items'!A129</f>
        <v>EXP-128</v>
      </c>
      <c r="B129" s="1" t="str">
        <f>'01_WHOQOL_Items'!B129</f>
        <v>Experimental</v>
      </c>
      <c r="C129" s="4">
        <f>4*(((6-'01_WHOQOL_Items'!F129) + (6-'01_WHOQOL_Items'!G129) + '01_WHOQOL_Items'!M129 + '01_WHOQOL_Items'!R129 + '01_WHOQOL_Items'!S129 + '01_WHOQOL_Items'!T129 + '01_WHOQOL_Items'!U129)/7)</f>
        <v>11.428571428571429</v>
      </c>
      <c r="D129" s="4">
        <f>4*(((6-'01_WHOQOL_Items'!AF129) + (6-'01_WHOQOL_Items'!AG129) + '01_WHOQOL_Items'!AM129 + '01_WHOQOL_Items'!AR129 + '01_WHOQOL_Items'!AS129 + '01_WHOQOL_Items'!AT129 + '01_WHOQOL_Items'!AU129)/7)</f>
        <v>12</v>
      </c>
      <c r="E129" s="4">
        <f t="shared" si="15"/>
        <v>46.428571428571431</v>
      </c>
      <c r="F129" s="4">
        <f t="shared" si="16"/>
        <v>50</v>
      </c>
      <c r="G129" s="5">
        <f t="shared" si="17"/>
        <v>7.6923076923076872E-2</v>
      </c>
      <c r="H129" s="4">
        <f>4*(('01_WHOQOL_Items'!H129 + '01_WHOQOL_Items'!I129 + '01_WHOQOL_Items'!J129 + '01_WHOQOL_Items'!N129 + '01_WHOQOL_Items'!V129 + (6-'01_WHOQOL_Items'!AC129))/6)</f>
        <v>11.333333333333334</v>
      </c>
      <c r="I129" s="4">
        <f>4*(('01_WHOQOL_Items'!AH129 + '01_WHOQOL_Items'!AI129 + '01_WHOQOL_Items'!AJ129 + '01_WHOQOL_Items'!AN129 + '01_WHOQOL_Items'!AV129 + (6-'01_WHOQOL_Items'!BC129))/6)</f>
        <v>14</v>
      </c>
      <c r="J129" s="4">
        <f t="shared" si="18"/>
        <v>45.833333333333336</v>
      </c>
      <c r="K129" s="4">
        <f t="shared" si="19"/>
        <v>62.5</v>
      </c>
      <c r="L129" s="5">
        <f t="shared" si="20"/>
        <v>0.36363636363636359</v>
      </c>
      <c r="M129" s="4">
        <f>4*(('01_WHOQOL_Items'!W129 + '01_WHOQOL_Items'!X129 + '01_WHOQOL_Items'!Y129)/3)</f>
        <v>10.666666666666666</v>
      </c>
      <c r="N129" s="4">
        <f>4*(('01_WHOQOL_Items'!AW129 + '01_WHOQOL_Items'!AX129 + '01_WHOQOL_Items'!AY129)/3)</f>
        <v>12</v>
      </c>
      <c r="O129" s="4">
        <f t="shared" si="21"/>
        <v>41.666666666666664</v>
      </c>
      <c r="P129" s="4">
        <f t="shared" si="22"/>
        <v>50</v>
      </c>
      <c r="Q129" s="5">
        <f t="shared" si="23"/>
        <v>0.20000000000000007</v>
      </c>
      <c r="R129" s="4">
        <f>4*(('01_WHOQOL_Items'!K129 + '01_WHOQOL_Items'!L129 + '01_WHOQOL_Items'!O129 + '01_WHOQOL_Items'!P129 + '01_WHOQOL_Items'!Q129 + '01_WHOQOL_Items'!Z129 + '01_WHOQOL_Items'!AA129 + '01_WHOQOL_Items'!AB129)/8)</f>
        <v>11</v>
      </c>
      <c r="S129" s="4">
        <f>4*(('01_WHOQOL_Items'!AK129 + '01_WHOQOL_Items'!AL129 + '01_WHOQOL_Items'!AO129 + '01_WHOQOL_Items'!AP129 + '01_WHOQOL_Items'!AQ129 + '01_WHOQOL_Items'!AZ129 + '01_WHOQOL_Items'!BA129 + '01_WHOQOL_Items'!BB129)/8)</f>
        <v>11</v>
      </c>
      <c r="T129" s="4">
        <f t="shared" si="24"/>
        <v>43.75</v>
      </c>
      <c r="U129" s="4">
        <f t="shared" si="25"/>
        <v>43.75</v>
      </c>
      <c r="V129" s="5">
        <f t="shared" si="26"/>
        <v>0</v>
      </c>
      <c r="W129" s="4">
        <f t="shared" si="27"/>
        <v>44.419642857142854</v>
      </c>
      <c r="X129" s="4">
        <f t="shared" si="28"/>
        <v>51.5625</v>
      </c>
      <c r="Y129" s="5">
        <f t="shared" si="29"/>
        <v>0.1608040201005026</v>
      </c>
      <c r="Z129" s="1">
        <f>'01_WHOQOL_Items'!D129</f>
        <v>3</v>
      </c>
      <c r="AA129" s="1">
        <f>'01_WHOQOL_Items'!AD129</f>
        <v>3</v>
      </c>
      <c r="AB129" s="1">
        <f>'01_WHOQOL_Items'!E129</f>
        <v>3</v>
      </c>
      <c r="AC129" s="1">
        <f>'01_WHOQOL_Items'!AE129</f>
        <v>3</v>
      </c>
    </row>
    <row r="130" spans="1:29">
      <c r="A130" s="1" t="str">
        <f>'01_WHOQOL_Items'!A130</f>
        <v>EXP-129</v>
      </c>
      <c r="B130" s="1" t="str">
        <f>'01_WHOQOL_Items'!B130</f>
        <v>Experimental</v>
      </c>
      <c r="C130" s="4">
        <f>4*(((6-'01_WHOQOL_Items'!F130) + (6-'01_WHOQOL_Items'!G130) + '01_WHOQOL_Items'!M130 + '01_WHOQOL_Items'!R130 + '01_WHOQOL_Items'!S130 + '01_WHOQOL_Items'!T130 + '01_WHOQOL_Items'!U130)/7)</f>
        <v>10.857142857142858</v>
      </c>
      <c r="D130" s="4">
        <f>4*(((6-'01_WHOQOL_Items'!AF130) + (6-'01_WHOQOL_Items'!AG130) + '01_WHOQOL_Items'!AM130 + '01_WHOQOL_Items'!AR130 + '01_WHOQOL_Items'!AS130 + '01_WHOQOL_Items'!AT130 + '01_WHOQOL_Items'!AU130)/7)</f>
        <v>11.428571428571429</v>
      </c>
      <c r="E130" s="4">
        <f t="shared" ref="E130:E193" si="30">(C130-4)*100/16</f>
        <v>42.857142857142861</v>
      </c>
      <c r="F130" s="4">
        <f t="shared" ref="F130:F193" si="31">(D130-4)*100/16</f>
        <v>46.428571428571431</v>
      </c>
      <c r="G130" s="5">
        <f t="shared" ref="G130:G193" si="32">IFERROR((F130-E130)/E130,"")</f>
        <v>8.3333333333333273E-2</v>
      </c>
      <c r="H130" s="4">
        <f>4*(('01_WHOQOL_Items'!H130 + '01_WHOQOL_Items'!I130 + '01_WHOQOL_Items'!J130 + '01_WHOQOL_Items'!N130 + '01_WHOQOL_Items'!V130 + (6-'01_WHOQOL_Items'!AC130))/6)</f>
        <v>14.666666666666666</v>
      </c>
      <c r="I130" s="4">
        <f>4*(('01_WHOQOL_Items'!AH130 + '01_WHOQOL_Items'!AI130 + '01_WHOQOL_Items'!AJ130 + '01_WHOQOL_Items'!AN130 + '01_WHOQOL_Items'!AV130 + (6-'01_WHOQOL_Items'!BC130))/6)</f>
        <v>15.333333333333334</v>
      </c>
      <c r="J130" s="4">
        <f t="shared" ref="J130:J193" si="33">(H130-4)*100/16</f>
        <v>66.666666666666657</v>
      </c>
      <c r="K130" s="4">
        <f t="shared" ref="K130:K193" si="34">(I130-4)*100/16</f>
        <v>70.833333333333343</v>
      </c>
      <c r="L130" s="5">
        <f t="shared" ref="L130:L193" si="35">IFERROR((K130-J130)/J130,"")</f>
        <v>6.2500000000000291E-2</v>
      </c>
      <c r="M130" s="4">
        <f>4*(('01_WHOQOL_Items'!W130 + '01_WHOQOL_Items'!X130 + '01_WHOQOL_Items'!Y130)/3)</f>
        <v>8</v>
      </c>
      <c r="N130" s="4">
        <f>4*(('01_WHOQOL_Items'!AW130 + '01_WHOQOL_Items'!AX130 + '01_WHOQOL_Items'!AY130)/3)</f>
        <v>12</v>
      </c>
      <c r="O130" s="4">
        <f t="shared" ref="O130:O193" si="36">(M130-4)*100/16</f>
        <v>25</v>
      </c>
      <c r="P130" s="4">
        <f t="shared" ref="P130:P193" si="37">(N130-4)*100/16</f>
        <v>50</v>
      </c>
      <c r="Q130" s="5">
        <f t="shared" ref="Q130:Q193" si="38">IFERROR((P130-O130)/O130,"")</f>
        <v>1</v>
      </c>
      <c r="R130" s="4">
        <f>4*(('01_WHOQOL_Items'!K130 + '01_WHOQOL_Items'!L130 + '01_WHOQOL_Items'!O130 + '01_WHOQOL_Items'!P130 + '01_WHOQOL_Items'!Q130 + '01_WHOQOL_Items'!Z130 + '01_WHOQOL_Items'!AA130 + '01_WHOQOL_Items'!AB130)/8)</f>
        <v>14</v>
      </c>
      <c r="S130" s="4">
        <f>4*(('01_WHOQOL_Items'!AK130 + '01_WHOQOL_Items'!AL130 + '01_WHOQOL_Items'!AO130 + '01_WHOQOL_Items'!AP130 + '01_WHOQOL_Items'!AQ130 + '01_WHOQOL_Items'!AZ130 + '01_WHOQOL_Items'!BA130 + '01_WHOQOL_Items'!BB130)/8)</f>
        <v>15.5</v>
      </c>
      <c r="T130" s="4">
        <f t="shared" ref="T130:T193" si="39">(R130-4)*100/16</f>
        <v>62.5</v>
      </c>
      <c r="U130" s="4">
        <f t="shared" ref="U130:U193" si="40">(S130-4)*100/16</f>
        <v>71.875</v>
      </c>
      <c r="V130" s="5">
        <f t="shared" ref="V130:V193" si="41">IFERROR((U130-T130)/T130,"")</f>
        <v>0.15</v>
      </c>
      <c r="W130" s="4">
        <f t="shared" ref="W130:W193" si="42">AVERAGE(E130,J130,O130,T130)</f>
        <v>49.25595238095238</v>
      </c>
      <c r="X130" s="4">
        <f t="shared" ref="X130:X193" si="43">AVERAGE(F130,K130,P130,U130)</f>
        <v>59.78422619047619</v>
      </c>
      <c r="Y130" s="5">
        <f t="shared" ref="Y130:Y193" si="44">IFERROR((X130-W130)/W130,"")</f>
        <v>0.21374622356495471</v>
      </c>
      <c r="Z130" s="1">
        <f>'01_WHOQOL_Items'!D130</f>
        <v>3</v>
      </c>
      <c r="AA130" s="1">
        <f>'01_WHOQOL_Items'!AD130</f>
        <v>3</v>
      </c>
      <c r="AB130" s="1">
        <f>'01_WHOQOL_Items'!E130</f>
        <v>3</v>
      </c>
      <c r="AC130" s="1">
        <f>'01_WHOQOL_Items'!AE130</f>
        <v>3</v>
      </c>
    </row>
    <row r="131" spans="1:29">
      <c r="A131" s="1" t="str">
        <f>'01_WHOQOL_Items'!A131</f>
        <v>EXP-130</v>
      </c>
      <c r="B131" s="1" t="str">
        <f>'01_WHOQOL_Items'!B131</f>
        <v>Experimental</v>
      </c>
      <c r="C131" s="4">
        <f>4*(((6-'01_WHOQOL_Items'!F131) + (6-'01_WHOQOL_Items'!G131) + '01_WHOQOL_Items'!M131 + '01_WHOQOL_Items'!R131 + '01_WHOQOL_Items'!S131 + '01_WHOQOL_Items'!T131 + '01_WHOQOL_Items'!U131)/7)</f>
        <v>17.714285714285715</v>
      </c>
      <c r="D131" s="4">
        <f>4*(((6-'01_WHOQOL_Items'!AF131) + (6-'01_WHOQOL_Items'!AG131) + '01_WHOQOL_Items'!AM131 + '01_WHOQOL_Items'!AR131 + '01_WHOQOL_Items'!AS131 + '01_WHOQOL_Items'!AT131 + '01_WHOQOL_Items'!AU131)/7)</f>
        <v>16.571428571428573</v>
      </c>
      <c r="E131" s="4">
        <f t="shared" si="30"/>
        <v>85.714285714285722</v>
      </c>
      <c r="F131" s="4">
        <f t="shared" si="31"/>
        <v>78.571428571428584</v>
      </c>
      <c r="G131" s="5">
        <f t="shared" si="32"/>
        <v>-8.3333333333333273E-2</v>
      </c>
      <c r="H131" s="4">
        <f>4*(('01_WHOQOL_Items'!H131 + '01_WHOQOL_Items'!I131 + '01_WHOQOL_Items'!J131 + '01_WHOQOL_Items'!N131 + '01_WHOQOL_Items'!V131 + (6-'01_WHOQOL_Items'!AC131))/6)</f>
        <v>8.6666666666666661</v>
      </c>
      <c r="I131" s="4">
        <f>4*(('01_WHOQOL_Items'!AH131 + '01_WHOQOL_Items'!AI131 + '01_WHOQOL_Items'!AJ131 + '01_WHOQOL_Items'!AN131 + '01_WHOQOL_Items'!AV131 + (6-'01_WHOQOL_Items'!BC131))/6)</f>
        <v>10.666666666666666</v>
      </c>
      <c r="J131" s="4">
        <f t="shared" si="33"/>
        <v>29.166666666666664</v>
      </c>
      <c r="K131" s="4">
        <f t="shared" si="34"/>
        <v>41.666666666666664</v>
      </c>
      <c r="L131" s="5">
        <f t="shared" si="35"/>
        <v>0.4285714285714286</v>
      </c>
      <c r="M131" s="4">
        <f>4*(('01_WHOQOL_Items'!W131 + '01_WHOQOL_Items'!X131 + '01_WHOQOL_Items'!Y131)/3)</f>
        <v>8</v>
      </c>
      <c r="N131" s="4">
        <f>4*(('01_WHOQOL_Items'!AW131 + '01_WHOQOL_Items'!AX131 + '01_WHOQOL_Items'!AY131)/3)</f>
        <v>17.333333333333332</v>
      </c>
      <c r="O131" s="4">
        <f t="shared" si="36"/>
        <v>25</v>
      </c>
      <c r="P131" s="4">
        <f t="shared" si="37"/>
        <v>83.333333333333329</v>
      </c>
      <c r="Q131" s="5">
        <f t="shared" si="38"/>
        <v>2.333333333333333</v>
      </c>
      <c r="R131" s="4">
        <f>4*(('01_WHOQOL_Items'!K131 + '01_WHOQOL_Items'!L131 + '01_WHOQOL_Items'!O131 + '01_WHOQOL_Items'!P131 + '01_WHOQOL_Items'!Q131 + '01_WHOQOL_Items'!Z131 + '01_WHOQOL_Items'!AA131 + '01_WHOQOL_Items'!AB131)/8)</f>
        <v>8.5</v>
      </c>
      <c r="S131" s="4">
        <f>4*(('01_WHOQOL_Items'!AK131 + '01_WHOQOL_Items'!AL131 + '01_WHOQOL_Items'!AO131 + '01_WHOQOL_Items'!AP131 + '01_WHOQOL_Items'!AQ131 + '01_WHOQOL_Items'!AZ131 + '01_WHOQOL_Items'!BA131 + '01_WHOQOL_Items'!BB131)/8)</f>
        <v>12.5</v>
      </c>
      <c r="T131" s="4">
        <f t="shared" si="39"/>
        <v>28.125</v>
      </c>
      <c r="U131" s="4">
        <f t="shared" si="40"/>
        <v>53.125</v>
      </c>
      <c r="V131" s="5">
        <f t="shared" si="41"/>
        <v>0.88888888888888884</v>
      </c>
      <c r="W131" s="4">
        <f t="shared" si="42"/>
        <v>42.001488095238095</v>
      </c>
      <c r="X131" s="4">
        <f t="shared" si="43"/>
        <v>64.174107142857139</v>
      </c>
      <c r="Y131" s="5">
        <f t="shared" si="44"/>
        <v>0.52790079716563321</v>
      </c>
      <c r="Z131" s="1">
        <f>'01_WHOQOL_Items'!D131</f>
        <v>3</v>
      </c>
      <c r="AA131" s="1">
        <f>'01_WHOQOL_Items'!AD131</f>
        <v>4</v>
      </c>
      <c r="AB131" s="1">
        <f>'01_WHOQOL_Items'!E131</f>
        <v>5</v>
      </c>
      <c r="AC131" s="1">
        <f>'01_WHOQOL_Items'!AE131</f>
        <v>3</v>
      </c>
    </row>
    <row r="132" spans="1:29">
      <c r="A132" s="1" t="str">
        <f>'01_WHOQOL_Items'!A132</f>
        <v>EXP-131</v>
      </c>
      <c r="B132" s="1" t="str">
        <f>'01_WHOQOL_Items'!B132</f>
        <v>Experimental</v>
      </c>
      <c r="C132" s="4">
        <f>4*(((6-'01_WHOQOL_Items'!F132) + (6-'01_WHOQOL_Items'!G132) + '01_WHOQOL_Items'!M132 + '01_WHOQOL_Items'!R132 + '01_WHOQOL_Items'!S132 + '01_WHOQOL_Items'!T132 + '01_WHOQOL_Items'!U132)/7)</f>
        <v>9.7142857142857135</v>
      </c>
      <c r="D132" s="4">
        <f>4*(((6-'01_WHOQOL_Items'!AF132) + (6-'01_WHOQOL_Items'!AG132) + '01_WHOQOL_Items'!AM132 + '01_WHOQOL_Items'!AR132 + '01_WHOQOL_Items'!AS132 + '01_WHOQOL_Items'!AT132 + '01_WHOQOL_Items'!AU132)/7)</f>
        <v>9.7142857142857135</v>
      </c>
      <c r="E132" s="4">
        <f t="shared" si="30"/>
        <v>35.714285714285708</v>
      </c>
      <c r="F132" s="4">
        <f t="shared" si="31"/>
        <v>35.714285714285708</v>
      </c>
      <c r="G132" s="5">
        <f t="shared" si="32"/>
        <v>0</v>
      </c>
      <c r="H132" s="4">
        <f>4*(('01_WHOQOL_Items'!H132 + '01_WHOQOL_Items'!I132 + '01_WHOQOL_Items'!J132 + '01_WHOQOL_Items'!N132 + '01_WHOQOL_Items'!V132 + (6-'01_WHOQOL_Items'!AC132))/6)</f>
        <v>13.333333333333334</v>
      </c>
      <c r="I132" s="4">
        <f>4*(('01_WHOQOL_Items'!AH132 + '01_WHOQOL_Items'!AI132 + '01_WHOQOL_Items'!AJ132 + '01_WHOQOL_Items'!AN132 + '01_WHOQOL_Items'!AV132 + (6-'01_WHOQOL_Items'!BC132))/6)</f>
        <v>16</v>
      </c>
      <c r="J132" s="4">
        <f t="shared" si="33"/>
        <v>58.333333333333336</v>
      </c>
      <c r="K132" s="4">
        <f t="shared" si="34"/>
        <v>75</v>
      </c>
      <c r="L132" s="5">
        <f t="shared" si="35"/>
        <v>0.28571428571428564</v>
      </c>
      <c r="M132" s="4">
        <f>4*(('01_WHOQOL_Items'!W132 + '01_WHOQOL_Items'!X132 + '01_WHOQOL_Items'!Y132)/3)</f>
        <v>10.666666666666666</v>
      </c>
      <c r="N132" s="4">
        <f>4*(('01_WHOQOL_Items'!AW132 + '01_WHOQOL_Items'!AX132 + '01_WHOQOL_Items'!AY132)/3)</f>
        <v>10.666666666666666</v>
      </c>
      <c r="O132" s="4">
        <f t="shared" si="36"/>
        <v>41.666666666666664</v>
      </c>
      <c r="P132" s="4">
        <f t="shared" si="37"/>
        <v>41.666666666666664</v>
      </c>
      <c r="Q132" s="5">
        <f t="shared" si="38"/>
        <v>0</v>
      </c>
      <c r="R132" s="4">
        <f>4*(('01_WHOQOL_Items'!K132 + '01_WHOQOL_Items'!L132 + '01_WHOQOL_Items'!O132 + '01_WHOQOL_Items'!P132 + '01_WHOQOL_Items'!Q132 + '01_WHOQOL_Items'!Z132 + '01_WHOQOL_Items'!AA132 + '01_WHOQOL_Items'!AB132)/8)</f>
        <v>12</v>
      </c>
      <c r="S132" s="4">
        <f>4*(('01_WHOQOL_Items'!AK132 + '01_WHOQOL_Items'!AL132 + '01_WHOQOL_Items'!AO132 + '01_WHOQOL_Items'!AP132 + '01_WHOQOL_Items'!AQ132 + '01_WHOQOL_Items'!AZ132 + '01_WHOQOL_Items'!BA132 + '01_WHOQOL_Items'!BB132)/8)</f>
        <v>12</v>
      </c>
      <c r="T132" s="4">
        <f t="shared" si="39"/>
        <v>50</v>
      </c>
      <c r="U132" s="4">
        <f t="shared" si="40"/>
        <v>50</v>
      </c>
      <c r="V132" s="5">
        <f t="shared" si="41"/>
        <v>0</v>
      </c>
      <c r="W132" s="4">
        <f t="shared" si="42"/>
        <v>46.428571428571423</v>
      </c>
      <c r="X132" s="4">
        <f t="shared" si="43"/>
        <v>50.595238095238095</v>
      </c>
      <c r="Y132" s="5">
        <f t="shared" si="44"/>
        <v>8.9743589743589855E-2</v>
      </c>
      <c r="Z132" s="1">
        <f>'01_WHOQOL_Items'!D132</f>
        <v>3</v>
      </c>
      <c r="AA132" s="1">
        <f>'01_WHOQOL_Items'!AD132</f>
        <v>3</v>
      </c>
      <c r="AB132" s="1">
        <f>'01_WHOQOL_Items'!E132</f>
        <v>2</v>
      </c>
      <c r="AC132" s="1">
        <f>'01_WHOQOL_Items'!AE132</f>
        <v>2</v>
      </c>
    </row>
    <row r="133" spans="1:29">
      <c r="A133" s="1" t="str">
        <f>'01_WHOQOL_Items'!A133</f>
        <v>EXP-132</v>
      </c>
      <c r="B133" s="1" t="str">
        <f>'01_WHOQOL_Items'!B133</f>
        <v>Experimental</v>
      </c>
      <c r="C133" s="4">
        <f>4*(((6-'01_WHOQOL_Items'!F133) + (6-'01_WHOQOL_Items'!G133) + '01_WHOQOL_Items'!M133 + '01_WHOQOL_Items'!R133 + '01_WHOQOL_Items'!S133 + '01_WHOQOL_Items'!T133 + '01_WHOQOL_Items'!U133)/7)</f>
        <v>11.428571428571429</v>
      </c>
      <c r="D133" s="4">
        <f>4*(((6-'01_WHOQOL_Items'!AF133) + (6-'01_WHOQOL_Items'!AG133) + '01_WHOQOL_Items'!AM133 + '01_WHOQOL_Items'!AR133 + '01_WHOQOL_Items'!AS133 + '01_WHOQOL_Items'!AT133 + '01_WHOQOL_Items'!AU133)/7)</f>
        <v>12</v>
      </c>
      <c r="E133" s="4">
        <f t="shared" si="30"/>
        <v>46.428571428571431</v>
      </c>
      <c r="F133" s="4">
        <f t="shared" si="31"/>
        <v>50</v>
      </c>
      <c r="G133" s="5">
        <f t="shared" si="32"/>
        <v>7.6923076923076872E-2</v>
      </c>
      <c r="H133" s="4">
        <f>4*(('01_WHOQOL_Items'!H133 + '01_WHOQOL_Items'!I133 + '01_WHOQOL_Items'!J133 + '01_WHOQOL_Items'!N133 + '01_WHOQOL_Items'!V133 + (6-'01_WHOQOL_Items'!AC133))/6)</f>
        <v>11.333333333333334</v>
      </c>
      <c r="I133" s="4">
        <f>4*(('01_WHOQOL_Items'!AH133 + '01_WHOQOL_Items'!AI133 + '01_WHOQOL_Items'!AJ133 + '01_WHOQOL_Items'!AN133 + '01_WHOQOL_Items'!AV133 + (6-'01_WHOQOL_Items'!BC133))/6)</f>
        <v>12</v>
      </c>
      <c r="J133" s="4">
        <f t="shared" si="33"/>
        <v>45.833333333333336</v>
      </c>
      <c r="K133" s="4">
        <f t="shared" si="34"/>
        <v>50</v>
      </c>
      <c r="L133" s="5">
        <f t="shared" si="35"/>
        <v>9.0909090909090856E-2</v>
      </c>
      <c r="M133" s="4">
        <f>4*(('01_WHOQOL_Items'!W133 + '01_WHOQOL_Items'!X133 + '01_WHOQOL_Items'!Y133)/3)</f>
        <v>12</v>
      </c>
      <c r="N133" s="4">
        <f>4*(('01_WHOQOL_Items'!AW133 + '01_WHOQOL_Items'!AX133 + '01_WHOQOL_Items'!AY133)/3)</f>
        <v>14.666666666666666</v>
      </c>
      <c r="O133" s="4">
        <f t="shared" si="36"/>
        <v>50</v>
      </c>
      <c r="P133" s="4">
        <f t="shared" si="37"/>
        <v>66.666666666666657</v>
      </c>
      <c r="Q133" s="5">
        <f t="shared" si="38"/>
        <v>0.33333333333333315</v>
      </c>
      <c r="R133" s="4">
        <f>4*(('01_WHOQOL_Items'!K133 + '01_WHOQOL_Items'!L133 + '01_WHOQOL_Items'!O133 + '01_WHOQOL_Items'!P133 + '01_WHOQOL_Items'!Q133 + '01_WHOQOL_Items'!Z133 + '01_WHOQOL_Items'!AA133 + '01_WHOQOL_Items'!AB133)/8)</f>
        <v>14.5</v>
      </c>
      <c r="S133" s="4">
        <f>4*(('01_WHOQOL_Items'!AK133 + '01_WHOQOL_Items'!AL133 + '01_WHOQOL_Items'!AO133 + '01_WHOQOL_Items'!AP133 + '01_WHOQOL_Items'!AQ133 + '01_WHOQOL_Items'!AZ133 + '01_WHOQOL_Items'!BA133 + '01_WHOQOL_Items'!BB133)/8)</f>
        <v>17</v>
      </c>
      <c r="T133" s="4">
        <f t="shared" si="39"/>
        <v>65.625</v>
      </c>
      <c r="U133" s="4">
        <f t="shared" si="40"/>
        <v>81.25</v>
      </c>
      <c r="V133" s="5">
        <f t="shared" si="41"/>
        <v>0.23809523809523808</v>
      </c>
      <c r="W133" s="4">
        <f t="shared" si="42"/>
        <v>51.97172619047619</v>
      </c>
      <c r="X133" s="4">
        <f t="shared" si="43"/>
        <v>61.979166666666664</v>
      </c>
      <c r="Y133" s="5">
        <f t="shared" si="44"/>
        <v>0.19255547602004291</v>
      </c>
      <c r="Z133" s="1">
        <f>'01_WHOQOL_Items'!D133</f>
        <v>3</v>
      </c>
      <c r="AA133" s="1">
        <f>'01_WHOQOL_Items'!AD133</f>
        <v>4</v>
      </c>
      <c r="AB133" s="1">
        <f>'01_WHOQOL_Items'!E133</f>
        <v>3</v>
      </c>
      <c r="AC133" s="1">
        <f>'01_WHOQOL_Items'!AE133</f>
        <v>3</v>
      </c>
    </row>
    <row r="134" spans="1:29">
      <c r="A134" s="1" t="str">
        <f>'01_WHOQOL_Items'!A134</f>
        <v>EXP-133</v>
      </c>
      <c r="B134" s="1" t="str">
        <f>'01_WHOQOL_Items'!B134</f>
        <v>Experimental</v>
      </c>
      <c r="C134" s="4">
        <f>4*(((6-'01_WHOQOL_Items'!F134) + (6-'01_WHOQOL_Items'!G134) + '01_WHOQOL_Items'!M134 + '01_WHOQOL_Items'!R134 + '01_WHOQOL_Items'!S134 + '01_WHOQOL_Items'!T134 + '01_WHOQOL_Items'!U134)/7)</f>
        <v>12.571428571428571</v>
      </c>
      <c r="D134" s="4">
        <f>4*(((6-'01_WHOQOL_Items'!AF134) + (6-'01_WHOQOL_Items'!AG134) + '01_WHOQOL_Items'!AM134 + '01_WHOQOL_Items'!AR134 + '01_WHOQOL_Items'!AS134 + '01_WHOQOL_Items'!AT134 + '01_WHOQOL_Items'!AU134)/7)</f>
        <v>15.428571428571429</v>
      </c>
      <c r="E134" s="4">
        <f t="shared" si="30"/>
        <v>53.571428571428569</v>
      </c>
      <c r="F134" s="4">
        <f t="shared" si="31"/>
        <v>71.428571428571431</v>
      </c>
      <c r="G134" s="5">
        <f t="shared" si="32"/>
        <v>0.33333333333333343</v>
      </c>
      <c r="H134" s="4">
        <f>4*(('01_WHOQOL_Items'!H134 + '01_WHOQOL_Items'!I134 + '01_WHOQOL_Items'!J134 + '01_WHOQOL_Items'!N134 + '01_WHOQOL_Items'!V134 + (6-'01_WHOQOL_Items'!AC134))/6)</f>
        <v>16</v>
      </c>
      <c r="I134" s="4">
        <f>4*(('01_WHOQOL_Items'!AH134 + '01_WHOQOL_Items'!AI134 + '01_WHOQOL_Items'!AJ134 + '01_WHOQOL_Items'!AN134 + '01_WHOQOL_Items'!AV134 + (6-'01_WHOQOL_Items'!BC134))/6)</f>
        <v>15.333333333333334</v>
      </c>
      <c r="J134" s="4">
        <f t="shared" si="33"/>
        <v>75</v>
      </c>
      <c r="K134" s="4">
        <f t="shared" si="34"/>
        <v>70.833333333333343</v>
      </c>
      <c r="L134" s="5">
        <f t="shared" si="35"/>
        <v>-5.5555555555555428E-2</v>
      </c>
      <c r="M134" s="4">
        <f>4*(('01_WHOQOL_Items'!W134 + '01_WHOQOL_Items'!X134 + '01_WHOQOL_Items'!Y134)/3)</f>
        <v>6.666666666666667</v>
      </c>
      <c r="N134" s="4">
        <f>4*(('01_WHOQOL_Items'!AW134 + '01_WHOQOL_Items'!AX134 + '01_WHOQOL_Items'!AY134)/3)</f>
        <v>10.666666666666666</v>
      </c>
      <c r="O134" s="4">
        <f t="shared" si="36"/>
        <v>16.666666666666668</v>
      </c>
      <c r="P134" s="4">
        <f t="shared" si="37"/>
        <v>41.666666666666664</v>
      </c>
      <c r="Q134" s="5">
        <f t="shared" si="38"/>
        <v>1.4999999999999998</v>
      </c>
      <c r="R134" s="4">
        <f>4*(('01_WHOQOL_Items'!K134 + '01_WHOQOL_Items'!L134 + '01_WHOQOL_Items'!O134 + '01_WHOQOL_Items'!P134 + '01_WHOQOL_Items'!Q134 + '01_WHOQOL_Items'!Z134 + '01_WHOQOL_Items'!AA134 + '01_WHOQOL_Items'!AB134)/8)</f>
        <v>11.5</v>
      </c>
      <c r="S134" s="4">
        <f>4*(('01_WHOQOL_Items'!AK134 + '01_WHOQOL_Items'!AL134 + '01_WHOQOL_Items'!AO134 + '01_WHOQOL_Items'!AP134 + '01_WHOQOL_Items'!AQ134 + '01_WHOQOL_Items'!AZ134 + '01_WHOQOL_Items'!BA134 + '01_WHOQOL_Items'!BB134)/8)</f>
        <v>13</v>
      </c>
      <c r="T134" s="4">
        <f t="shared" si="39"/>
        <v>46.875</v>
      </c>
      <c r="U134" s="4">
        <f t="shared" si="40"/>
        <v>56.25</v>
      </c>
      <c r="V134" s="5">
        <f t="shared" si="41"/>
        <v>0.2</v>
      </c>
      <c r="W134" s="4">
        <f t="shared" si="42"/>
        <v>48.028273809523803</v>
      </c>
      <c r="X134" s="4">
        <f t="shared" si="43"/>
        <v>60.044642857142854</v>
      </c>
      <c r="Y134" s="5">
        <f t="shared" si="44"/>
        <v>0.25019364833462443</v>
      </c>
      <c r="Z134" s="1">
        <f>'01_WHOQOL_Items'!D134</f>
        <v>3</v>
      </c>
      <c r="AA134" s="1">
        <f>'01_WHOQOL_Items'!AD134</f>
        <v>4</v>
      </c>
      <c r="AB134" s="1">
        <f>'01_WHOQOL_Items'!E134</f>
        <v>4</v>
      </c>
      <c r="AC134" s="1">
        <f>'01_WHOQOL_Items'!AE134</f>
        <v>4</v>
      </c>
    </row>
    <row r="135" spans="1:29">
      <c r="A135" s="1" t="str">
        <f>'01_WHOQOL_Items'!A135</f>
        <v>EXP-134</v>
      </c>
      <c r="B135" s="1" t="str">
        <f>'01_WHOQOL_Items'!B135</f>
        <v>Experimental</v>
      </c>
      <c r="C135" s="4">
        <f>4*(((6-'01_WHOQOL_Items'!F135) + (6-'01_WHOQOL_Items'!G135) + '01_WHOQOL_Items'!M135 + '01_WHOQOL_Items'!R135 + '01_WHOQOL_Items'!S135 + '01_WHOQOL_Items'!T135 + '01_WHOQOL_Items'!U135)/7)</f>
        <v>13.714285714285714</v>
      </c>
      <c r="D135" s="4">
        <f>4*(((6-'01_WHOQOL_Items'!AF135) + (6-'01_WHOQOL_Items'!AG135) + '01_WHOQOL_Items'!AM135 + '01_WHOQOL_Items'!AR135 + '01_WHOQOL_Items'!AS135 + '01_WHOQOL_Items'!AT135 + '01_WHOQOL_Items'!AU135)/7)</f>
        <v>12.571428571428571</v>
      </c>
      <c r="E135" s="4">
        <f t="shared" si="30"/>
        <v>60.714285714285708</v>
      </c>
      <c r="F135" s="4">
        <f t="shared" si="31"/>
        <v>53.571428571428569</v>
      </c>
      <c r="G135" s="5">
        <f t="shared" si="32"/>
        <v>-0.11764705882352935</v>
      </c>
      <c r="H135" s="4">
        <f>4*(('01_WHOQOL_Items'!H135 + '01_WHOQOL_Items'!I135 + '01_WHOQOL_Items'!J135 + '01_WHOQOL_Items'!N135 + '01_WHOQOL_Items'!V135 + (6-'01_WHOQOL_Items'!AC135))/6)</f>
        <v>10.666666666666666</v>
      </c>
      <c r="I135" s="4">
        <f>4*(('01_WHOQOL_Items'!AH135 + '01_WHOQOL_Items'!AI135 + '01_WHOQOL_Items'!AJ135 + '01_WHOQOL_Items'!AN135 + '01_WHOQOL_Items'!AV135 + (6-'01_WHOQOL_Items'!BC135))/6)</f>
        <v>15.333333333333334</v>
      </c>
      <c r="J135" s="4">
        <f t="shared" si="33"/>
        <v>41.666666666666664</v>
      </c>
      <c r="K135" s="4">
        <f t="shared" si="34"/>
        <v>70.833333333333343</v>
      </c>
      <c r="L135" s="5">
        <f t="shared" si="35"/>
        <v>0.70000000000000029</v>
      </c>
      <c r="M135" s="4">
        <f>4*(('01_WHOQOL_Items'!W135 + '01_WHOQOL_Items'!X135 + '01_WHOQOL_Items'!Y135)/3)</f>
        <v>12</v>
      </c>
      <c r="N135" s="4">
        <f>4*(('01_WHOQOL_Items'!AW135 + '01_WHOQOL_Items'!AX135 + '01_WHOQOL_Items'!AY135)/3)</f>
        <v>12</v>
      </c>
      <c r="O135" s="4">
        <f t="shared" si="36"/>
        <v>50</v>
      </c>
      <c r="P135" s="4">
        <f t="shared" si="37"/>
        <v>50</v>
      </c>
      <c r="Q135" s="5">
        <f t="shared" si="38"/>
        <v>0</v>
      </c>
      <c r="R135" s="4">
        <f>4*(('01_WHOQOL_Items'!K135 + '01_WHOQOL_Items'!L135 + '01_WHOQOL_Items'!O135 + '01_WHOQOL_Items'!P135 + '01_WHOQOL_Items'!Q135 + '01_WHOQOL_Items'!Z135 + '01_WHOQOL_Items'!AA135 + '01_WHOQOL_Items'!AB135)/8)</f>
        <v>9.5</v>
      </c>
      <c r="S135" s="4">
        <f>4*(('01_WHOQOL_Items'!AK135 + '01_WHOQOL_Items'!AL135 + '01_WHOQOL_Items'!AO135 + '01_WHOQOL_Items'!AP135 + '01_WHOQOL_Items'!AQ135 + '01_WHOQOL_Items'!AZ135 + '01_WHOQOL_Items'!BA135 + '01_WHOQOL_Items'!BB135)/8)</f>
        <v>11.5</v>
      </c>
      <c r="T135" s="4">
        <f t="shared" si="39"/>
        <v>34.375</v>
      </c>
      <c r="U135" s="4">
        <f t="shared" si="40"/>
        <v>46.875</v>
      </c>
      <c r="V135" s="5">
        <f t="shared" si="41"/>
        <v>0.36363636363636365</v>
      </c>
      <c r="W135" s="4">
        <f t="shared" si="42"/>
        <v>46.688988095238095</v>
      </c>
      <c r="X135" s="4">
        <f t="shared" si="43"/>
        <v>55.319940476190482</v>
      </c>
      <c r="Y135" s="5">
        <f t="shared" si="44"/>
        <v>0.18486055776892443</v>
      </c>
      <c r="Z135" s="1">
        <f>'01_WHOQOL_Items'!D135</f>
        <v>2</v>
      </c>
      <c r="AA135" s="1">
        <f>'01_WHOQOL_Items'!AD135</f>
        <v>3</v>
      </c>
      <c r="AB135" s="1">
        <f>'01_WHOQOL_Items'!E135</f>
        <v>3</v>
      </c>
      <c r="AC135" s="1">
        <f>'01_WHOQOL_Items'!AE135</f>
        <v>2</v>
      </c>
    </row>
    <row r="136" spans="1:29">
      <c r="A136" s="1" t="str">
        <f>'01_WHOQOL_Items'!A136</f>
        <v>EXP-135</v>
      </c>
      <c r="B136" s="1" t="str">
        <f>'01_WHOQOL_Items'!B136</f>
        <v>Experimental</v>
      </c>
      <c r="C136" s="4">
        <f>4*(((6-'01_WHOQOL_Items'!F136) + (6-'01_WHOQOL_Items'!G136) + '01_WHOQOL_Items'!M136 + '01_WHOQOL_Items'!R136 + '01_WHOQOL_Items'!S136 + '01_WHOQOL_Items'!T136 + '01_WHOQOL_Items'!U136)/7)</f>
        <v>14.285714285714286</v>
      </c>
      <c r="D136" s="4">
        <f>4*(((6-'01_WHOQOL_Items'!AF136) + (6-'01_WHOQOL_Items'!AG136) + '01_WHOQOL_Items'!AM136 + '01_WHOQOL_Items'!AR136 + '01_WHOQOL_Items'!AS136 + '01_WHOQOL_Items'!AT136 + '01_WHOQOL_Items'!AU136)/7)</f>
        <v>16</v>
      </c>
      <c r="E136" s="4">
        <f t="shared" si="30"/>
        <v>64.285714285714292</v>
      </c>
      <c r="F136" s="4">
        <f t="shared" si="31"/>
        <v>75</v>
      </c>
      <c r="G136" s="5">
        <f t="shared" si="32"/>
        <v>0.16666666666666655</v>
      </c>
      <c r="H136" s="4">
        <f>4*(('01_WHOQOL_Items'!H136 + '01_WHOQOL_Items'!I136 + '01_WHOQOL_Items'!J136 + '01_WHOQOL_Items'!N136 + '01_WHOQOL_Items'!V136 + (6-'01_WHOQOL_Items'!AC136))/6)</f>
        <v>11.333333333333334</v>
      </c>
      <c r="I136" s="4">
        <f>4*(('01_WHOQOL_Items'!AH136 + '01_WHOQOL_Items'!AI136 + '01_WHOQOL_Items'!AJ136 + '01_WHOQOL_Items'!AN136 + '01_WHOQOL_Items'!AV136 + (6-'01_WHOQOL_Items'!BC136))/6)</f>
        <v>12.666666666666666</v>
      </c>
      <c r="J136" s="4">
        <f t="shared" si="33"/>
        <v>45.833333333333336</v>
      </c>
      <c r="K136" s="4">
        <f t="shared" si="34"/>
        <v>54.166666666666664</v>
      </c>
      <c r="L136" s="5">
        <f t="shared" si="35"/>
        <v>0.18181818181818171</v>
      </c>
      <c r="M136" s="4">
        <f>4*(('01_WHOQOL_Items'!W136 + '01_WHOQOL_Items'!X136 + '01_WHOQOL_Items'!Y136)/3)</f>
        <v>10.666666666666666</v>
      </c>
      <c r="N136" s="4">
        <f>4*(('01_WHOQOL_Items'!AW136 + '01_WHOQOL_Items'!AX136 + '01_WHOQOL_Items'!AY136)/3)</f>
        <v>13.333333333333334</v>
      </c>
      <c r="O136" s="4">
        <f t="shared" si="36"/>
        <v>41.666666666666664</v>
      </c>
      <c r="P136" s="4">
        <f t="shared" si="37"/>
        <v>58.333333333333336</v>
      </c>
      <c r="Q136" s="5">
        <f t="shared" si="38"/>
        <v>0.40000000000000013</v>
      </c>
      <c r="R136" s="4">
        <f>4*(('01_WHOQOL_Items'!K136 + '01_WHOQOL_Items'!L136 + '01_WHOQOL_Items'!O136 + '01_WHOQOL_Items'!P136 + '01_WHOQOL_Items'!Q136 + '01_WHOQOL_Items'!Z136 + '01_WHOQOL_Items'!AA136 + '01_WHOQOL_Items'!AB136)/8)</f>
        <v>11.5</v>
      </c>
      <c r="S136" s="4">
        <f>4*(('01_WHOQOL_Items'!AK136 + '01_WHOQOL_Items'!AL136 + '01_WHOQOL_Items'!AO136 + '01_WHOQOL_Items'!AP136 + '01_WHOQOL_Items'!AQ136 + '01_WHOQOL_Items'!AZ136 + '01_WHOQOL_Items'!BA136 + '01_WHOQOL_Items'!BB136)/8)</f>
        <v>16</v>
      </c>
      <c r="T136" s="4">
        <f t="shared" si="39"/>
        <v>46.875</v>
      </c>
      <c r="U136" s="4">
        <f t="shared" si="40"/>
        <v>75</v>
      </c>
      <c r="V136" s="5">
        <f t="shared" si="41"/>
        <v>0.6</v>
      </c>
      <c r="W136" s="4">
        <f t="shared" si="42"/>
        <v>49.665178571428569</v>
      </c>
      <c r="X136" s="4">
        <f t="shared" si="43"/>
        <v>65.625</v>
      </c>
      <c r="Y136" s="5">
        <f t="shared" si="44"/>
        <v>0.32134831460674163</v>
      </c>
      <c r="Z136" s="1">
        <f>'01_WHOQOL_Items'!D136</f>
        <v>3</v>
      </c>
      <c r="AA136" s="1">
        <f>'01_WHOQOL_Items'!AD136</f>
        <v>3</v>
      </c>
      <c r="AB136" s="1">
        <f>'01_WHOQOL_Items'!E136</f>
        <v>3</v>
      </c>
      <c r="AC136" s="1">
        <f>'01_WHOQOL_Items'!AE136</f>
        <v>3</v>
      </c>
    </row>
    <row r="137" spans="1:29">
      <c r="A137" s="1" t="str">
        <f>'01_WHOQOL_Items'!A137</f>
        <v>EXP-136</v>
      </c>
      <c r="B137" s="1" t="str">
        <f>'01_WHOQOL_Items'!B137</f>
        <v>Experimental</v>
      </c>
      <c r="C137" s="4">
        <f>4*(((6-'01_WHOQOL_Items'!F137) + (6-'01_WHOQOL_Items'!G137) + '01_WHOQOL_Items'!M137 + '01_WHOQOL_Items'!R137 + '01_WHOQOL_Items'!S137 + '01_WHOQOL_Items'!T137 + '01_WHOQOL_Items'!U137)/7)</f>
        <v>16</v>
      </c>
      <c r="D137" s="4">
        <f>4*(((6-'01_WHOQOL_Items'!AF137) + (6-'01_WHOQOL_Items'!AG137) + '01_WHOQOL_Items'!AM137 + '01_WHOQOL_Items'!AR137 + '01_WHOQOL_Items'!AS137 + '01_WHOQOL_Items'!AT137 + '01_WHOQOL_Items'!AU137)/7)</f>
        <v>16</v>
      </c>
      <c r="E137" s="4">
        <f t="shared" si="30"/>
        <v>75</v>
      </c>
      <c r="F137" s="4">
        <f t="shared" si="31"/>
        <v>75</v>
      </c>
      <c r="G137" s="5">
        <f t="shared" si="32"/>
        <v>0</v>
      </c>
      <c r="H137" s="4">
        <f>4*(('01_WHOQOL_Items'!H137 + '01_WHOQOL_Items'!I137 + '01_WHOQOL_Items'!J137 + '01_WHOQOL_Items'!N137 + '01_WHOQOL_Items'!V137 + (6-'01_WHOQOL_Items'!AC137))/6)</f>
        <v>13.333333333333334</v>
      </c>
      <c r="I137" s="4">
        <f>4*(('01_WHOQOL_Items'!AH137 + '01_WHOQOL_Items'!AI137 + '01_WHOQOL_Items'!AJ137 + '01_WHOQOL_Items'!AN137 + '01_WHOQOL_Items'!AV137 + (6-'01_WHOQOL_Items'!BC137))/6)</f>
        <v>15.333333333333334</v>
      </c>
      <c r="J137" s="4">
        <f t="shared" si="33"/>
        <v>58.333333333333336</v>
      </c>
      <c r="K137" s="4">
        <f t="shared" si="34"/>
        <v>70.833333333333343</v>
      </c>
      <c r="L137" s="5">
        <f t="shared" si="35"/>
        <v>0.21428571428571441</v>
      </c>
      <c r="M137" s="4">
        <f>4*(('01_WHOQOL_Items'!W137 + '01_WHOQOL_Items'!X137 + '01_WHOQOL_Items'!Y137)/3)</f>
        <v>9.3333333333333339</v>
      </c>
      <c r="N137" s="4">
        <f>4*(('01_WHOQOL_Items'!AW137 + '01_WHOQOL_Items'!AX137 + '01_WHOQOL_Items'!AY137)/3)</f>
        <v>13.333333333333334</v>
      </c>
      <c r="O137" s="4">
        <f t="shared" si="36"/>
        <v>33.333333333333336</v>
      </c>
      <c r="P137" s="4">
        <f t="shared" si="37"/>
        <v>58.333333333333336</v>
      </c>
      <c r="Q137" s="5">
        <f t="shared" si="38"/>
        <v>0.75</v>
      </c>
      <c r="R137" s="4">
        <f>4*(('01_WHOQOL_Items'!K137 + '01_WHOQOL_Items'!L137 + '01_WHOQOL_Items'!O137 + '01_WHOQOL_Items'!P137 + '01_WHOQOL_Items'!Q137 + '01_WHOQOL_Items'!Z137 + '01_WHOQOL_Items'!AA137 + '01_WHOQOL_Items'!AB137)/8)</f>
        <v>11</v>
      </c>
      <c r="S137" s="4">
        <f>4*(('01_WHOQOL_Items'!AK137 + '01_WHOQOL_Items'!AL137 + '01_WHOQOL_Items'!AO137 + '01_WHOQOL_Items'!AP137 + '01_WHOQOL_Items'!AQ137 + '01_WHOQOL_Items'!AZ137 + '01_WHOQOL_Items'!BA137 + '01_WHOQOL_Items'!BB137)/8)</f>
        <v>15</v>
      </c>
      <c r="T137" s="4">
        <f t="shared" si="39"/>
        <v>43.75</v>
      </c>
      <c r="U137" s="4">
        <f t="shared" si="40"/>
        <v>68.75</v>
      </c>
      <c r="V137" s="5">
        <f t="shared" si="41"/>
        <v>0.5714285714285714</v>
      </c>
      <c r="W137" s="4">
        <f t="shared" si="42"/>
        <v>52.604166666666671</v>
      </c>
      <c r="X137" s="4">
        <f t="shared" si="43"/>
        <v>68.229166666666671</v>
      </c>
      <c r="Y137" s="5">
        <f t="shared" si="44"/>
        <v>0.29702970297029702</v>
      </c>
      <c r="Z137" s="1">
        <f>'01_WHOQOL_Items'!D137</f>
        <v>3</v>
      </c>
      <c r="AA137" s="1">
        <f>'01_WHOQOL_Items'!AD137</f>
        <v>5</v>
      </c>
      <c r="AB137" s="1">
        <f>'01_WHOQOL_Items'!E137</f>
        <v>4</v>
      </c>
      <c r="AC137" s="1">
        <f>'01_WHOQOL_Items'!AE137</f>
        <v>4</v>
      </c>
    </row>
    <row r="138" spans="1:29">
      <c r="A138" s="1" t="str">
        <f>'01_WHOQOL_Items'!A138</f>
        <v>EXP-137</v>
      </c>
      <c r="B138" s="1" t="str">
        <f>'01_WHOQOL_Items'!B138</f>
        <v>Experimental</v>
      </c>
      <c r="C138" s="4">
        <f>4*(((6-'01_WHOQOL_Items'!F138) + (6-'01_WHOQOL_Items'!G138) + '01_WHOQOL_Items'!M138 + '01_WHOQOL_Items'!R138 + '01_WHOQOL_Items'!S138 + '01_WHOQOL_Items'!T138 + '01_WHOQOL_Items'!U138)/7)</f>
        <v>10.285714285714286</v>
      </c>
      <c r="D138" s="4">
        <f>4*(((6-'01_WHOQOL_Items'!AF138) + (6-'01_WHOQOL_Items'!AG138) + '01_WHOQOL_Items'!AM138 + '01_WHOQOL_Items'!AR138 + '01_WHOQOL_Items'!AS138 + '01_WHOQOL_Items'!AT138 + '01_WHOQOL_Items'!AU138)/7)</f>
        <v>13.142857142857142</v>
      </c>
      <c r="E138" s="4">
        <f t="shared" si="30"/>
        <v>39.285714285714292</v>
      </c>
      <c r="F138" s="4">
        <f t="shared" si="31"/>
        <v>57.142857142857139</v>
      </c>
      <c r="G138" s="5">
        <f t="shared" si="32"/>
        <v>0.4545454545454542</v>
      </c>
      <c r="H138" s="4">
        <f>4*(('01_WHOQOL_Items'!H138 + '01_WHOQOL_Items'!I138 + '01_WHOQOL_Items'!J138 + '01_WHOQOL_Items'!N138 + '01_WHOQOL_Items'!V138 + (6-'01_WHOQOL_Items'!AC138))/6)</f>
        <v>12</v>
      </c>
      <c r="I138" s="4">
        <f>4*(('01_WHOQOL_Items'!AH138 + '01_WHOQOL_Items'!AI138 + '01_WHOQOL_Items'!AJ138 + '01_WHOQOL_Items'!AN138 + '01_WHOQOL_Items'!AV138 + (6-'01_WHOQOL_Items'!BC138))/6)</f>
        <v>14.666666666666666</v>
      </c>
      <c r="J138" s="4">
        <f t="shared" si="33"/>
        <v>50</v>
      </c>
      <c r="K138" s="4">
        <f t="shared" si="34"/>
        <v>66.666666666666657</v>
      </c>
      <c r="L138" s="5">
        <f t="shared" si="35"/>
        <v>0.33333333333333315</v>
      </c>
      <c r="M138" s="4">
        <f>4*(('01_WHOQOL_Items'!W138 + '01_WHOQOL_Items'!X138 + '01_WHOQOL_Items'!Y138)/3)</f>
        <v>9.3333333333333339</v>
      </c>
      <c r="N138" s="4">
        <f>4*(('01_WHOQOL_Items'!AW138 + '01_WHOQOL_Items'!AX138 + '01_WHOQOL_Items'!AY138)/3)</f>
        <v>13.333333333333334</v>
      </c>
      <c r="O138" s="4">
        <f t="shared" si="36"/>
        <v>33.333333333333336</v>
      </c>
      <c r="P138" s="4">
        <f t="shared" si="37"/>
        <v>58.333333333333336</v>
      </c>
      <c r="Q138" s="5">
        <f t="shared" si="38"/>
        <v>0.75</v>
      </c>
      <c r="R138" s="4">
        <f>4*(('01_WHOQOL_Items'!K138 + '01_WHOQOL_Items'!L138 + '01_WHOQOL_Items'!O138 + '01_WHOQOL_Items'!P138 + '01_WHOQOL_Items'!Q138 + '01_WHOQOL_Items'!Z138 + '01_WHOQOL_Items'!AA138 + '01_WHOQOL_Items'!AB138)/8)</f>
        <v>11.5</v>
      </c>
      <c r="S138" s="4">
        <f>4*(('01_WHOQOL_Items'!AK138 + '01_WHOQOL_Items'!AL138 + '01_WHOQOL_Items'!AO138 + '01_WHOQOL_Items'!AP138 + '01_WHOQOL_Items'!AQ138 + '01_WHOQOL_Items'!AZ138 + '01_WHOQOL_Items'!BA138 + '01_WHOQOL_Items'!BB138)/8)</f>
        <v>13.5</v>
      </c>
      <c r="T138" s="4">
        <f t="shared" si="39"/>
        <v>46.875</v>
      </c>
      <c r="U138" s="4">
        <f t="shared" si="40"/>
        <v>59.375</v>
      </c>
      <c r="V138" s="5">
        <f t="shared" si="41"/>
        <v>0.26666666666666666</v>
      </c>
      <c r="W138" s="4">
        <f t="shared" si="42"/>
        <v>42.373511904761905</v>
      </c>
      <c r="X138" s="4">
        <f t="shared" si="43"/>
        <v>60.379464285714285</v>
      </c>
      <c r="Y138" s="5">
        <f t="shared" si="44"/>
        <v>0.42493415276558383</v>
      </c>
      <c r="Z138" s="1">
        <f>'01_WHOQOL_Items'!D138</f>
        <v>3</v>
      </c>
      <c r="AA138" s="1">
        <f>'01_WHOQOL_Items'!AD138</f>
        <v>3</v>
      </c>
      <c r="AB138" s="1">
        <f>'01_WHOQOL_Items'!E138</f>
        <v>3</v>
      </c>
      <c r="AC138" s="1">
        <f>'01_WHOQOL_Items'!AE138</f>
        <v>3</v>
      </c>
    </row>
    <row r="139" spans="1:29">
      <c r="A139" s="1" t="str">
        <f>'01_WHOQOL_Items'!A139</f>
        <v>EXP-138</v>
      </c>
      <c r="B139" s="1" t="str">
        <f>'01_WHOQOL_Items'!B139</f>
        <v>Experimental</v>
      </c>
      <c r="C139" s="4">
        <f>4*(((6-'01_WHOQOL_Items'!F139) + (6-'01_WHOQOL_Items'!G139) + '01_WHOQOL_Items'!M139 + '01_WHOQOL_Items'!R139 + '01_WHOQOL_Items'!S139 + '01_WHOQOL_Items'!T139 + '01_WHOQOL_Items'!U139)/7)</f>
        <v>11.428571428571429</v>
      </c>
      <c r="D139" s="4">
        <f>4*(((6-'01_WHOQOL_Items'!AF139) + (6-'01_WHOQOL_Items'!AG139) + '01_WHOQOL_Items'!AM139 + '01_WHOQOL_Items'!AR139 + '01_WHOQOL_Items'!AS139 + '01_WHOQOL_Items'!AT139 + '01_WHOQOL_Items'!AU139)/7)</f>
        <v>15.428571428571429</v>
      </c>
      <c r="E139" s="4">
        <f t="shared" si="30"/>
        <v>46.428571428571431</v>
      </c>
      <c r="F139" s="4">
        <f t="shared" si="31"/>
        <v>71.428571428571431</v>
      </c>
      <c r="G139" s="5">
        <f t="shared" si="32"/>
        <v>0.53846153846153844</v>
      </c>
      <c r="H139" s="4">
        <f>4*(('01_WHOQOL_Items'!H139 + '01_WHOQOL_Items'!I139 + '01_WHOQOL_Items'!J139 + '01_WHOQOL_Items'!N139 + '01_WHOQOL_Items'!V139 + (6-'01_WHOQOL_Items'!AC139))/6)</f>
        <v>13.333333333333334</v>
      </c>
      <c r="I139" s="4">
        <f>4*(('01_WHOQOL_Items'!AH139 + '01_WHOQOL_Items'!AI139 + '01_WHOQOL_Items'!AJ139 + '01_WHOQOL_Items'!AN139 + '01_WHOQOL_Items'!AV139 + (6-'01_WHOQOL_Items'!BC139))/6)</f>
        <v>16.666666666666668</v>
      </c>
      <c r="J139" s="4">
        <f t="shared" si="33"/>
        <v>58.333333333333336</v>
      </c>
      <c r="K139" s="4">
        <f t="shared" si="34"/>
        <v>79.166666666666671</v>
      </c>
      <c r="L139" s="5">
        <f t="shared" si="35"/>
        <v>0.35714285714285715</v>
      </c>
      <c r="M139" s="4">
        <f>4*(('01_WHOQOL_Items'!W139 + '01_WHOQOL_Items'!X139 + '01_WHOQOL_Items'!Y139)/3)</f>
        <v>12</v>
      </c>
      <c r="N139" s="4">
        <f>4*(('01_WHOQOL_Items'!AW139 + '01_WHOQOL_Items'!AX139 + '01_WHOQOL_Items'!AY139)/3)</f>
        <v>17.333333333333332</v>
      </c>
      <c r="O139" s="4">
        <f t="shared" si="36"/>
        <v>50</v>
      </c>
      <c r="P139" s="4">
        <f t="shared" si="37"/>
        <v>83.333333333333329</v>
      </c>
      <c r="Q139" s="5">
        <f t="shared" si="38"/>
        <v>0.66666666666666652</v>
      </c>
      <c r="R139" s="4">
        <f>4*(('01_WHOQOL_Items'!K139 + '01_WHOQOL_Items'!L139 + '01_WHOQOL_Items'!O139 + '01_WHOQOL_Items'!P139 + '01_WHOQOL_Items'!Q139 + '01_WHOQOL_Items'!Z139 + '01_WHOQOL_Items'!AA139 + '01_WHOQOL_Items'!AB139)/8)</f>
        <v>11.5</v>
      </c>
      <c r="S139" s="4">
        <f>4*(('01_WHOQOL_Items'!AK139 + '01_WHOQOL_Items'!AL139 + '01_WHOQOL_Items'!AO139 + '01_WHOQOL_Items'!AP139 + '01_WHOQOL_Items'!AQ139 + '01_WHOQOL_Items'!AZ139 + '01_WHOQOL_Items'!BA139 + '01_WHOQOL_Items'!BB139)/8)</f>
        <v>13.5</v>
      </c>
      <c r="T139" s="4">
        <f t="shared" si="39"/>
        <v>46.875</v>
      </c>
      <c r="U139" s="4">
        <f t="shared" si="40"/>
        <v>59.375</v>
      </c>
      <c r="V139" s="5">
        <f t="shared" si="41"/>
        <v>0.26666666666666666</v>
      </c>
      <c r="W139" s="4">
        <f t="shared" si="42"/>
        <v>50.40922619047619</v>
      </c>
      <c r="X139" s="4">
        <f t="shared" si="43"/>
        <v>73.325892857142861</v>
      </c>
      <c r="Y139" s="5">
        <f t="shared" si="44"/>
        <v>0.45461254612546137</v>
      </c>
      <c r="Z139" s="1">
        <f>'01_WHOQOL_Items'!D139</f>
        <v>3</v>
      </c>
      <c r="AA139" s="1">
        <f>'01_WHOQOL_Items'!AD139</f>
        <v>4</v>
      </c>
      <c r="AB139" s="1">
        <f>'01_WHOQOL_Items'!E139</f>
        <v>3</v>
      </c>
      <c r="AC139" s="1">
        <f>'01_WHOQOL_Items'!AE139</f>
        <v>4</v>
      </c>
    </row>
    <row r="140" spans="1:29">
      <c r="A140" s="1" t="str">
        <f>'01_WHOQOL_Items'!A140</f>
        <v>EXP-139</v>
      </c>
      <c r="B140" s="1" t="str">
        <f>'01_WHOQOL_Items'!B140</f>
        <v>Experimental</v>
      </c>
      <c r="C140" s="4">
        <f>4*(((6-'01_WHOQOL_Items'!F140) + (6-'01_WHOQOL_Items'!G140) + '01_WHOQOL_Items'!M140 + '01_WHOQOL_Items'!R140 + '01_WHOQOL_Items'!S140 + '01_WHOQOL_Items'!T140 + '01_WHOQOL_Items'!U140)/7)</f>
        <v>12.571428571428571</v>
      </c>
      <c r="D140" s="4">
        <f>4*(((6-'01_WHOQOL_Items'!AF140) + (6-'01_WHOQOL_Items'!AG140) + '01_WHOQOL_Items'!AM140 + '01_WHOQOL_Items'!AR140 + '01_WHOQOL_Items'!AS140 + '01_WHOQOL_Items'!AT140 + '01_WHOQOL_Items'!AU140)/7)</f>
        <v>14.857142857142858</v>
      </c>
      <c r="E140" s="4">
        <f t="shared" si="30"/>
        <v>53.571428571428569</v>
      </c>
      <c r="F140" s="4">
        <f t="shared" si="31"/>
        <v>67.857142857142861</v>
      </c>
      <c r="G140" s="5">
        <f t="shared" si="32"/>
        <v>0.26666666666666677</v>
      </c>
      <c r="H140" s="4">
        <f>4*(('01_WHOQOL_Items'!H140 + '01_WHOQOL_Items'!I140 + '01_WHOQOL_Items'!J140 + '01_WHOQOL_Items'!N140 + '01_WHOQOL_Items'!V140 + (6-'01_WHOQOL_Items'!AC140))/6)</f>
        <v>10</v>
      </c>
      <c r="I140" s="4">
        <f>4*(('01_WHOQOL_Items'!AH140 + '01_WHOQOL_Items'!AI140 + '01_WHOQOL_Items'!AJ140 + '01_WHOQOL_Items'!AN140 + '01_WHOQOL_Items'!AV140 + (6-'01_WHOQOL_Items'!BC140))/6)</f>
        <v>12.666666666666666</v>
      </c>
      <c r="J140" s="4">
        <f t="shared" si="33"/>
        <v>37.5</v>
      </c>
      <c r="K140" s="4">
        <f t="shared" si="34"/>
        <v>54.166666666666664</v>
      </c>
      <c r="L140" s="5">
        <f t="shared" si="35"/>
        <v>0.44444444444444436</v>
      </c>
      <c r="M140" s="4">
        <f>4*(('01_WHOQOL_Items'!W140 + '01_WHOQOL_Items'!X140 + '01_WHOQOL_Items'!Y140)/3)</f>
        <v>8</v>
      </c>
      <c r="N140" s="4">
        <f>4*(('01_WHOQOL_Items'!AW140 + '01_WHOQOL_Items'!AX140 + '01_WHOQOL_Items'!AY140)/3)</f>
        <v>13.333333333333334</v>
      </c>
      <c r="O140" s="4">
        <f t="shared" si="36"/>
        <v>25</v>
      </c>
      <c r="P140" s="4">
        <f t="shared" si="37"/>
        <v>58.333333333333336</v>
      </c>
      <c r="Q140" s="5">
        <f t="shared" si="38"/>
        <v>1.3333333333333335</v>
      </c>
      <c r="R140" s="4">
        <f>4*(('01_WHOQOL_Items'!K140 + '01_WHOQOL_Items'!L140 + '01_WHOQOL_Items'!O140 + '01_WHOQOL_Items'!P140 + '01_WHOQOL_Items'!Q140 + '01_WHOQOL_Items'!Z140 + '01_WHOQOL_Items'!AA140 + '01_WHOQOL_Items'!AB140)/8)</f>
        <v>11</v>
      </c>
      <c r="S140" s="4">
        <f>4*(('01_WHOQOL_Items'!AK140 + '01_WHOQOL_Items'!AL140 + '01_WHOQOL_Items'!AO140 + '01_WHOQOL_Items'!AP140 + '01_WHOQOL_Items'!AQ140 + '01_WHOQOL_Items'!AZ140 + '01_WHOQOL_Items'!BA140 + '01_WHOQOL_Items'!BB140)/8)</f>
        <v>14.5</v>
      </c>
      <c r="T140" s="4">
        <f t="shared" si="39"/>
        <v>43.75</v>
      </c>
      <c r="U140" s="4">
        <f t="shared" si="40"/>
        <v>65.625</v>
      </c>
      <c r="V140" s="5">
        <f t="shared" si="41"/>
        <v>0.5</v>
      </c>
      <c r="W140" s="4">
        <f t="shared" si="42"/>
        <v>39.955357142857139</v>
      </c>
      <c r="X140" s="4">
        <f t="shared" si="43"/>
        <v>61.495535714285715</v>
      </c>
      <c r="Y140" s="5">
        <f t="shared" si="44"/>
        <v>0.53910614525139688</v>
      </c>
      <c r="Z140" s="1">
        <f>'01_WHOQOL_Items'!D140</f>
        <v>3</v>
      </c>
      <c r="AA140" s="1">
        <f>'01_WHOQOL_Items'!AD140</f>
        <v>3</v>
      </c>
      <c r="AB140" s="1">
        <f>'01_WHOQOL_Items'!E140</f>
        <v>3</v>
      </c>
      <c r="AC140" s="1">
        <f>'01_WHOQOL_Items'!AE140</f>
        <v>3</v>
      </c>
    </row>
    <row r="141" spans="1:29">
      <c r="A141" s="1" t="str">
        <f>'01_WHOQOL_Items'!A141</f>
        <v>EXP-140</v>
      </c>
      <c r="B141" s="1" t="str">
        <f>'01_WHOQOL_Items'!B141</f>
        <v>Experimental</v>
      </c>
      <c r="C141" s="4">
        <f>4*(((6-'01_WHOQOL_Items'!F141) + (6-'01_WHOQOL_Items'!G141) + '01_WHOQOL_Items'!M141 + '01_WHOQOL_Items'!R141 + '01_WHOQOL_Items'!S141 + '01_WHOQOL_Items'!T141 + '01_WHOQOL_Items'!U141)/7)</f>
        <v>11.428571428571429</v>
      </c>
      <c r="D141" s="4">
        <f>4*(((6-'01_WHOQOL_Items'!AF141) + (6-'01_WHOQOL_Items'!AG141) + '01_WHOQOL_Items'!AM141 + '01_WHOQOL_Items'!AR141 + '01_WHOQOL_Items'!AS141 + '01_WHOQOL_Items'!AT141 + '01_WHOQOL_Items'!AU141)/7)</f>
        <v>13.714285714285714</v>
      </c>
      <c r="E141" s="4">
        <f t="shared" si="30"/>
        <v>46.428571428571431</v>
      </c>
      <c r="F141" s="4">
        <f t="shared" si="31"/>
        <v>60.714285714285708</v>
      </c>
      <c r="G141" s="5">
        <f t="shared" si="32"/>
        <v>0.30769230769230749</v>
      </c>
      <c r="H141" s="4">
        <f>4*(('01_WHOQOL_Items'!H141 + '01_WHOQOL_Items'!I141 + '01_WHOQOL_Items'!J141 + '01_WHOQOL_Items'!N141 + '01_WHOQOL_Items'!V141 + (6-'01_WHOQOL_Items'!AC141))/6)</f>
        <v>10</v>
      </c>
      <c r="I141" s="4">
        <f>4*(('01_WHOQOL_Items'!AH141 + '01_WHOQOL_Items'!AI141 + '01_WHOQOL_Items'!AJ141 + '01_WHOQOL_Items'!AN141 + '01_WHOQOL_Items'!AV141 + (6-'01_WHOQOL_Items'!BC141))/6)</f>
        <v>14</v>
      </c>
      <c r="J141" s="4">
        <f t="shared" si="33"/>
        <v>37.5</v>
      </c>
      <c r="K141" s="4">
        <f t="shared" si="34"/>
        <v>62.5</v>
      </c>
      <c r="L141" s="5">
        <f t="shared" si="35"/>
        <v>0.66666666666666663</v>
      </c>
      <c r="M141" s="4">
        <f>4*(('01_WHOQOL_Items'!W141 + '01_WHOQOL_Items'!X141 + '01_WHOQOL_Items'!Y141)/3)</f>
        <v>13.333333333333334</v>
      </c>
      <c r="N141" s="4">
        <f>4*(('01_WHOQOL_Items'!AW141 + '01_WHOQOL_Items'!AX141 + '01_WHOQOL_Items'!AY141)/3)</f>
        <v>16</v>
      </c>
      <c r="O141" s="4">
        <f t="shared" si="36"/>
        <v>58.333333333333336</v>
      </c>
      <c r="P141" s="4">
        <f t="shared" si="37"/>
        <v>75</v>
      </c>
      <c r="Q141" s="5">
        <f t="shared" si="38"/>
        <v>0.28571428571428564</v>
      </c>
      <c r="R141" s="4">
        <f>4*(('01_WHOQOL_Items'!K141 + '01_WHOQOL_Items'!L141 + '01_WHOQOL_Items'!O141 + '01_WHOQOL_Items'!P141 + '01_WHOQOL_Items'!Q141 + '01_WHOQOL_Items'!Z141 + '01_WHOQOL_Items'!AA141 + '01_WHOQOL_Items'!AB141)/8)</f>
        <v>12.5</v>
      </c>
      <c r="S141" s="4">
        <f>4*(('01_WHOQOL_Items'!AK141 + '01_WHOQOL_Items'!AL141 + '01_WHOQOL_Items'!AO141 + '01_WHOQOL_Items'!AP141 + '01_WHOQOL_Items'!AQ141 + '01_WHOQOL_Items'!AZ141 + '01_WHOQOL_Items'!BA141 + '01_WHOQOL_Items'!BB141)/8)</f>
        <v>14</v>
      </c>
      <c r="T141" s="4">
        <f t="shared" si="39"/>
        <v>53.125</v>
      </c>
      <c r="U141" s="4">
        <f t="shared" si="40"/>
        <v>62.5</v>
      </c>
      <c r="V141" s="5">
        <f t="shared" si="41"/>
        <v>0.17647058823529413</v>
      </c>
      <c r="W141" s="4">
        <f t="shared" si="42"/>
        <v>48.84672619047619</v>
      </c>
      <c r="X141" s="4">
        <f t="shared" si="43"/>
        <v>65.178571428571431</v>
      </c>
      <c r="Y141" s="5">
        <f t="shared" si="44"/>
        <v>0.33434881949733442</v>
      </c>
      <c r="Z141" s="1">
        <f>'01_WHOQOL_Items'!D141</f>
        <v>3</v>
      </c>
      <c r="AA141" s="1">
        <f>'01_WHOQOL_Items'!AD141</f>
        <v>3</v>
      </c>
      <c r="AB141" s="1">
        <f>'01_WHOQOL_Items'!E141</f>
        <v>4</v>
      </c>
      <c r="AC141" s="1">
        <f>'01_WHOQOL_Items'!AE141</f>
        <v>3</v>
      </c>
    </row>
    <row r="142" spans="1:29">
      <c r="A142" s="1" t="str">
        <f>'01_WHOQOL_Items'!A142</f>
        <v>EXP-141</v>
      </c>
      <c r="B142" s="1" t="str">
        <f>'01_WHOQOL_Items'!B142</f>
        <v>Experimental</v>
      </c>
      <c r="C142" s="4">
        <f>4*(((6-'01_WHOQOL_Items'!F142) + (6-'01_WHOQOL_Items'!G142) + '01_WHOQOL_Items'!M142 + '01_WHOQOL_Items'!R142 + '01_WHOQOL_Items'!S142 + '01_WHOQOL_Items'!T142 + '01_WHOQOL_Items'!U142)/7)</f>
        <v>13.142857142857142</v>
      </c>
      <c r="D142" s="4">
        <f>4*(((6-'01_WHOQOL_Items'!AF142) + (6-'01_WHOQOL_Items'!AG142) + '01_WHOQOL_Items'!AM142 + '01_WHOQOL_Items'!AR142 + '01_WHOQOL_Items'!AS142 + '01_WHOQOL_Items'!AT142 + '01_WHOQOL_Items'!AU142)/7)</f>
        <v>17.714285714285715</v>
      </c>
      <c r="E142" s="4">
        <f t="shared" si="30"/>
        <v>57.142857142857139</v>
      </c>
      <c r="F142" s="4">
        <f t="shared" si="31"/>
        <v>85.714285714285722</v>
      </c>
      <c r="G142" s="5">
        <f t="shared" si="32"/>
        <v>0.50000000000000022</v>
      </c>
      <c r="H142" s="4">
        <f>4*(('01_WHOQOL_Items'!H142 + '01_WHOQOL_Items'!I142 + '01_WHOQOL_Items'!J142 + '01_WHOQOL_Items'!N142 + '01_WHOQOL_Items'!V142 + (6-'01_WHOQOL_Items'!AC142))/6)</f>
        <v>11.333333333333334</v>
      </c>
      <c r="I142" s="4">
        <f>4*(('01_WHOQOL_Items'!AH142 + '01_WHOQOL_Items'!AI142 + '01_WHOQOL_Items'!AJ142 + '01_WHOQOL_Items'!AN142 + '01_WHOQOL_Items'!AV142 + (6-'01_WHOQOL_Items'!BC142))/6)</f>
        <v>11.333333333333334</v>
      </c>
      <c r="J142" s="4">
        <f t="shared" si="33"/>
        <v>45.833333333333336</v>
      </c>
      <c r="K142" s="4">
        <f t="shared" si="34"/>
        <v>45.833333333333336</v>
      </c>
      <c r="L142" s="5">
        <f t="shared" si="35"/>
        <v>0</v>
      </c>
      <c r="M142" s="4">
        <f>4*(('01_WHOQOL_Items'!W142 + '01_WHOQOL_Items'!X142 + '01_WHOQOL_Items'!Y142)/3)</f>
        <v>12</v>
      </c>
      <c r="N142" s="4">
        <f>4*(('01_WHOQOL_Items'!AW142 + '01_WHOQOL_Items'!AX142 + '01_WHOQOL_Items'!AY142)/3)</f>
        <v>17.333333333333332</v>
      </c>
      <c r="O142" s="4">
        <f t="shared" si="36"/>
        <v>50</v>
      </c>
      <c r="P142" s="4">
        <f t="shared" si="37"/>
        <v>83.333333333333329</v>
      </c>
      <c r="Q142" s="5">
        <f t="shared" si="38"/>
        <v>0.66666666666666652</v>
      </c>
      <c r="R142" s="4">
        <f>4*(('01_WHOQOL_Items'!K142 + '01_WHOQOL_Items'!L142 + '01_WHOQOL_Items'!O142 + '01_WHOQOL_Items'!P142 + '01_WHOQOL_Items'!Q142 + '01_WHOQOL_Items'!Z142 + '01_WHOQOL_Items'!AA142 + '01_WHOQOL_Items'!AB142)/8)</f>
        <v>12</v>
      </c>
      <c r="S142" s="4">
        <f>4*(('01_WHOQOL_Items'!AK142 + '01_WHOQOL_Items'!AL142 + '01_WHOQOL_Items'!AO142 + '01_WHOQOL_Items'!AP142 + '01_WHOQOL_Items'!AQ142 + '01_WHOQOL_Items'!AZ142 + '01_WHOQOL_Items'!BA142 + '01_WHOQOL_Items'!BB142)/8)</f>
        <v>11.5</v>
      </c>
      <c r="T142" s="4">
        <f t="shared" si="39"/>
        <v>50</v>
      </c>
      <c r="U142" s="4">
        <f t="shared" si="40"/>
        <v>46.875</v>
      </c>
      <c r="V142" s="5">
        <f t="shared" si="41"/>
        <v>-6.25E-2</v>
      </c>
      <c r="W142" s="4">
        <f t="shared" si="42"/>
        <v>50.74404761904762</v>
      </c>
      <c r="X142" s="4">
        <f t="shared" si="43"/>
        <v>65.438988095238102</v>
      </c>
      <c r="Y142" s="5">
        <f t="shared" si="44"/>
        <v>0.28958944281524934</v>
      </c>
      <c r="Z142" s="1">
        <f>'01_WHOQOL_Items'!D142</f>
        <v>3</v>
      </c>
      <c r="AA142" s="1">
        <f>'01_WHOQOL_Items'!AD142</f>
        <v>3</v>
      </c>
      <c r="AB142" s="1">
        <f>'01_WHOQOL_Items'!E142</f>
        <v>4</v>
      </c>
      <c r="AC142" s="1">
        <f>'01_WHOQOL_Items'!AE142</f>
        <v>4</v>
      </c>
    </row>
    <row r="143" spans="1:29">
      <c r="A143" s="1" t="str">
        <f>'01_WHOQOL_Items'!A143</f>
        <v>EXP-142</v>
      </c>
      <c r="B143" s="1" t="str">
        <f>'01_WHOQOL_Items'!B143</f>
        <v>Experimental</v>
      </c>
      <c r="C143" s="4">
        <f>4*(((6-'01_WHOQOL_Items'!F143) + (6-'01_WHOQOL_Items'!G143) + '01_WHOQOL_Items'!M143 + '01_WHOQOL_Items'!R143 + '01_WHOQOL_Items'!S143 + '01_WHOQOL_Items'!T143 + '01_WHOQOL_Items'!U143)/7)</f>
        <v>14.285714285714286</v>
      </c>
      <c r="D143" s="4">
        <f>4*(((6-'01_WHOQOL_Items'!AF143) + (6-'01_WHOQOL_Items'!AG143) + '01_WHOQOL_Items'!AM143 + '01_WHOQOL_Items'!AR143 + '01_WHOQOL_Items'!AS143 + '01_WHOQOL_Items'!AT143 + '01_WHOQOL_Items'!AU143)/7)</f>
        <v>16.571428571428573</v>
      </c>
      <c r="E143" s="4">
        <f t="shared" si="30"/>
        <v>64.285714285714292</v>
      </c>
      <c r="F143" s="4">
        <f t="shared" si="31"/>
        <v>78.571428571428584</v>
      </c>
      <c r="G143" s="5">
        <f t="shared" si="32"/>
        <v>0.22222222222222229</v>
      </c>
      <c r="H143" s="4">
        <f>4*(('01_WHOQOL_Items'!H143 + '01_WHOQOL_Items'!I143 + '01_WHOQOL_Items'!J143 + '01_WHOQOL_Items'!N143 + '01_WHOQOL_Items'!V143 + (6-'01_WHOQOL_Items'!AC143))/6)</f>
        <v>10.666666666666666</v>
      </c>
      <c r="I143" s="4">
        <f>4*(('01_WHOQOL_Items'!AH143 + '01_WHOQOL_Items'!AI143 + '01_WHOQOL_Items'!AJ143 + '01_WHOQOL_Items'!AN143 + '01_WHOQOL_Items'!AV143 + (6-'01_WHOQOL_Items'!BC143))/6)</f>
        <v>10</v>
      </c>
      <c r="J143" s="4">
        <f t="shared" si="33"/>
        <v>41.666666666666664</v>
      </c>
      <c r="K143" s="4">
        <f t="shared" si="34"/>
        <v>37.5</v>
      </c>
      <c r="L143" s="5">
        <f t="shared" si="35"/>
        <v>-9.999999999999995E-2</v>
      </c>
      <c r="M143" s="4">
        <f>4*(('01_WHOQOL_Items'!W143 + '01_WHOQOL_Items'!X143 + '01_WHOQOL_Items'!Y143)/3)</f>
        <v>13.333333333333334</v>
      </c>
      <c r="N143" s="4">
        <f>4*(('01_WHOQOL_Items'!AW143 + '01_WHOQOL_Items'!AX143 + '01_WHOQOL_Items'!AY143)/3)</f>
        <v>13.333333333333334</v>
      </c>
      <c r="O143" s="4">
        <f t="shared" si="36"/>
        <v>58.333333333333336</v>
      </c>
      <c r="P143" s="4">
        <f t="shared" si="37"/>
        <v>58.333333333333336</v>
      </c>
      <c r="Q143" s="5">
        <f t="shared" si="38"/>
        <v>0</v>
      </c>
      <c r="R143" s="4">
        <f>4*(('01_WHOQOL_Items'!K143 + '01_WHOQOL_Items'!L143 + '01_WHOQOL_Items'!O143 + '01_WHOQOL_Items'!P143 + '01_WHOQOL_Items'!Q143 + '01_WHOQOL_Items'!Z143 + '01_WHOQOL_Items'!AA143 + '01_WHOQOL_Items'!AB143)/8)</f>
        <v>9.5</v>
      </c>
      <c r="S143" s="4">
        <f>4*(('01_WHOQOL_Items'!AK143 + '01_WHOQOL_Items'!AL143 + '01_WHOQOL_Items'!AO143 + '01_WHOQOL_Items'!AP143 + '01_WHOQOL_Items'!AQ143 + '01_WHOQOL_Items'!AZ143 + '01_WHOQOL_Items'!BA143 + '01_WHOQOL_Items'!BB143)/8)</f>
        <v>10</v>
      </c>
      <c r="T143" s="4">
        <f t="shared" si="39"/>
        <v>34.375</v>
      </c>
      <c r="U143" s="4">
        <f t="shared" si="40"/>
        <v>37.5</v>
      </c>
      <c r="V143" s="5">
        <f t="shared" si="41"/>
        <v>9.0909090909090912E-2</v>
      </c>
      <c r="W143" s="4">
        <f t="shared" si="42"/>
        <v>49.665178571428577</v>
      </c>
      <c r="X143" s="4">
        <f t="shared" si="43"/>
        <v>52.976190476190482</v>
      </c>
      <c r="Y143" s="5">
        <f t="shared" si="44"/>
        <v>6.6666666666666666E-2</v>
      </c>
      <c r="Z143" s="1">
        <f>'01_WHOQOL_Items'!D143</f>
        <v>3</v>
      </c>
      <c r="AA143" s="1">
        <f>'01_WHOQOL_Items'!AD143</f>
        <v>4</v>
      </c>
      <c r="AB143" s="1">
        <f>'01_WHOQOL_Items'!E143</f>
        <v>3</v>
      </c>
      <c r="AC143" s="1">
        <f>'01_WHOQOL_Items'!AE143</f>
        <v>4</v>
      </c>
    </row>
    <row r="144" spans="1:29">
      <c r="A144" s="1" t="str">
        <f>'01_WHOQOL_Items'!A144</f>
        <v>EXP-143</v>
      </c>
      <c r="B144" s="1" t="str">
        <f>'01_WHOQOL_Items'!B144</f>
        <v>Experimental</v>
      </c>
      <c r="C144" s="4">
        <f>4*(((6-'01_WHOQOL_Items'!F144) + (6-'01_WHOQOL_Items'!G144) + '01_WHOQOL_Items'!M144 + '01_WHOQOL_Items'!R144 + '01_WHOQOL_Items'!S144 + '01_WHOQOL_Items'!T144 + '01_WHOQOL_Items'!U144)/7)</f>
        <v>13.714285714285714</v>
      </c>
      <c r="D144" s="4">
        <f>4*(((6-'01_WHOQOL_Items'!AF144) + (6-'01_WHOQOL_Items'!AG144) + '01_WHOQOL_Items'!AM144 + '01_WHOQOL_Items'!AR144 + '01_WHOQOL_Items'!AS144 + '01_WHOQOL_Items'!AT144 + '01_WHOQOL_Items'!AU144)/7)</f>
        <v>11.428571428571429</v>
      </c>
      <c r="E144" s="4">
        <f t="shared" si="30"/>
        <v>60.714285714285708</v>
      </c>
      <c r="F144" s="4">
        <f t="shared" si="31"/>
        <v>46.428571428571431</v>
      </c>
      <c r="G144" s="5">
        <f t="shared" si="32"/>
        <v>-0.23529411764705871</v>
      </c>
      <c r="H144" s="4">
        <f>4*(('01_WHOQOL_Items'!H144 + '01_WHOQOL_Items'!I144 + '01_WHOQOL_Items'!J144 + '01_WHOQOL_Items'!N144 + '01_WHOQOL_Items'!V144 + (6-'01_WHOQOL_Items'!AC144))/6)</f>
        <v>14.666666666666666</v>
      </c>
      <c r="I144" s="4">
        <f>4*(('01_WHOQOL_Items'!AH144 + '01_WHOQOL_Items'!AI144 + '01_WHOQOL_Items'!AJ144 + '01_WHOQOL_Items'!AN144 + '01_WHOQOL_Items'!AV144 + (6-'01_WHOQOL_Items'!BC144))/6)</f>
        <v>12.666666666666666</v>
      </c>
      <c r="J144" s="4">
        <f t="shared" si="33"/>
        <v>66.666666666666657</v>
      </c>
      <c r="K144" s="4">
        <f t="shared" si="34"/>
        <v>54.166666666666664</v>
      </c>
      <c r="L144" s="5">
        <f t="shared" si="35"/>
        <v>-0.18749999999999992</v>
      </c>
      <c r="M144" s="4">
        <f>4*(('01_WHOQOL_Items'!W144 + '01_WHOQOL_Items'!X144 + '01_WHOQOL_Items'!Y144)/3)</f>
        <v>9.3333333333333339</v>
      </c>
      <c r="N144" s="4">
        <f>4*(('01_WHOQOL_Items'!AW144 + '01_WHOQOL_Items'!AX144 + '01_WHOQOL_Items'!AY144)/3)</f>
        <v>14.666666666666666</v>
      </c>
      <c r="O144" s="4">
        <f t="shared" si="36"/>
        <v>33.333333333333336</v>
      </c>
      <c r="P144" s="4">
        <f t="shared" si="37"/>
        <v>66.666666666666657</v>
      </c>
      <c r="Q144" s="5">
        <f t="shared" si="38"/>
        <v>0.99999999999999956</v>
      </c>
      <c r="R144" s="4">
        <f>4*(('01_WHOQOL_Items'!K144 + '01_WHOQOL_Items'!L144 + '01_WHOQOL_Items'!O144 + '01_WHOQOL_Items'!P144 + '01_WHOQOL_Items'!Q144 + '01_WHOQOL_Items'!Z144 + '01_WHOQOL_Items'!AA144 + '01_WHOQOL_Items'!AB144)/8)</f>
        <v>10.5</v>
      </c>
      <c r="S144" s="4">
        <f>4*(('01_WHOQOL_Items'!AK144 + '01_WHOQOL_Items'!AL144 + '01_WHOQOL_Items'!AO144 + '01_WHOQOL_Items'!AP144 + '01_WHOQOL_Items'!AQ144 + '01_WHOQOL_Items'!AZ144 + '01_WHOQOL_Items'!BA144 + '01_WHOQOL_Items'!BB144)/8)</f>
        <v>12</v>
      </c>
      <c r="T144" s="4">
        <f t="shared" si="39"/>
        <v>40.625</v>
      </c>
      <c r="U144" s="4">
        <f t="shared" si="40"/>
        <v>50</v>
      </c>
      <c r="V144" s="5">
        <f t="shared" si="41"/>
        <v>0.23076923076923078</v>
      </c>
      <c r="W144" s="4">
        <f t="shared" si="42"/>
        <v>50.334821428571423</v>
      </c>
      <c r="X144" s="4">
        <f t="shared" si="43"/>
        <v>54.31547619047619</v>
      </c>
      <c r="Y144" s="5">
        <f t="shared" si="44"/>
        <v>7.9083518107908451E-2</v>
      </c>
      <c r="Z144" s="1">
        <f>'01_WHOQOL_Items'!D144</f>
        <v>3</v>
      </c>
      <c r="AA144" s="1">
        <f>'01_WHOQOL_Items'!AD144</f>
        <v>3</v>
      </c>
      <c r="AB144" s="1">
        <f>'01_WHOQOL_Items'!E144</f>
        <v>3</v>
      </c>
      <c r="AC144" s="1">
        <f>'01_WHOQOL_Items'!AE144</f>
        <v>3</v>
      </c>
    </row>
    <row r="145" spans="1:29">
      <c r="A145" s="1" t="str">
        <f>'01_WHOQOL_Items'!A145</f>
        <v>EXP-144</v>
      </c>
      <c r="B145" s="1" t="str">
        <f>'01_WHOQOL_Items'!B145</f>
        <v>Experimental</v>
      </c>
      <c r="C145" s="4">
        <f>4*(((6-'01_WHOQOL_Items'!F145) + (6-'01_WHOQOL_Items'!G145) + '01_WHOQOL_Items'!M145 + '01_WHOQOL_Items'!R145 + '01_WHOQOL_Items'!S145 + '01_WHOQOL_Items'!T145 + '01_WHOQOL_Items'!U145)/7)</f>
        <v>13.142857142857142</v>
      </c>
      <c r="D145" s="4">
        <f>4*(((6-'01_WHOQOL_Items'!AF145) + (6-'01_WHOQOL_Items'!AG145) + '01_WHOQOL_Items'!AM145 + '01_WHOQOL_Items'!AR145 + '01_WHOQOL_Items'!AS145 + '01_WHOQOL_Items'!AT145 + '01_WHOQOL_Items'!AU145)/7)</f>
        <v>14.285714285714286</v>
      </c>
      <c r="E145" s="4">
        <f t="shared" si="30"/>
        <v>57.142857142857139</v>
      </c>
      <c r="F145" s="4">
        <f t="shared" si="31"/>
        <v>64.285714285714292</v>
      </c>
      <c r="G145" s="5">
        <f t="shared" si="32"/>
        <v>0.12500000000000019</v>
      </c>
      <c r="H145" s="4">
        <f>4*(('01_WHOQOL_Items'!H145 + '01_WHOQOL_Items'!I145 + '01_WHOQOL_Items'!J145 + '01_WHOQOL_Items'!N145 + '01_WHOQOL_Items'!V145 + (6-'01_WHOQOL_Items'!AC145))/6)</f>
        <v>18.666666666666668</v>
      </c>
      <c r="I145" s="4">
        <f>4*(('01_WHOQOL_Items'!AH145 + '01_WHOQOL_Items'!AI145 + '01_WHOQOL_Items'!AJ145 + '01_WHOQOL_Items'!AN145 + '01_WHOQOL_Items'!AV145 + (6-'01_WHOQOL_Items'!BC145))/6)</f>
        <v>16.666666666666668</v>
      </c>
      <c r="J145" s="4">
        <f t="shared" si="33"/>
        <v>91.666666666666671</v>
      </c>
      <c r="K145" s="4">
        <f t="shared" si="34"/>
        <v>79.166666666666671</v>
      </c>
      <c r="L145" s="5">
        <f t="shared" si="35"/>
        <v>-0.13636363636363635</v>
      </c>
      <c r="M145" s="4">
        <f>4*(('01_WHOQOL_Items'!W145 + '01_WHOQOL_Items'!X145 + '01_WHOQOL_Items'!Y145)/3)</f>
        <v>14.666666666666666</v>
      </c>
      <c r="N145" s="4">
        <f>4*(('01_WHOQOL_Items'!AW145 + '01_WHOQOL_Items'!AX145 + '01_WHOQOL_Items'!AY145)/3)</f>
        <v>18.666666666666668</v>
      </c>
      <c r="O145" s="4">
        <f t="shared" si="36"/>
        <v>66.666666666666657</v>
      </c>
      <c r="P145" s="4">
        <f t="shared" si="37"/>
        <v>91.666666666666671</v>
      </c>
      <c r="Q145" s="5">
        <f t="shared" si="38"/>
        <v>0.37500000000000028</v>
      </c>
      <c r="R145" s="4">
        <f>4*(('01_WHOQOL_Items'!K145 + '01_WHOQOL_Items'!L145 + '01_WHOQOL_Items'!O145 + '01_WHOQOL_Items'!P145 + '01_WHOQOL_Items'!Q145 + '01_WHOQOL_Items'!Z145 + '01_WHOQOL_Items'!AA145 + '01_WHOQOL_Items'!AB145)/8)</f>
        <v>11</v>
      </c>
      <c r="S145" s="4">
        <f>4*(('01_WHOQOL_Items'!AK145 + '01_WHOQOL_Items'!AL145 + '01_WHOQOL_Items'!AO145 + '01_WHOQOL_Items'!AP145 + '01_WHOQOL_Items'!AQ145 + '01_WHOQOL_Items'!AZ145 + '01_WHOQOL_Items'!BA145 + '01_WHOQOL_Items'!BB145)/8)</f>
        <v>11</v>
      </c>
      <c r="T145" s="4">
        <f t="shared" si="39"/>
        <v>43.75</v>
      </c>
      <c r="U145" s="4">
        <f t="shared" si="40"/>
        <v>43.75</v>
      </c>
      <c r="V145" s="5">
        <f t="shared" si="41"/>
        <v>0</v>
      </c>
      <c r="W145" s="4">
        <f t="shared" si="42"/>
        <v>64.80654761904762</v>
      </c>
      <c r="X145" s="4">
        <f t="shared" si="43"/>
        <v>69.717261904761912</v>
      </c>
      <c r="Y145" s="5">
        <f t="shared" si="44"/>
        <v>7.5774971297359453E-2</v>
      </c>
      <c r="Z145" s="1">
        <f>'01_WHOQOL_Items'!D145</f>
        <v>3</v>
      </c>
      <c r="AA145" s="1">
        <f>'01_WHOQOL_Items'!AD145</f>
        <v>4</v>
      </c>
      <c r="AB145" s="1">
        <f>'01_WHOQOL_Items'!E145</f>
        <v>3</v>
      </c>
      <c r="AC145" s="1">
        <f>'01_WHOQOL_Items'!AE145</f>
        <v>4</v>
      </c>
    </row>
    <row r="146" spans="1:29">
      <c r="A146" s="1" t="str">
        <f>'01_WHOQOL_Items'!A146</f>
        <v>EXP-145</v>
      </c>
      <c r="B146" s="1" t="str">
        <f>'01_WHOQOL_Items'!B146</f>
        <v>Experimental</v>
      </c>
      <c r="C146" s="4">
        <f>4*(((6-'01_WHOQOL_Items'!F146) + (6-'01_WHOQOL_Items'!G146) + '01_WHOQOL_Items'!M146 + '01_WHOQOL_Items'!R146 + '01_WHOQOL_Items'!S146 + '01_WHOQOL_Items'!T146 + '01_WHOQOL_Items'!U146)/7)</f>
        <v>14.857142857142858</v>
      </c>
      <c r="D146" s="4">
        <f>4*(((6-'01_WHOQOL_Items'!AF146) + (6-'01_WHOQOL_Items'!AG146) + '01_WHOQOL_Items'!AM146 + '01_WHOQOL_Items'!AR146 + '01_WHOQOL_Items'!AS146 + '01_WHOQOL_Items'!AT146 + '01_WHOQOL_Items'!AU146)/7)</f>
        <v>16.571428571428573</v>
      </c>
      <c r="E146" s="4">
        <f t="shared" si="30"/>
        <v>67.857142857142861</v>
      </c>
      <c r="F146" s="4">
        <f t="shared" si="31"/>
        <v>78.571428571428584</v>
      </c>
      <c r="G146" s="5">
        <f t="shared" si="32"/>
        <v>0.15789473684210537</v>
      </c>
      <c r="H146" s="4">
        <f>4*(('01_WHOQOL_Items'!H146 + '01_WHOQOL_Items'!I146 + '01_WHOQOL_Items'!J146 + '01_WHOQOL_Items'!N146 + '01_WHOQOL_Items'!V146 + (6-'01_WHOQOL_Items'!AC146))/6)</f>
        <v>14.666666666666666</v>
      </c>
      <c r="I146" s="4">
        <f>4*(('01_WHOQOL_Items'!AH146 + '01_WHOQOL_Items'!AI146 + '01_WHOQOL_Items'!AJ146 + '01_WHOQOL_Items'!AN146 + '01_WHOQOL_Items'!AV146 + (6-'01_WHOQOL_Items'!BC146))/6)</f>
        <v>17.333333333333332</v>
      </c>
      <c r="J146" s="4">
        <f t="shared" si="33"/>
        <v>66.666666666666657</v>
      </c>
      <c r="K146" s="4">
        <f t="shared" si="34"/>
        <v>83.333333333333329</v>
      </c>
      <c r="L146" s="5">
        <f t="shared" si="35"/>
        <v>0.25000000000000011</v>
      </c>
      <c r="M146" s="4">
        <f>4*(('01_WHOQOL_Items'!W146 + '01_WHOQOL_Items'!X146 + '01_WHOQOL_Items'!Y146)/3)</f>
        <v>8</v>
      </c>
      <c r="N146" s="4">
        <f>4*(('01_WHOQOL_Items'!AW146 + '01_WHOQOL_Items'!AX146 + '01_WHOQOL_Items'!AY146)/3)</f>
        <v>13.333333333333334</v>
      </c>
      <c r="O146" s="4">
        <f t="shared" si="36"/>
        <v>25</v>
      </c>
      <c r="P146" s="4">
        <f t="shared" si="37"/>
        <v>58.333333333333336</v>
      </c>
      <c r="Q146" s="5">
        <f t="shared" si="38"/>
        <v>1.3333333333333335</v>
      </c>
      <c r="R146" s="4">
        <f>4*(('01_WHOQOL_Items'!K146 + '01_WHOQOL_Items'!L146 + '01_WHOQOL_Items'!O146 + '01_WHOQOL_Items'!P146 + '01_WHOQOL_Items'!Q146 + '01_WHOQOL_Items'!Z146 + '01_WHOQOL_Items'!AA146 + '01_WHOQOL_Items'!AB146)/8)</f>
        <v>11.5</v>
      </c>
      <c r="S146" s="4">
        <f>4*(('01_WHOQOL_Items'!AK146 + '01_WHOQOL_Items'!AL146 + '01_WHOQOL_Items'!AO146 + '01_WHOQOL_Items'!AP146 + '01_WHOQOL_Items'!AQ146 + '01_WHOQOL_Items'!AZ146 + '01_WHOQOL_Items'!BA146 + '01_WHOQOL_Items'!BB146)/8)</f>
        <v>11</v>
      </c>
      <c r="T146" s="4">
        <f t="shared" si="39"/>
        <v>46.875</v>
      </c>
      <c r="U146" s="4">
        <f t="shared" si="40"/>
        <v>43.75</v>
      </c>
      <c r="V146" s="5">
        <f t="shared" si="41"/>
        <v>-6.6666666666666666E-2</v>
      </c>
      <c r="W146" s="4">
        <f t="shared" si="42"/>
        <v>51.59970238095238</v>
      </c>
      <c r="X146" s="4">
        <f t="shared" si="43"/>
        <v>65.997023809523824</v>
      </c>
      <c r="Y146" s="5">
        <f t="shared" si="44"/>
        <v>0.27901946647440551</v>
      </c>
      <c r="Z146" s="1">
        <f>'01_WHOQOL_Items'!D146</f>
        <v>2</v>
      </c>
      <c r="AA146" s="1">
        <f>'01_WHOQOL_Items'!AD146</f>
        <v>4</v>
      </c>
      <c r="AB146" s="1">
        <f>'01_WHOQOL_Items'!E146</f>
        <v>4</v>
      </c>
      <c r="AC146" s="1">
        <f>'01_WHOQOL_Items'!AE146</f>
        <v>4</v>
      </c>
    </row>
    <row r="147" spans="1:29">
      <c r="A147" s="1" t="str">
        <f>'01_WHOQOL_Items'!A147</f>
        <v>EXP-146</v>
      </c>
      <c r="B147" s="1" t="str">
        <f>'01_WHOQOL_Items'!B147</f>
        <v>Experimental</v>
      </c>
      <c r="C147" s="4">
        <f>4*(((6-'01_WHOQOL_Items'!F147) + (6-'01_WHOQOL_Items'!G147) + '01_WHOQOL_Items'!M147 + '01_WHOQOL_Items'!R147 + '01_WHOQOL_Items'!S147 + '01_WHOQOL_Items'!T147 + '01_WHOQOL_Items'!U147)/7)</f>
        <v>14.285714285714286</v>
      </c>
      <c r="D147" s="4">
        <f>4*(((6-'01_WHOQOL_Items'!AF147) + (6-'01_WHOQOL_Items'!AG147) + '01_WHOQOL_Items'!AM147 + '01_WHOQOL_Items'!AR147 + '01_WHOQOL_Items'!AS147 + '01_WHOQOL_Items'!AT147 + '01_WHOQOL_Items'!AU147)/7)</f>
        <v>14.857142857142858</v>
      </c>
      <c r="E147" s="4">
        <f t="shared" si="30"/>
        <v>64.285714285714292</v>
      </c>
      <c r="F147" s="4">
        <f t="shared" si="31"/>
        <v>67.857142857142861</v>
      </c>
      <c r="G147" s="5">
        <f t="shared" si="32"/>
        <v>5.5555555555555518E-2</v>
      </c>
      <c r="H147" s="4">
        <f>4*(('01_WHOQOL_Items'!H147 + '01_WHOQOL_Items'!I147 + '01_WHOQOL_Items'!J147 + '01_WHOQOL_Items'!N147 + '01_WHOQOL_Items'!V147 + (6-'01_WHOQOL_Items'!AC147))/6)</f>
        <v>11.333333333333334</v>
      </c>
      <c r="I147" s="4">
        <f>4*(('01_WHOQOL_Items'!AH147 + '01_WHOQOL_Items'!AI147 + '01_WHOQOL_Items'!AJ147 + '01_WHOQOL_Items'!AN147 + '01_WHOQOL_Items'!AV147 + (6-'01_WHOQOL_Items'!BC147))/6)</f>
        <v>12.666666666666666</v>
      </c>
      <c r="J147" s="4">
        <f t="shared" si="33"/>
        <v>45.833333333333336</v>
      </c>
      <c r="K147" s="4">
        <f t="shared" si="34"/>
        <v>54.166666666666664</v>
      </c>
      <c r="L147" s="5">
        <f t="shared" si="35"/>
        <v>0.18181818181818171</v>
      </c>
      <c r="M147" s="4">
        <f>4*(('01_WHOQOL_Items'!W147 + '01_WHOQOL_Items'!X147 + '01_WHOQOL_Items'!Y147)/3)</f>
        <v>10.666666666666666</v>
      </c>
      <c r="N147" s="4">
        <f>4*(('01_WHOQOL_Items'!AW147 + '01_WHOQOL_Items'!AX147 + '01_WHOQOL_Items'!AY147)/3)</f>
        <v>14.666666666666666</v>
      </c>
      <c r="O147" s="4">
        <f t="shared" si="36"/>
        <v>41.666666666666664</v>
      </c>
      <c r="P147" s="4">
        <f t="shared" si="37"/>
        <v>66.666666666666657</v>
      </c>
      <c r="Q147" s="5">
        <f t="shared" si="38"/>
        <v>0.59999999999999987</v>
      </c>
      <c r="R147" s="4">
        <f>4*(('01_WHOQOL_Items'!K147 + '01_WHOQOL_Items'!L147 + '01_WHOQOL_Items'!O147 + '01_WHOQOL_Items'!P147 + '01_WHOQOL_Items'!Q147 + '01_WHOQOL_Items'!Z147 + '01_WHOQOL_Items'!AA147 + '01_WHOQOL_Items'!AB147)/8)</f>
        <v>12</v>
      </c>
      <c r="S147" s="4">
        <f>4*(('01_WHOQOL_Items'!AK147 + '01_WHOQOL_Items'!AL147 + '01_WHOQOL_Items'!AO147 + '01_WHOQOL_Items'!AP147 + '01_WHOQOL_Items'!AQ147 + '01_WHOQOL_Items'!AZ147 + '01_WHOQOL_Items'!BA147 + '01_WHOQOL_Items'!BB147)/8)</f>
        <v>10.5</v>
      </c>
      <c r="T147" s="4">
        <f t="shared" si="39"/>
        <v>50</v>
      </c>
      <c r="U147" s="4">
        <f t="shared" si="40"/>
        <v>40.625</v>
      </c>
      <c r="V147" s="5">
        <f t="shared" si="41"/>
        <v>-0.1875</v>
      </c>
      <c r="W147" s="4">
        <f t="shared" si="42"/>
        <v>50.446428571428569</v>
      </c>
      <c r="X147" s="4">
        <f t="shared" si="43"/>
        <v>57.328869047619044</v>
      </c>
      <c r="Y147" s="5">
        <f t="shared" si="44"/>
        <v>0.13643067846607668</v>
      </c>
      <c r="Z147" s="1">
        <f>'01_WHOQOL_Items'!D147</f>
        <v>3</v>
      </c>
      <c r="AA147" s="1">
        <f>'01_WHOQOL_Items'!AD147</f>
        <v>4</v>
      </c>
      <c r="AB147" s="1">
        <f>'01_WHOQOL_Items'!E147</f>
        <v>4</v>
      </c>
      <c r="AC147" s="1">
        <f>'01_WHOQOL_Items'!AE147</f>
        <v>5</v>
      </c>
    </row>
    <row r="148" spans="1:29">
      <c r="A148" s="1" t="str">
        <f>'01_WHOQOL_Items'!A148</f>
        <v>EXP-147</v>
      </c>
      <c r="B148" s="1" t="str">
        <f>'01_WHOQOL_Items'!B148</f>
        <v>Experimental</v>
      </c>
      <c r="C148" s="4">
        <f>4*(((6-'01_WHOQOL_Items'!F148) + (6-'01_WHOQOL_Items'!G148) + '01_WHOQOL_Items'!M148 + '01_WHOQOL_Items'!R148 + '01_WHOQOL_Items'!S148 + '01_WHOQOL_Items'!T148 + '01_WHOQOL_Items'!U148)/7)</f>
        <v>13.142857142857142</v>
      </c>
      <c r="D148" s="4">
        <f>4*(((6-'01_WHOQOL_Items'!AF148) + (6-'01_WHOQOL_Items'!AG148) + '01_WHOQOL_Items'!AM148 + '01_WHOQOL_Items'!AR148 + '01_WHOQOL_Items'!AS148 + '01_WHOQOL_Items'!AT148 + '01_WHOQOL_Items'!AU148)/7)</f>
        <v>12.571428571428571</v>
      </c>
      <c r="E148" s="4">
        <f t="shared" si="30"/>
        <v>57.142857142857139</v>
      </c>
      <c r="F148" s="4">
        <f t="shared" si="31"/>
        <v>53.571428571428569</v>
      </c>
      <c r="G148" s="5">
        <f t="shared" si="32"/>
        <v>-6.2499999999999972E-2</v>
      </c>
      <c r="H148" s="4">
        <f>4*(('01_WHOQOL_Items'!H148 + '01_WHOQOL_Items'!I148 + '01_WHOQOL_Items'!J148 + '01_WHOQOL_Items'!N148 + '01_WHOQOL_Items'!V148 + (6-'01_WHOQOL_Items'!AC148))/6)</f>
        <v>9.3333333333333339</v>
      </c>
      <c r="I148" s="4">
        <f>4*(('01_WHOQOL_Items'!AH148 + '01_WHOQOL_Items'!AI148 + '01_WHOQOL_Items'!AJ148 + '01_WHOQOL_Items'!AN148 + '01_WHOQOL_Items'!AV148 + (6-'01_WHOQOL_Items'!BC148))/6)</f>
        <v>12.666666666666666</v>
      </c>
      <c r="J148" s="4">
        <f t="shared" si="33"/>
        <v>33.333333333333336</v>
      </c>
      <c r="K148" s="4">
        <f t="shared" si="34"/>
        <v>54.166666666666664</v>
      </c>
      <c r="L148" s="5">
        <f t="shared" si="35"/>
        <v>0.62499999999999978</v>
      </c>
      <c r="M148" s="4">
        <f>4*(('01_WHOQOL_Items'!W148 + '01_WHOQOL_Items'!X148 + '01_WHOQOL_Items'!Y148)/3)</f>
        <v>17.333333333333332</v>
      </c>
      <c r="N148" s="4">
        <f>4*(('01_WHOQOL_Items'!AW148 + '01_WHOQOL_Items'!AX148 + '01_WHOQOL_Items'!AY148)/3)</f>
        <v>17.333333333333332</v>
      </c>
      <c r="O148" s="4">
        <f t="shared" si="36"/>
        <v>83.333333333333329</v>
      </c>
      <c r="P148" s="4">
        <f t="shared" si="37"/>
        <v>83.333333333333329</v>
      </c>
      <c r="Q148" s="5">
        <f t="shared" si="38"/>
        <v>0</v>
      </c>
      <c r="R148" s="4">
        <f>4*(('01_WHOQOL_Items'!K148 + '01_WHOQOL_Items'!L148 + '01_WHOQOL_Items'!O148 + '01_WHOQOL_Items'!P148 + '01_WHOQOL_Items'!Q148 + '01_WHOQOL_Items'!Z148 + '01_WHOQOL_Items'!AA148 + '01_WHOQOL_Items'!AB148)/8)</f>
        <v>16</v>
      </c>
      <c r="S148" s="4">
        <f>4*(('01_WHOQOL_Items'!AK148 + '01_WHOQOL_Items'!AL148 + '01_WHOQOL_Items'!AO148 + '01_WHOQOL_Items'!AP148 + '01_WHOQOL_Items'!AQ148 + '01_WHOQOL_Items'!AZ148 + '01_WHOQOL_Items'!BA148 + '01_WHOQOL_Items'!BB148)/8)</f>
        <v>14</v>
      </c>
      <c r="T148" s="4">
        <f t="shared" si="39"/>
        <v>75</v>
      </c>
      <c r="U148" s="4">
        <f t="shared" si="40"/>
        <v>62.5</v>
      </c>
      <c r="V148" s="5">
        <f t="shared" si="41"/>
        <v>-0.16666666666666666</v>
      </c>
      <c r="W148" s="4">
        <f t="shared" si="42"/>
        <v>62.202380952380949</v>
      </c>
      <c r="X148" s="4">
        <f t="shared" si="43"/>
        <v>63.392857142857139</v>
      </c>
      <c r="Y148" s="5">
        <f t="shared" si="44"/>
        <v>1.9138755980861233E-2</v>
      </c>
      <c r="Z148" s="1">
        <f>'01_WHOQOL_Items'!D148</f>
        <v>4</v>
      </c>
      <c r="AA148" s="1">
        <f>'01_WHOQOL_Items'!AD148</f>
        <v>3</v>
      </c>
      <c r="AB148" s="1">
        <f>'01_WHOQOL_Items'!E148</f>
        <v>3</v>
      </c>
      <c r="AC148" s="1">
        <f>'01_WHOQOL_Items'!AE148</f>
        <v>4</v>
      </c>
    </row>
    <row r="149" spans="1:29">
      <c r="A149" s="1" t="str">
        <f>'01_WHOQOL_Items'!A149</f>
        <v>EXP-148</v>
      </c>
      <c r="B149" s="1" t="str">
        <f>'01_WHOQOL_Items'!B149</f>
        <v>Experimental</v>
      </c>
      <c r="C149" s="4">
        <f>4*(((6-'01_WHOQOL_Items'!F149) + (6-'01_WHOQOL_Items'!G149) + '01_WHOQOL_Items'!M149 + '01_WHOQOL_Items'!R149 + '01_WHOQOL_Items'!S149 + '01_WHOQOL_Items'!T149 + '01_WHOQOL_Items'!U149)/7)</f>
        <v>11.428571428571429</v>
      </c>
      <c r="D149" s="4">
        <f>4*(((6-'01_WHOQOL_Items'!AF149) + (6-'01_WHOQOL_Items'!AG149) + '01_WHOQOL_Items'!AM149 + '01_WHOQOL_Items'!AR149 + '01_WHOQOL_Items'!AS149 + '01_WHOQOL_Items'!AT149 + '01_WHOQOL_Items'!AU149)/7)</f>
        <v>11.428571428571429</v>
      </c>
      <c r="E149" s="4">
        <f t="shared" si="30"/>
        <v>46.428571428571431</v>
      </c>
      <c r="F149" s="4">
        <f t="shared" si="31"/>
        <v>46.428571428571431</v>
      </c>
      <c r="G149" s="5">
        <f t="shared" si="32"/>
        <v>0</v>
      </c>
      <c r="H149" s="4">
        <f>4*(('01_WHOQOL_Items'!H149 + '01_WHOQOL_Items'!I149 + '01_WHOQOL_Items'!J149 + '01_WHOQOL_Items'!N149 + '01_WHOQOL_Items'!V149 + (6-'01_WHOQOL_Items'!AC149))/6)</f>
        <v>12.666666666666666</v>
      </c>
      <c r="I149" s="4">
        <f>4*(('01_WHOQOL_Items'!AH149 + '01_WHOQOL_Items'!AI149 + '01_WHOQOL_Items'!AJ149 + '01_WHOQOL_Items'!AN149 + '01_WHOQOL_Items'!AV149 + (6-'01_WHOQOL_Items'!BC149))/6)</f>
        <v>15.333333333333334</v>
      </c>
      <c r="J149" s="4">
        <f t="shared" si="33"/>
        <v>54.166666666666664</v>
      </c>
      <c r="K149" s="4">
        <f t="shared" si="34"/>
        <v>70.833333333333343</v>
      </c>
      <c r="L149" s="5">
        <f t="shared" si="35"/>
        <v>0.30769230769230793</v>
      </c>
      <c r="M149" s="4">
        <f>4*(('01_WHOQOL_Items'!W149 + '01_WHOQOL_Items'!X149 + '01_WHOQOL_Items'!Y149)/3)</f>
        <v>13.333333333333334</v>
      </c>
      <c r="N149" s="4">
        <f>4*(('01_WHOQOL_Items'!AW149 + '01_WHOQOL_Items'!AX149 + '01_WHOQOL_Items'!AY149)/3)</f>
        <v>13.333333333333334</v>
      </c>
      <c r="O149" s="4">
        <f t="shared" si="36"/>
        <v>58.333333333333336</v>
      </c>
      <c r="P149" s="4">
        <f t="shared" si="37"/>
        <v>58.333333333333336</v>
      </c>
      <c r="Q149" s="5">
        <f t="shared" si="38"/>
        <v>0</v>
      </c>
      <c r="R149" s="4">
        <f>4*(('01_WHOQOL_Items'!K149 + '01_WHOQOL_Items'!L149 + '01_WHOQOL_Items'!O149 + '01_WHOQOL_Items'!P149 + '01_WHOQOL_Items'!Q149 + '01_WHOQOL_Items'!Z149 + '01_WHOQOL_Items'!AA149 + '01_WHOQOL_Items'!AB149)/8)</f>
        <v>12.5</v>
      </c>
      <c r="S149" s="4">
        <f>4*(('01_WHOQOL_Items'!AK149 + '01_WHOQOL_Items'!AL149 + '01_WHOQOL_Items'!AO149 + '01_WHOQOL_Items'!AP149 + '01_WHOQOL_Items'!AQ149 + '01_WHOQOL_Items'!AZ149 + '01_WHOQOL_Items'!BA149 + '01_WHOQOL_Items'!BB149)/8)</f>
        <v>14.5</v>
      </c>
      <c r="T149" s="4">
        <f t="shared" si="39"/>
        <v>53.125</v>
      </c>
      <c r="U149" s="4">
        <f t="shared" si="40"/>
        <v>65.625</v>
      </c>
      <c r="V149" s="5">
        <f t="shared" si="41"/>
        <v>0.23529411764705882</v>
      </c>
      <c r="W149" s="4">
        <f t="shared" si="42"/>
        <v>53.013392857142861</v>
      </c>
      <c r="X149" s="4">
        <f t="shared" si="43"/>
        <v>60.305059523809526</v>
      </c>
      <c r="Y149" s="5">
        <f t="shared" si="44"/>
        <v>0.13754385964912275</v>
      </c>
      <c r="Z149" s="1">
        <f>'01_WHOQOL_Items'!D149</f>
        <v>4</v>
      </c>
      <c r="AA149" s="1">
        <f>'01_WHOQOL_Items'!AD149</f>
        <v>3</v>
      </c>
      <c r="AB149" s="1">
        <f>'01_WHOQOL_Items'!E149</f>
        <v>4</v>
      </c>
      <c r="AC149" s="1">
        <f>'01_WHOQOL_Items'!AE149</f>
        <v>4</v>
      </c>
    </row>
    <row r="150" spans="1:29">
      <c r="A150" s="1" t="str">
        <f>'01_WHOQOL_Items'!A150</f>
        <v>EXP-149</v>
      </c>
      <c r="B150" s="1" t="str">
        <f>'01_WHOQOL_Items'!B150</f>
        <v>Experimental</v>
      </c>
      <c r="C150" s="4">
        <f>4*(((6-'01_WHOQOL_Items'!F150) + (6-'01_WHOQOL_Items'!G150) + '01_WHOQOL_Items'!M150 + '01_WHOQOL_Items'!R150 + '01_WHOQOL_Items'!S150 + '01_WHOQOL_Items'!T150 + '01_WHOQOL_Items'!U150)/7)</f>
        <v>11.428571428571429</v>
      </c>
      <c r="D150" s="4">
        <f>4*(((6-'01_WHOQOL_Items'!AF150) + (6-'01_WHOQOL_Items'!AG150) + '01_WHOQOL_Items'!AM150 + '01_WHOQOL_Items'!AR150 + '01_WHOQOL_Items'!AS150 + '01_WHOQOL_Items'!AT150 + '01_WHOQOL_Items'!AU150)/7)</f>
        <v>11.428571428571429</v>
      </c>
      <c r="E150" s="4">
        <f t="shared" si="30"/>
        <v>46.428571428571431</v>
      </c>
      <c r="F150" s="4">
        <f t="shared" si="31"/>
        <v>46.428571428571431</v>
      </c>
      <c r="G150" s="5">
        <f t="shared" si="32"/>
        <v>0</v>
      </c>
      <c r="H150" s="4">
        <f>4*(('01_WHOQOL_Items'!H150 + '01_WHOQOL_Items'!I150 + '01_WHOQOL_Items'!J150 + '01_WHOQOL_Items'!N150 + '01_WHOQOL_Items'!V150 + (6-'01_WHOQOL_Items'!AC150))/6)</f>
        <v>9.3333333333333339</v>
      </c>
      <c r="I150" s="4">
        <f>4*(('01_WHOQOL_Items'!AH150 + '01_WHOQOL_Items'!AI150 + '01_WHOQOL_Items'!AJ150 + '01_WHOQOL_Items'!AN150 + '01_WHOQOL_Items'!AV150 + (6-'01_WHOQOL_Items'!BC150))/6)</f>
        <v>10</v>
      </c>
      <c r="J150" s="4">
        <f t="shared" si="33"/>
        <v>33.333333333333336</v>
      </c>
      <c r="K150" s="4">
        <f t="shared" si="34"/>
        <v>37.5</v>
      </c>
      <c r="L150" s="5">
        <f t="shared" si="35"/>
        <v>0.12499999999999992</v>
      </c>
      <c r="M150" s="4">
        <f>4*(('01_WHOQOL_Items'!W150 + '01_WHOQOL_Items'!X150 + '01_WHOQOL_Items'!Y150)/3)</f>
        <v>10.666666666666666</v>
      </c>
      <c r="N150" s="4">
        <f>4*(('01_WHOQOL_Items'!AW150 + '01_WHOQOL_Items'!AX150 + '01_WHOQOL_Items'!AY150)/3)</f>
        <v>14.666666666666666</v>
      </c>
      <c r="O150" s="4">
        <f t="shared" si="36"/>
        <v>41.666666666666664</v>
      </c>
      <c r="P150" s="4">
        <f t="shared" si="37"/>
        <v>66.666666666666657</v>
      </c>
      <c r="Q150" s="5">
        <f t="shared" si="38"/>
        <v>0.59999999999999987</v>
      </c>
      <c r="R150" s="4">
        <f>4*(('01_WHOQOL_Items'!K150 + '01_WHOQOL_Items'!L150 + '01_WHOQOL_Items'!O150 + '01_WHOQOL_Items'!P150 + '01_WHOQOL_Items'!Q150 + '01_WHOQOL_Items'!Z150 + '01_WHOQOL_Items'!AA150 + '01_WHOQOL_Items'!AB150)/8)</f>
        <v>12</v>
      </c>
      <c r="S150" s="4">
        <f>4*(('01_WHOQOL_Items'!AK150 + '01_WHOQOL_Items'!AL150 + '01_WHOQOL_Items'!AO150 + '01_WHOQOL_Items'!AP150 + '01_WHOQOL_Items'!AQ150 + '01_WHOQOL_Items'!AZ150 + '01_WHOQOL_Items'!BA150 + '01_WHOQOL_Items'!BB150)/8)</f>
        <v>13.5</v>
      </c>
      <c r="T150" s="4">
        <f t="shared" si="39"/>
        <v>50</v>
      </c>
      <c r="U150" s="4">
        <f t="shared" si="40"/>
        <v>59.375</v>
      </c>
      <c r="V150" s="5">
        <f t="shared" si="41"/>
        <v>0.1875</v>
      </c>
      <c r="W150" s="4">
        <f t="shared" si="42"/>
        <v>42.857142857142854</v>
      </c>
      <c r="X150" s="4">
        <f t="shared" si="43"/>
        <v>52.492559523809518</v>
      </c>
      <c r="Y150" s="5">
        <f t="shared" si="44"/>
        <v>0.22482638888888884</v>
      </c>
      <c r="Z150" s="1">
        <f>'01_WHOQOL_Items'!D150</f>
        <v>2</v>
      </c>
      <c r="AA150" s="1">
        <f>'01_WHOQOL_Items'!AD150</f>
        <v>3</v>
      </c>
      <c r="AB150" s="1">
        <f>'01_WHOQOL_Items'!E150</f>
        <v>3</v>
      </c>
      <c r="AC150" s="1">
        <f>'01_WHOQOL_Items'!AE150</f>
        <v>4</v>
      </c>
    </row>
    <row r="151" spans="1:29">
      <c r="A151" s="1" t="str">
        <f>'01_WHOQOL_Items'!A151</f>
        <v>EXP-150</v>
      </c>
      <c r="B151" s="1" t="str">
        <f>'01_WHOQOL_Items'!B151</f>
        <v>Experimental</v>
      </c>
      <c r="C151" s="4">
        <f>4*(((6-'01_WHOQOL_Items'!F151) + (6-'01_WHOQOL_Items'!G151) + '01_WHOQOL_Items'!M151 + '01_WHOQOL_Items'!R151 + '01_WHOQOL_Items'!S151 + '01_WHOQOL_Items'!T151 + '01_WHOQOL_Items'!U151)/7)</f>
        <v>13.142857142857142</v>
      </c>
      <c r="D151" s="4">
        <f>4*(((6-'01_WHOQOL_Items'!AF151) + (6-'01_WHOQOL_Items'!AG151) + '01_WHOQOL_Items'!AM151 + '01_WHOQOL_Items'!AR151 + '01_WHOQOL_Items'!AS151 + '01_WHOQOL_Items'!AT151 + '01_WHOQOL_Items'!AU151)/7)</f>
        <v>13.142857142857142</v>
      </c>
      <c r="E151" s="4">
        <f t="shared" si="30"/>
        <v>57.142857142857139</v>
      </c>
      <c r="F151" s="4">
        <f t="shared" si="31"/>
        <v>57.142857142857139</v>
      </c>
      <c r="G151" s="5">
        <f t="shared" si="32"/>
        <v>0</v>
      </c>
      <c r="H151" s="4">
        <f>4*(('01_WHOQOL_Items'!H151 + '01_WHOQOL_Items'!I151 + '01_WHOQOL_Items'!J151 + '01_WHOQOL_Items'!N151 + '01_WHOQOL_Items'!V151 + (6-'01_WHOQOL_Items'!AC151))/6)</f>
        <v>11.333333333333334</v>
      </c>
      <c r="I151" s="4">
        <f>4*(('01_WHOQOL_Items'!AH151 + '01_WHOQOL_Items'!AI151 + '01_WHOQOL_Items'!AJ151 + '01_WHOQOL_Items'!AN151 + '01_WHOQOL_Items'!AV151 + (6-'01_WHOQOL_Items'!BC151))/6)</f>
        <v>15.333333333333334</v>
      </c>
      <c r="J151" s="4">
        <f t="shared" si="33"/>
        <v>45.833333333333336</v>
      </c>
      <c r="K151" s="4">
        <f t="shared" si="34"/>
        <v>70.833333333333343</v>
      </c>
      <c r="L151" s="5">
        <f t="shared" si="35"/>
        <v>0.54545454545454564</v>
      </c>
      <c r="M151" s="4">
        <f>4*(('01_WHOQOL_Items'!W151 + '01_WHOQOL_Items'!X151 + '01_WHOQOL_Items'!Y151)/3)</f>
        <v>12</v>
      </c>
      <c r="N151" s="4">
        <f>4*(('01_WHOQOL_Items'!AW151 + '01_WHOQOL_Items'!AX151 + '01_WHOQOL_Items'!AY151)/3)</f>
        <v>16</v>
      </c>
      <c r="O151" s="4">
        <f t="shared" si="36"/>
        <v>50</v>
      </c>
      <c r="P151" s="4">
        <f t="shared" si="37"/>
        <v>75</v>
      </c>
      <c r="Q151" s="5">
        <f t="shared" si="38"/>
        <v>0.5</v>
      </c>
      <c r="R151" s="4">
        <f>4*(('01_WHOQOL_Items'!K151 + '01_WHOQOL_Items'!L151 + '01_WHOQOL_Items'!O151 + '01_WHOQOL_Items'!P151 + '01_WHOQOL_Items'!Q151 + '01_WHOQOL_Items'!Z151 + '01_WHOQOL_Items'!AA151 + '01_WHOQOL_Items'!AB151)/8)</f>
        <v>10</v>
      </c>
      <c r="S151" s="4">
        <f>4*(('01_WHOQOL_Items'!AK151 + '01_WHOQOL_Items'!AL151 + '01_WHOQOL_Items'!AO151 + '01_WHOQOL_Items'!AP151 + '01_WHOQOL_Items'!AQ151 + '01_WHOQOL_Items'!AZ151 + '01_WHOQOL_Items'!BA151 + '01_WHOQOL_Items'!BB151)/8)</f>
        <v>14</v>
      </c>
      <c r="T151" s="4">
        <f t="shared" si="39"/>
        <v>37.5</v>
      </c>
      <c r="U151" s="4">
        <f t="shared" si="40"/>
        <v>62.5</v>
      </c>
      <c r="V151" s="5">
        <f t="shared" si="41"/>
        <v>0.66666666666666663</v>
      </c>
      <c r="W151" s="4">
        <f t="shared" si="42"/>
        <v>47.61904761904762</v>
      </c>
      <c r="X151" s="4">
        <f t="shared" si="43"/>
        <v>66.36904761904762</v>
      </c>
      <c r="Y151" s="5">
        <f t="shared" si="44"/>
        <v>0.39374999999999999</v>
      </c>
      <c r="Z151" s="1">
        <f>'01_WHOQOL_Items'!D151</f>
        <v>2</v>
      </c>
      <c r="AA151" s="1">
        <f>'01_WHOQOL_Items'!AD151</f>
        <v>4</v>
      </c>
      <c r="AB151" s="1">
        <f>'01_WHOQOL_Items'!E151</f>
        <v>3</v>
      </c>
      <c r="AC151" s="1">
        <f>'01_WHOQOL_Items'!AE151</f>
        <v>4</v>
      </c>
    </row>
    <row r="152" spans="1:29">
      <c r="A152" s="1" t="str">
        <f>'01_WHOQOL_Items'!A152</f>
        <v>EXP-151</v>
      </c>
      <c r="B152" s="1" t="str">
        <f>'01_WHOQOL_Items'!B152</f>
        <v>Experimental</v>
      </c>
      <c r="C152" s="4">
        <f>4*(((6-'01_WHOQOL_Items'!F152) + (6-'01_WHOQOL_Items'!G152) + '01_WHOQOL_Items'!M152 + '01_WHOQOL_Items'!R152 + '01_WHOQOL_Items'!S152 + '01_WHOQOL_Items'!T152 + '01_WHOQOL_Items'!U152)/7)</f>
        <v>12.571428571428571</v>
      </c>
      <c r="D152" s="4">
        <f>4*(((6-'01_WHOQOL_Items'!AF152) + (6-'01_WHOQOL_Items'!AG152) + '01_WHOQOL_Items'!AM152 + '01_WHOQOL_Items'!AR152 + '01_WHOQOL_Items'!AS152 + '01_WHOQOL_Items'!AT152 + '01_WHOQOL_Items'!AU152)/7)</f>
        <v>14.857142857142858</v>
      </c>
      <c r="E152" s="4">
        <f t="shared" si="30"/>
        <v>53.571428571428569</v>
      </c>
      <c r="F152" s="4">
        <f t="shared" si="31"/>
        <v>67.857142857142861</v>
      </c>
      <c r="G152" s="5">
        <f t="shared" si="32"/>
        <v>0.26666666666666677</v>
      </c>
      <c r="H152" s="4">
        <f>4*(('01_WHOQOL_Items'!H152 + '01_WHOQOL_Items'!I152 + '01_WHOQOL_Items'!J152 + '01_WHOQOL_Items'!N152 + '01_WHOQOL_Items'!V152 + (6-'01_WHOQOL_Items'!AC152))/6)</f>
        <v>8.6666666666666661</v>
      </c>
      <c r="I152" s="4">
        <f>4*(('01_WHOQOL_Items'!AH152 + '01_WHOQOL_Items'!AI152 + '01_WHOQOL_Items'!AJ152 + '01_WHOQOL_Items'!AN152 + '01_WHOQOL_Items'!AV152 + (6-'01_WHOQOL_Items'!BC152))/6)</f>
        <v>11.333333333333334</v>
      </c>
      <c r="J152" s="4">
        <f t="shared" si="33"/>
        <v>29.166666666666664</v>
      </c>
      <c r="K152" s="4">
        <f t="shared" si="34"/>
        <v>45.833333333333336</v>
      </c>
      <c r="L152" s="5">
        <f t="shared" si="35"/>
        <v>0.57142857142857162</v>
      </c>
      <c r="M152" s="4">
        <f>4*(('01_WHOQOL_Items'!W152 + '01_WHOQOL_Items'!X152 + '01_WHOQOL_Items'!Y152)/3)</f>
        <v>5.333333333333333</v>
      </c>
      <c r="N152" s="4">
        <f>4*(('01_WHOQOL_Items'!AW152 + '01_WHOQOL_Items'!AX152 + '01_WHOQOL_Items'!AY152)/3)</f>
        <v>13.333333333333334</v>
      </c>
      <c r="O152" s="4">
        <f t="shared" si="36"/>
        <v>8.3333333333333321</v>
      </c>
      <c r="P152" s="4">
        <f t="shared" si="37"/>
        <v>58.333333333333336</v>
      </c>
      <c r="Q152" s="5">
        <f t="shared" si="38"/>
        <v>6.0000000000000009</v>
      </c>
      <c r="R152" s="4">
        <f>4*(('01_WHOQOL_Items'!K152 + '01_WHOQOL_Items'!L152 + '01_WHOQOL_Items'!O152 + '01_WHOQOL_Items'!P152 + '01_WHOQOL_Items'!Q152 + '01_WHOQOL_Items'!Z152 + '01_WHOQOL_Items'!AA152 + '01_WHOQOL_Items'!AB152)/8)</f>
        <v>13</v>
      </c>
      <c r="S152" s="4">
        <f>4*(('01_WHOQOL_Items'!AK152 + '01_WHOQOL_Items'!AL152 + '01_WHOQOL_Items'!AO152 + '01_WHOQOL_Items'!AP152 + '01_WHOQOL_Items'!AQ152 + '01_WHOQOL_Items'!AZ152 + '01_WHOQOL_Items'!BA152 + '01_WHOQOL_Items'!BB152)/8)</f>
        <v>15.5</v>
      </c>
      <c r="T152" s="4">
        <f t="shared" si="39"/>
        <v>56.25</v>
      </c>
      <c r="U152" s="4">
        <f t="shared" si="40"/>
        <v>71.875</v>
      </c>
      <c r="V152" s="5">
        <f t="shared" si="41"/>
        <v>0.27777777777777779</v>
      </c>
      <c r="W152" s="4">
        <f t="shared" si="42"/>
        <v>36.830357142857139</v>
      </c>
      <c r="X152" s="4">
        <f t="shared" si="43"/>
        <v>60.974702380952387</v>
      </c>
      <c r="Y152" s="5">
        <f t="shared" si="44"/>
        <v>0.65555555555555589</v>
      </c>
      <c r="Z152" s="1">
        <f>'01_WHOQOL_Items'!D152</f>
        <v>2</v>
      </c>
      <c r="AA152" s="1">
        <f>'01_WHOQOL_Items'!AD152</f>
        <v>4</v>
      </c>
      <c r="AB152" s="1">
        <f>'01_WHOQOL_Items'!E152</f>
        <v>4</v>
      </c>
      <c r="AC152" s="1">
        <f>'01_WHOQOL_Items'!AE152</f>
        <v>4</v>
      </c>
    </row>
    <row r="153" spans="1:29">
      <c r="A153" s="1" t="str">
        <f>'01_WHOQOL_Items'!A153</f>
        <v>EXP-152</v>
      </c>
      <c r="B153" s="1" t="str">
        <f>'01_WHOQOL_Items'!B153</f>
        <v>Experimental</v>
      </c>
      <c r="C153" s="4">
        <f>4*(((6-'01_WHOQOL_Items'!F153) + (6-'01_WHOQOL_Items'!G153) + '01_WHOQOL_Items'!M153 + '01_WHOQOL_Items'!R153 + '01_WHOQOL_Items'!S153 + '01_WHOQOL_Items'!T153 + '01_WHOQOL_Items'!U153)/7)</f>
        <v>14.285714285714286</v>
      </c>
      <c r="D153" s="4">
        <f>4*(((6-'01_WHOQOL_Items'!AF153) + (6-'01_WHOQOL_Items'!AG153) + '01_WHOQOL_Items'!AM153 + '01_WHOQOL_Items'!AR153 + '01_WHOQOL_Items'!AS153 + '01_WHOQOL_Items'!AT153 + '01_WHOQOL_Items'!AU153)/7)</f>
        <v>16.571428571428573</v>
      </c>
      <c r="E153" s="4">
        <f t="shared" si="30"/>
        <v>64.285714285714292</v>
      </c>
      <c r="F153" s="4">
        <f t="shared" si="31"/>
        <v>78.571428571428584</v>
      </c>
      <c r="G153" s="5">
        <f t="shared" si="32"/>
        <v>0.22222222222222229</v>
      </c>
      <c r="H153" s="4">
        <f>4*(('01_WHOQOL_Items'!H153 + '01_WHOQOL_Items'!I153 + '01_WHOQOL_Items'!J153 + '01_WHOQOL_Items'!N153 + '01_WHOQOL_Items'!V153 + (6-'01_WHOQOL_Items'!AC153))/6)</f>
        <v>14</v>
      </c>
      <c r="I153" s="4">
        <f>4*(('01_WHOQOL_Items'!AH153 + '01_WHOQOL_Items'!AI153 + '01_WHOQOL_Items'!AJ153 + '01_WHOQOL_Items'!AN153 + '01_WHOQOL_Items'!AV153 + (6-'01_WHOQOL_Items'!BC153))/6)</f>
        <v>14</v>
      </c>
      <c r="J153" s="4">
        <f t="shared" si="33"/>
        <v>62.5</v>
      </c>
      <c r="K153" s="4">
        <f t="shared" si="34"/>
        <v>62.5</v>
      </c>
      <c r="L153" s="5">
        <f t="shared" si="35"/>
        <v>0</v>
      </c>
      <c r="M153" s="4">
        <f>4*(('01_WHOQOL_Items'!W153 + '01_WHOQOL_Items'!X153 + '01_WHOQOL_Items'!Y153)/3)</f>
        <v>12</v>
      </c>
      <c r="N153" s="4">
        <f>4*(('01_WHOQOL_Items'!AW153 + '01_WHOQOL_Items'!AX153 + '01_WHOQOL_Items'!AY153)/3)</f>
        <v>16</v>
      </c>
      <c r="O153" s="4">
        <f t="shared" si="36"/>
        <v>50</v>
      </c>
      <c r="P153" s="4">
        <f t="shared" si="37"/>
        <v>75</v>
      </c>
      <c r="Q153" s="5">
        <f t="shared" si="38"/>
        <v>0.5</v>
      </c>
      <c r="R153" s="4">
        <f>4*(('01_WHOQOL_Items'!K153 + '01_WHOQOL_Items'!L153 + '01_WHOQOL_Items'!O153 + '01_WHOQOL_Items'!P153 + '01_WHOQOL_Items'!Q153 + '01_WHOQOL_Items'!Z153 + '01_WHOQOL_Items'!AA153 + '01_WHOQOL_Items'!AB153)/8)</f>
        <v>14</v>
      </c>
      <c r="S153" s="4">
        <f>4*(('01_WHOQOL_Items'!AK153 + '01_WHOQOL_Items'!AL153 + '01_WHOQOL_Items'!AO153 + '01_WHOQOL_Items'!AP153 + '01_WHOQOL_Items'!AQ153 + '01_WHOQOL_Items'!AZ153 + '01_WHOQOL_Items'!BA153 + '01_WHOQOL_Items'!BB153)/8)</f>
        <v>16</v>
      </c>
      <c r="T153" s="4">
        <f t="shared" si="39"/>
        <v>62.5</v>
      </c>
      <c r="U153" s="4">
        <f t="shared" si="40"/>
        <v>75</v>
      </c>
      <c r="V153" s="5">
        <f t="shared" si="41"/>
        <v>0.2</v>
      </c>
      <c r="W153" s="4">
        <f t="shared" si="42"/>
        <v>59.821428571428569</v>
      </c>
      <c r="X153" s="4">
        <f t="shared" si="43"/>
        <v>72.767857142857139</v>
      </c>
      <c r="Y153" s="5">
        <f t="shared" si="44"/>
        <v>0.21641791044776118</v>
      </c>
      <c r="Z153" s="1">
        <f>'01_WHOQOL_Items'!D153</f>
        <v>4</v>
      </c>
      <c r="AA153" s="1">
        <f>'01_WHOQOL_Items'!AD153</f>
        <v>4</v>
      </c>
      <c r="AB153" s="1">
        <f>'01_WHOQOL_Items'!E153</f>
        <v>4</v>
      </c>
      <c r="AC153" s="1">
        <f>'01_WHOQOL_Items'!AE153</f>
        <v>4</v>
      </c>
    </row>
    <row r="154" spans="1:29">
      <c r="A154" s="1" t="str">
        <f>'01_WHOQOL_Items'!A154</f>
        <v>EXP-153</v>
      </c>
      <c r="B154" s="1" t="str">
        <f>'01_WHOQOL_Items'!B154</f>
        <v>Experimental</v>
      </c>
      <c r="C154" s="4">
        <f>4*(((6-'01_WHOQOL_Items'!F154) + (6-'01_WHOQOL_Items'!G154) + '01_WHOQOL_Items'!M154 + '01_WHOQOL_Items'!R154 + '01_WHOQOL_Items'!S154 + '01_WHOQOL_Items'!T154 + '01_WHOQOL_Items'!U154)/7)</f>
        <v>12</v>
      </c>
      <c r="D154" s="4">
        <f>4*(((6-'01_WHOQOL_Items'!AF154) + (6-'01_WHOQOL_Items'!AG154) + '01_WHOQOL_Items'!AM154 + '01_WHOQOL_Items'!AR154 + '01_WHOQOL_Items'!AS154 + '01_WHOQOL_Items'!AT154 + '01_WHOQOL_Items'!AU154)/7)</f>
        <v>16</v>
      </c>
      <c r="E154" s="4">
        <f t="shared" si="30"/>
        <v>50</v>
      </c>
      <c r="F154" s="4">
        <f t="shared" si="31"/>
        <v>75</v>
      </c>
      <c r="G154" s="5">
        <f t="shared" si="32"/>
        <v>0.5</v>
      </c>
      <c r="H154" s="4">
        <f>4*(('01_WHOQOL_Items'!H154 + '01_WHOQOL_Items'!I154 + '01_WHOQOL_Items'!J154 + '01_WHOQOL_Items'!N154 + '01_WHOQOL_Items'!V154 + (6-'01_WHOQOL_Items'!AC154))/6)</f>
        <v>13.333333333333334</v>
      </c>
      <c r="I154" s="4">
        <f>4*(('01_WHOQOL_Items'!AH154 + '01_WHOQOL_Items'!AI154 + '01_WHOQOL_Items'!AJ154 + '01_WHOQOL_Items'!AN154 + '01_WHOQOL_Items'!AV154 + (6-'01_WHOQOL_Items'!BC154))/6)</f>
        <v>17.333333333333332</v>
      </c>
      <c r="J154" s="4">
        <f t="shared" si="33"/>
        <v>58.333333333333336</v>
      </c>
      <c r="K154" s="4">
        <f t="shared" si="34"/>
        <v>83.333333333333329</v>
      </c>
      <c r="L154" s="5">
        <f t="shared" si="35"/>
        <v>0.42857142857142844</v>
      </c>
      <c r="M154" s="4">
        <f>4*(('01_WHOQOL_Items'!W154 + '01_WHOQOL_Items'!X154 + '01_WHOQOL_Items'!Y154)/3)</f>
        <v>10.666666666666666</v>
      </c>
      <c r="N154" s="4">
        <f>4*(('01_WHOQOL_Items'!AW154 + '01_WHOQOL_Items'!AX154 + '01_WHOQOL_Items'!AY154)/3)</f>
        <v>16</v>
      </c>
      <c r="O154" s="4">
        <f t="shared" si="36"/>
        <v>41.666666666666664</v>
      </c>
      <c r="P154" s="4">
        <f t="shared" si="37"/>
        <v>75</v>
      </c>
      <c r="Q154" s="5">
        <f t="shared" si="38"/>
        <v>0.80000000000000016</v>
      </c>
      <c r="R154" s="4">
        <f>4*(('01_WHOQOL_Items'!K154 + '01_WHOQOL_Items'!L154 + '01_WHOQOL_Items'!O154 + '01_WHOQOL_Items'!P154 + '01_WHOQOL_Items'!Q154 + '01_WHOQOL_Items'!Z154 + '01_WHOQOL_Items'!AA154 + '01_WHOQOL_Items'!AB154)/8)</f>
        <v>16</v>
      </c>
      <c r="S154" s="4">
        <f>4*(('01_WHOQOL_Items'!AK154 + '01_WHOQOL_Items'!AL154 + '01_WHOQOL_Items'!AO154 + '01_WHOQOL_Items'!AP154 + '01_WHOQOL_Items'!AQ154 + '01_WHOQOL_Items'!AZ154 + '01_WHOQOL_Items'!BA154 + '01_WHOQOL_Items'!BB154)/8)</f>
        <v>17.5</v>
      </c>
      <c r="T154" s="4">
        <f t="shared" si="39"/>
        <v>75</v>
      </c>
      <c r="U154" s="4">
        <f t="shared" si="40"/>
        <v>84.375</v>
      </c>
      <c r="V154" s="5">
        <f t="shared" si="41"/>
        <v>0.125</v>
      </c>
      <c r="W154" s="4">
        <f t="shared" si="42"/>
        <v>56.25</v>
      </c>
      <c r="X154" s="4">
        <f t="shared" si="43"/>
        <v>79.427083333333329</v>
      </c>
      <c r="Y154" s="5">
        <f t="shared" si="44"/>
        <v>0.41203703703703698</v>
      </c>
      <c r="Z154" s="1">
        <f>'01_WHOQOL_Items'!D154</f>
        <v>4</v>
      </c>
      <c r="AA154" s="1">
        <f>'01_WHOQOL_Items'!AD154</f>
        <v>4</v>
      </c>
      <c r="AB154" s="1">
        <f>'01_WHOQOL_Items'!E154</f>
        <v>4</v>
      </c>
      <c r="AC154" s="1">
        <f>'01_WHOQOL_Items'!AE154</f>
        <v>4</v>
      </c>
    </row>
    <row r="155" spans="1:29">
      <c r="A155" s="1" t="str">
        <f>'01_WHOQOL_Items'!A155</f>
        <v>EXP-154</v>
      </c>
      <c r="B155" s="1" t="str">
        <f>'01_WHOQOL_Items'!B155</f>
        <v>Experimental</v>
      </c>
      <c r="C155" s="4">
        <f>4*(((6-'01_WHOQOL_Items'!F155) + (6-'01_WHOQOL_Items'!G155) + '01_WHOQOL_Items'!M155 + '01_WHOQOL_Items'!R155 + '01_WHOQOL_Items'!S155 + '01_WHOQOL_Items'!T155 + '01_WHOQOL_Items'!U155)/7)</f>
        <v>10.857142857142858</v>
      </c>
      <c r="D155" s="4">
        <f>4*(((6-'01_WHOQOL_Items'!AF155) + (6-'01_WHOQOL_Items'!AG155) + '01_WHOQOL_Items'!AM155 + '01_WHOQOL_Items'!AR155 + '01_WHOQOL_Items'!AS155 + '01_WHOQOL_Items'!AT155 + '01_WHOQOL_Items'!AU155)/7)</f>
        <v>12</v>
      </c>
      <c r="E155" s="4">
        <f t="shared" si="30"/>
        <v>42.857142857142861</v>
      </c>
      <c r="F155" s="4">
        <f t="shared" si="31"/>
        <v>50</v>
      </c>
      <c r="G155" s="5">
        <f t="shared" si="32"/>
        <v>0.16666666666666655</v>
      </c>
      <c r="H155" s="4">
        <f>4*(('01_WHOQOL_Items'!H155 + '01_WHOQOL_Items'!I155 + '01_WHOQOL_Items'!J155 + '01_WHOQOL_Items'!N155 + '01_WHOQOL_Items'!V155 + (6-'01_WHOQOL_Items'!AC155))/6)</f>
        <v>12</v>
      </c>
      <c r="I155" s="4">
        <f>4*(('01_WHOQOL_Items'!AH155 + '01_WHOQOL_Items'!AI155 + '01_WHOQOL_Items'!AJ155 + '01_WHOQOL_Items'!AN155 + '01_WHOQOL_Items'!AV155 + (6-'01_WHOQOL_Items'!BC155))/6)</f>
        <v>16.666666666666668</v>
      </c>
      <c r="J155" s="4">
        <f t="shared" si="33"/>
        <v>50</v>
      </c>
      <c r="K155" s="4">
        <f t="shared" si="34"/>
        <v>79.166666666666671</v>
      </c>
      <c r="L155" s="5">
        <f t="shared" si="35"/>
        <v>0.58333333333333348</v>
      </c>
      <c r="M155" s="4">
        <f>4*(('01_WHOQOL_Items'!W155 + '01_WHOQOL_Items'!X155 + '01_WHOQOL_Items'!Y155)/3)</f>
        <v>17.333333333333332</v>
      </c>
      <c r="N155" s="4">
        <f>4*(('01_WHOQOL_Items'!AW155 + '01_WHOQOL_Items'!AX155 + '01_WHOQOL_Items'!AY155)/3)</f>
        <v>14.666666666666666</v>
      </c>
      <c r="O155" s="4">
        <f t="shared" si="36"/>
        <v>83.333333333333329</v>
      </c>
      <c r="P155" s="4">
        <f t="shared" si="37"/>
        <v>66.666666666666657</v>
      </c>
      <c r="Q155" s="5">
        <f t="shared" si="38"/>
        <v>-0.20000000000000007</v>
      </c>
      <c r="R155" s="4">
        <f>4*(('01_WHOQOL_Items'!K155 + '01_WHOQOL_Items'!L155 + '01_WHOQOL_Items'!O155 + '01_WHOQOL_Items'!P155 + '01_WHOQOL_Items'!Q155 + '01_WHOQOL_Items'!Z155 + '01_WHOQOL_Items'!AA155 + '01_WHOQOL_Items'!AB155)/8)</f>
        <v>11.5</v>
      </c>
      <c r="S155" s="4">
        <f>4*(('01_WHOQOL_Items'!AK155 + '01_WHOQOL_Items'!AL155 + '01_WHOQOL_Items'!AO155 + '01_WHOQOL_Items'!AP155 + '01_WHOQOL_Items'!AQ155 + '01_WHOQOL_Items'!AZ155 + '01_WHOQOL_Items'!BA155 + '01_WHOQOL_Items'!BB155)/8)</f>
        <v>11.5</v>
      </c>
      <c r="T155" s="4">
        <f t="shared" si="39"/>
        <v>46.875</v>
      </c>
      <c r="U155" s="4">
        <f t="shared" si="40"/>
        <v>46.875</v>
      </c>
      <c r="V155" s="5">
        <f t="shared" si="41"/>
        <v>0</v>
      </c>
      <c r="W155" s="4">
        <f t="shared" si="42"/>
        <v>55.766369047619051</v>
      </c>
      <c r="X155" s="4">
        <f t="shared" si="43"/>
        <v>60.677083333333336</v>
      </c>
      <c r="Y155" s="5">
        <f t="shared" si="44"/>
        <v>8.8058705803869222E-2</v>
      </c>
      <c r="Z155" s="1">
        <f>'01_WHOQOL_Items'!D155</f>
        <v>3</v>
      </c>
      <c r="AA155" s="1">
        <f>'01_WHOQOL_Items'!AD155</f>
        <v>4</v>
      </c>
      <c r="AB155" s="1">
        <f>'01_WHOQOL_Items'!E155</f>
        <v>2</v>
      </c>
      <c r="AC155" s="1">
        <f>'01_WHOQOL_Items'!AE155</f>
        <v>3</v>
      </c>
    </row>
    <row r="156" spans="1:29">
      <c r="A156" s="1" t="str">
        <f>'01_WHOQOL_Items'!A156</f>
        <v>EXP-155</v>
      </c>
      <c r="B156" s="1" t="str">
        <f>'01_WHOQOL_Items'!B156</f>
        <v>Experimental</v>
      </c>
      <c r="C156" s="4">
        <f>4*(((6-'01_WHOQOL_Items'!F156) + (6-'01_WHOQOL_Items'!G156) + '01_WHOQOL_Items'!M156 + '01_WHOQOL_Items'!R156 + '01_WHOQOL_Items'!S156 + '01_WHOQOL_Items'!T156 + '01_WHOQOL_Items'!U156)/7)</f>
        <v>16</v>
      </c>
      <c r="D156" s="4">
        <f>4*(((6-'01_WHOQOL_Items'!AF156) + (6-'01_WHOQOL_Items'!AG156) + '01_WHOQOL_Items'!AM156 + '01_WHOQOL_Items'!AR156 + '01_WHOQOL_Items'!AS156 + '01_WHOQOL_Items'!AT156 + '01_WHOQOL_Items'!AU156)/7)</f>
        <v>13.714285714285714</v>
      </c>
      <c r="E156" s="4">
        <f t="shared" si="30"/>
        <v>75</v>
      </c>
      <c r="F156" s="4">
        <f t="shared" si="31"/>
        <v>60.714285714285708</v>
      </c>
      <c r="G156" s="5">
        <f t="shared" si="32"/>
        <v>-0.19047619047619055</v>
      </c>
      <c r="H156" s="4">
        <f>4*(('01_WHOQOL_Items'!H156 + '01_WHOQOL_Items'!I156 + '01_WHOQOL_Items'!J156 + '01_WHOQOL_Items'!N156 + '01_WHOQOL_Items'!V156 + (6-'01_WHOQOL_Items'!AC156))/6)</f>
        <v>12.666666666666666</v>
      </c>
      <c r="I156" s="4">
        <f>4*(('01_WHOQOL_Items'!AH156 + '01_WHOQOL_Items'!AI156 + '01_WHOQOL_Items'!AJ156 + '01_WHOQOL_Items'!AN156 + '01_WHOQOL_Items'!AV156 + (6-'01_WHOQOL_Items'!BC156))/6)</f>
        <v>16.666666666666668</v>
      </c>
      <c r="J156" s="4">
        <f t="shared" si="33"/>
        <v>54.166666666666664</v>
      </c>
      <c r="K156" s="4">
        <f t="shared" si="34"/>
        <v>79.166666666666671</v>
      </c>
      <c r="L156" s="5">
        <f t="shared" si="35"/>
        <v>0.46153846153846168</v>
      </c>
      <c r="M156" s="4">
        <f>4*(('01_WHOQOL_Items'!W156 + '01_WHOQOL_Items'!X156 + '01_WHOQOL_Items'!Y156)/3)</f>
        <v>6.666666666666667</v>
      </c>
      <c r="N156" s="4">
        <f>4*(('01_WHOQOL_Items'!AW156 + '01_WHOQOL_Items'!AX156 + '01_WHOQOL_Items'!AY156)/3)</f>
        <v>10.666666666666666</v>
      </c>
      <c r="O156" s="4">
        <f t="shared" si="36"/>
        <v>16.666666666666668</v>
      </c>
      <c r="P156" s="4">
        <f t="shared" si="37"/>
        <v>41.666666666666664</v>
      </c>
      <c r="Q156" s="5">
        <f t="shared" si="38"/>
        <v>1.4999999999999998</v>
      </c>
      <c r="R156" s="4">
        <f>4*(('01_WHOQOL_Items'!K156 + '01_WHOQOL_Items'!L156 + '01_WHOQOL_Items'!O156 + '01_WHOQOL_Items'!P156 + '01_WHOQOL_Items'!Q156 + '01_WHOQOL_Items'!Z156 + '01_WHOQOL_Items'!AA156 + '01_WHOQOL_Items'!AB156)/8)</f>
        <v>12.5</v>
      </c>
      <c r="S156" s="4">
        <f>4*(('01_WHOQOL_Items'!AK156 + '01_WHOQOL_Items'!AL156 + '01_WHOQOL_Items'!AO156 + '01_WHOQOL_Items'!AP156 + '01_WHOQOL_Items'!AQ156 + '01_WHOQOL_Items'!AZ156 + '01_WHOQOL_Items'!BA156 + '01_WHOQOL_Items'!BB156)/8)</f>
        <v>16.5</v>
      </c>
      <c r="T156" s="4">
        <f t="shared" si="39"/>
        <v>53.125</v>
      </c>
      <c r="U156" s="4">
        <f t="shared" si="40"/>
        <v>78.125</v>
      </c>
      <c r="V156" s="5">
        <f t="shared" si="41"/>
        <v>0.47058823529411764</v>
      </c>
      <c r="W156" s="4">
        <f t="shared" si="42"/>
        <v>49.739583333333329</v>
      </c>
      <c r="X156" s="4">
        <f t="shared" si="43"/>
        <v>64.918154761904759</v>
      </c>
      <c r="Y156" s="5">
        <f t="shared" si="44"/>
        <v>0.30516080777860888</v>
      </c>
      <c r="Z156" s="1">
        <f>'01_WHOQOL_Items'!D156</f>
        <v>3</v>
      </c>
      <c r="AA156" s="1">
        <f>'01_WHOQOL_Items'!AD156</f>
        <v>3</v>
      </c>
      <c r="AB156" s="1">
        <f>'01_WHOQOL_Items'!E156</f>
        <v>4</v>
      </c>
      <c r="AC156" s="1">
        <f>'01_WHOQOL_Items'!AE156</f>
        <v>4</v>
      </c>
    </row>
    <row r="157" spans="1:29">
      <c r="A157" s="1" t="str">
        <f>'01_WHOQOL_Items'!A157</f>
        <v>EXP-156</v>
      </c>
      <c r="B157" s="1" t="str">
        <f>'01_WHOQOL_Items'!B157</f>
        <v>Experimental</v>
      </c>
      <c r="C157" s="4">
        <f>4*(((6-'01_WHOQOL_Items'!F157) + (6-'01_WHOQOL_Items'!G157) + '01_WHOQOL_Items'!M157 + '01_WHOQOL_Items'!R157 + '01_WHOQOL_Items'!S157 + '01_WHOQOL_Items'!T157 + '01_WHOQOL_Items'!U157)/7)</f>
        <v>13.142857142857142</v>
      </c>
      <c r="D157" s="4">
        <f>4*(((6-'01_WHOQOL_Items'!AF157) + (6-'01_WHOQOL_Items'!AG157) + '01_WHOQOL_Items'!AM157 + '01_WHOQOL_Items'!AR157 + '01_WHOQOL_Items'!AS157 + '01_WHOQOL_Items'!AT157 + '01_WHOQOL_Items'!AU157)/7)</f>
        <v>14.285714285714286</v>
      </c>
      <c r="E157" s="4">
        <f t="shared" si="30"/>
        <v>57.142857142857139</v>
      </c>
      <c r="F157" s="4">
        <f t="shared" si="31"/>
        <v>64.285714285714292</v>
      </c>
      <c r="G157" s="5">
        <f t="shared" si="32"/>
        <v>0.12500000000000019</v>
      </c>
      <c r="H157" s="4">
        <f>4*(('01_WHOQOL_Items'!H157 + '01_WHOQOL_Items'!I157 + '01_WHOQOL_Items'!J157 + '01_WHOQOL_Items'!N157 + '01_WHOQOL_Items'!V157 + (6-'01_WHOQOL_Items'!AC157))/6)</f>
        <v>16</v>
      </c>
      <c r="I157" s="4">
        <f>4*(('01_WHOQOL_Items'!AH157 + '01_WHOQOL_Items'!AI157 + '01_WHOQOL_Items'!AJ157 + '01_WHOQOL_Items'!AN157 + '01_WHOQOL_Items'!AV157 + (6-'01_WHOQOL_Items'!BC157))/6)</f>
        <v>14</v>
      </c>
      <c r="J157" s="4">
        <f t="shared" si="33"/>
        <v>75</v>
      </c>
      <c r="K157" s="4">
        <f t="shared" si="34"/>
        <v>62.5</v>
      </c>
      <c r="L157" s="5">
        <f t="shared" si="35"/>
        <v>-0.16666666666666666</v>
      </c>
      <c r="M157" s="4">
        <f>4*(('01_WHOQOL_Items'!W157 + '01_WHOQOL_Items'!X157 + '01_WHOQOL_Items'!Y157)/3)</f>
        <v>10.666666666666666</v>
      </c>
      <c r="N157" s="4">
        <f>4*(('01_WHOQOL_Items'!AW157 + '01_WHOQOL_Items'!AX157 + '01_WHOQOL_Items'!AY157)/3)</f>
        <v>16</v>
      </c>
      <c r="O157" s="4">
        <f t="shared" si="36"/>
        <v>41.666666666666664</v>
      </c>
      <c r="P157" s="4">
        <f t="shared" si="37"/>
        <v>75</v>
      </c>
      <c r="Q157" s="5">
        <f t="shared" si="38"/>
        <v>0.80000000000000016</v>
      </c>
      <c r="R157" s="4">
        <f>4*(('01_WHOQOL_Items'!K157 + '01_WHOQOL_Items'!L157 + '01_WHOQOL_Items'!O157 + '01_WHOQOL_Items'!P157 + '01_WHOQOL_Items'!Q157 + '01_WHOQOL_Items'!Z157 + '01_WHOQOL_Items'!AA157 + '01_WHOQOL_Items'!AB157)/8)</f>
        <v>10</v>
      </c>
      <c r="S157" s="4">
        <f>4*(('01_WHOQOL_Items'!AK157 + '01_WHOQOL_Items'!AL157 + '01_WHOQOL_Items'!AO157 + '01_WHOQOL_Items'!AP157 + '01_WHOQOL_Items'!AQ157 + '01_WHOQOL_Items'!AZ157 + '01_WHOQOL_Items'!BA157 + '01_WHOQOL_Items'!BB157)/8)</f>
        <v>10.5</v>
      </c>
      <c r="T157" s="4">
        <f t="shared" si="39"/>
        <v>37.5</v>
      </c>
      <c r="U157" s="4">
        <f t="shared" si="40"/>
        <v>40.625</v>
      </c>
      <c r="V157" s="5">
        <f t="shared" si="41"/>
        <v>8.3333333333333329E-2</v>
      </c>
      <c r="W157" s="4">
        <f t="shared" si="42"/>
        <v>52.827380952380949</v>
      </c>
      <c r="X157" s="4">
        <f t="shared" si="43"/>
        <v>60.602678571428569</v>
      </c>
      <c r="Y157" s="5">
        <f t="shared" si="44"/>
        <v>0.14718309859154932</v>
      </c>
      <c r="Z157" s="1">
        <f>'01_WHOQOL_Items'!D157</f>
        <v>3</v>
      </c>
      <c r="AA157" s="1">
        <f>'01_WHOQOL_Items'!AD157</f>
        <v>3</v>
      </c>
      <c r="AB157" s="1">
        <f>'01_WHOQOL_Items'!E157</f>
        <v>3</v>
      </c>
      <c r="AC157" s="1">
        <f>'01_WHOQOL_Items'!AE157</f>
        <v>4</v>
      </c>
    </row>
    <row r="158" spans="1:29">
      <c r="A158" s="1" t="str">
        <f>'01_WHOQOL_Items'!A158</f>
        <v>EXP-157</v>
      </c>
      <c r="B158" s="1" t="str">
        <f>'01_WHOQOL_Items'!B158</f>
        <v>Experimental</v>
      </c>
      <c r="C158" s="4">
        <f>4*(((6-'01_WHOQOL_Items'!F158) + (6-'01_WHOQOL_Items'!G158) + '01_WHOQOL_Items'!M158 + '01_WHOQOL_Items'!R158 + '01_WHOQOL_Items'!S158 + '01_WHOQOL_Items'!T158 + '01_WHOQOL_Items'!U158)/7)</f>
        <v>14.857142857142858</v>
      </c>
      <c r="D158" s="4">
        <f>4*(((6-'01_WHOQOL_Items'!AF158) + (6-'01_WHOQOL_Items'!AG158) + '01_WHOQOL_Items'!AM158 + '01_WHOQOL_Items'!AR158 + '01_WHOQOL_Items'!AS158 + '01_WHOQOL_Items'!AT158 + '01_WHOQOL_Items'!AU158)/7)</f>
        <v>15.428571428571429</v>
      </c>
      <c r="E158" s="4">
        <f t="shared" si="30"/>
        <v>67.857142857142861</v>
      </c>
      <c r="F158" s="4">
        <f t="shared" si="31"/>
        <v>71.428571428571431</v>
      </c>
      <c r="G158" s="5">
        <f t="shared" si="32"/>
        <v>5.263157894736839E-2</v>
      </c>
      <c r="H158" s="4">
        <f>4*(('01_WHOQOL_Items'!H158 + '01_WHOQOL_Items'!I158 + '01_WHOQOL_Items'!J158 + '01_WHOQOL_Items'!N158 + '01_WHOQOL_Items'!V158 + (6-'01_WHOQOL_Items'!AC158))/6)</f>
        <v>12.666666666666666</v>
      </c>
      <c r="I158" s="4">
        <f>4*(('01_WHOQOL_Items'!AH158 + '01_WHOQOL_Items'!AI158 + '01_WHOQOL_Items'!AJ158 + '01_WHOQOL_Items'!AN158 + '01_WHOQOL_Items'!AV158 + (6-'01_WHOQOL_Items'!BC158))/6)</f>
        <v>12</v>
      </c>
      <c r="J158" s="4">
        <f t="shared" si="33"/>
        <v>54.166666666666664</v>
      </c>
      <c r="K158" s="4">
        <f t="shared" si="34"/>
        <v>50</v>
      </c>
      <c r="L158" s="5">
        <f t="shared" si="35"/>
        <v>-7.6923076923076886E-2</v>
      </c>
      <c r="M158" s="4">
        <f>4*(('01_WHOQOL_Items'!W158 + '01_WHOQOL_Items'!X158 + '01_WHOQOL_Items'!Y158)/3)</f>
        <v>13.333333333333334</v>
      </c>
      <c r="N158" s="4">
        <f>4*(('01_WHOQOL_Items'!AW158 + '01_WHOQOL_Items'!AX158 + '01_WHOQOL_Items'!AY158)/3)</f>
        <v>14.666666666666666</v>
      </c>
      <c r="O158" s="4">
        <f t="shared" si="36"/>
        <v>58.333333333333336</v>
      </c>
      <c r="P158" s="4">
        <f t="shared" si="37"/>
        <v>66.666666666666657</v>
      </c>
      <c r="Q158" s="5">
        <f t="shared" si="38"/>
        <v>0.14285714285714265</v>
      </c>
      <c r="R158" s="4">
        <f>4*(('01_WHOQOL_Items'!K158 + '01_WHOQOL_Items'!L158 + '01_WHOQOL_Items'!O158 + '01_WHOQOL_Items'!P158 + '01_WHOQOL_Items'!Q158 + '01_WHOQOL_Items'!Z158 + '01_WHOQOL_Items'!AA158 + '01_WHOQOL_Items'!AB158)/8)</f>
        <v>14.5</v>
      </c>
      <c r="S158" s="4">
        <f>4*(('01_WHOQOL_Items'!AK158 + '01_WHOQOL_Items'!AL158 + '01_WHOQOL_Items'!AO158 + '01_WHOQOL_Items'!AP158 + '01_WHOQOL_Items'!AQ158 + '01_WHOQOL_Items'!AZ158 + '01_WHOQOL_Items'!BA158 + '01_WHOQOL_Items'!BB158)/8)</f>
        <v>16.5</v>
      </c>
      <c r="T158" s="4">
        <f t="shared" si="39"/>
        <v>65.625</v>
      </c>
      <c r="U158" s="4">
        <f t="shared" si="40"/>
        <v>78.125</v>
      </c>
      <c r="V158" s="5">
        <f t="shared" si="41"/>
        <v>0.19047619047619047</v>
      </c>
      <c r="W158" s="4">
        <f t="shared" si="42"/>
        <v>61.495535714285715</v>
      </c>
      <c r="X158" s="4">
        <f t="shared" si="43"/>
        <v>66.555059523809518</v>
      </c>
      <c r="Y158" s="5">
        <f t="shared" si="44"/>
        <v>8.2274652147610303E-2</v>
      </c>
      <c r="Z158" s="1">
        <f>'01_WHOQOL_Items'!D158</f>
        <v>4</v>
      </c>
      <c r="AA158" s="1">
        <f>'01_WHOQOL_Items'!AD158</f>
        <v>4</v>
      </c>
      <c r="AB158" s="1">
        <f>'01_WHOQOL_Items'!E158</f>
        <v>3</v>
      </c>
      <c r="AC158" s="1">
        <f>'01_WHOQOL_Items'!AE158</f>
        <v>3</v>
      </c>
    </row>
    <row r="159" spans="1:29">
      <c r="A159" s="1" t="str">
        <f>'01_WHOQOL_Items'!A159</f>
        <v>EXP-158</v>
      </c>
      <c r="B159" s="1" t="str">
        <f>'01_WHOQOL_Items'!B159</f>
        <v>Experimental</v>
      </c>
      <c r="C159" s="4">
        <f>4*(((6-'01_WHOQOL_Items'!F159) + (6-'01_WHOQOL_Items'!G159) + '01_WHOQOL_Items'!M159 + '01_WHOQOL_Items'!R159 + '01_WHOQOL_Items'!S159 + '01_WHOQOL_Items'!T159 + '01_WHOQOL_Items'!U159)/7)</f>
        <v>14.857142857142858</v>
      </c>
      <c r="D159" s="4">
        <f>4*(((6-'01_WHOQOL_Items'!AF159) + (6-'01_WHOQOL_Items'!AG159) + '01_WHOQOL_Items'!AM159 + '01_WHOQOL_Items'!AR159 + '01_WHOQOL_Items'!AS159 + '01_WHOQOL_Items'!AT159 + '01_WHOQOL_Items'!AU159)/7)</f>
        <v>16.571428571428573</v>
      </c>
      <c r="E159" s="4">
        <f t="shared" si="30"/>
        <v>67.857142857142861</v>
      </c>
      <c r="F159" s="4">
        <f t="shared" si="31"/>
        <v>78.571428571428584</v>
      </c>
      <c r="G159" s="5">
        <f t="shared" si="32"/>
        <v>0.15789473684210537</v>
      </c>
      <c r="H159" s="4">
        <f>4*(('01_WHOQOL_Items'!H159 + '01_WHOQOL_Items'!I159 + '01_WHOQOL_Items'!J159 + '01_WHOQOL_Items'!N159 + '01_WHOQOL_Items'!V159 + (6-'01_WHOQOL_Items'!AC159))/6)</f>
        <v>9.3333333333333339</v>
      </c>
      <c r="I159" s="4">
        <f>4*(('01_WHOQOL_Items'!AH159 + '01_WHOQOL_Items'!AI159 + '01_WHOQOL_Items'!AJ159 + '01_WHOQOL_Items'!AN159 + '01_WHOQOL_Items'!AV159 + (6-'01_WHOQOL_Items'!BC159))/6)</f>
        <v>9.3333333333333339</v>
      </c>
      <c r="J159" s="4">
        <f t="shared" si="33"/>
        <v>33.333333333333336</v>
      </c>
      <c r="K159" s="4">
        <f t="shared" si="34"/>
        <v>33.333333333333336</v>
      </c>
      <c r="L159" s="5">
        <f t="shared" si="35"/>
        <v>0</v>
      </c>
      <c r="M159" s="4">
        <f>4*(('01_WHOQOL_Items'!W159 + '01_WHOQOL_Items'!X159 + '01_WHOQOL_Items'!Y159)/3)</f>
        <v>9.3333333333333339</v>
      </c>
      <c r="N159" s="4">
        <f>4*(('01_WHOQOL_Items'!AW159 + '01_WHOQOL_Items'!AX159 + '01_WHOQOL_Items'!AY159)/3)</f>
        <v>10.666666666666666</v>
      </c>
      <c r="O159" s="4">
        <f t="shared" si="36"/>
        <v>33.333333333333336</v>
      </c>
      <c r="P159" s="4">
        <f t="shared" si="37"/>
        <v>41.666666666666664</v>
      </c>
      <c r="Q159" s="5">
        <f t="shared" si="38"/>
        <v>0.24999999999999983</v>
      </c>
      <c r="R159" s="4">
        <f>4*(('01_WHOQOL_Items'!K159 + '01_WHOQOL_Items'!L159 + '01_WHOQOL_Items'!O159 + '01_WHOQOL_Items'!P159 + '01_WHOQOL_Items'!Q159 + '01_WHOQOL_Items'!Z159 + '01_WHOQOL_Items'!AA159 + '01_WHOQOL_Items'!AB159)/8)</f>
        <v>13.5</v>
      </c>
      <c r="S159" s="4">
        <f>4*(('01_WHOQOL_Items'!AK159 + '01_WHOQOL_Items'!AL159 + '01_WHOQOL_Items'!AO159 + '01_WHOQOL_Items'!AP159 + '01_WHOQOL_Items'!AQ159 + '01_WHOQOL_Items'!AZ159 + '01_WHOQOL_Items'!BA159 + '01_WHOQOL_Items'!BB159)/8)</f>
        <v>16</v>
      </c>
      <c r="T159" s="4">
        <f t="shared" si="39"/>
        <v>59.375</v>
      </c>
      <c r="U159" s="4">
        <f t="shared" si="40"/>
        <v>75</v>
      </c>
      <c r="V159" s="5">
        <f t="shared" si="41"/>
        <v>0.26315789473684209</v>
      </c>
      <c r="W159" s="4">
        <f t="shared" si="42"/>
        <v>48.474702380952387</v>
      </c>
      <c r="X159" s="4">
        <f t="shared" si="43"/>
        <v>57.142857142857146</v>
      </c>
      <c r="Y159" s="5">
        <f t="shared" si="44"/>
        <v>0.17881811204911735</v>
      </c>
      <c r="Z159" s="1">
        <f>'01_WHOQOL_Items'!D159</f>
        <v>2</v>
      </c>
      <c r="AA159" s="1">
        <f>'01_WHOQOL_Items'!AD159</f>
        <v>4</v>
      </c>
      <c r="AB159" s="1">
        <f>'01_WHOQOL_Items'!E159</f>
        <v>4</v>
      </c>
      <c r="AC159" s="1">
        <f>'01_WHOQOL_Items'!AE159</f>
        <v>4</v>
      </c>
    </row>
    <row r="160" spans="1:29">
      <c r="A160" s="1" t="str">
        <f>'01_WHOQOL_Items'!A160</f>
        <v>EXP-159</v>
      </c>
      <c r="B160" s="1" t="str">
        <f>'01_WHOQOL_Items'!B160</f>
        <v>Experimental</v>
      </c>
      <c r="C160" s="4">
        <f>4*(((6-'01_WHOQOL_Items'!F160) + (6-'01_WHOQOL_Items'!G160) + '01_WHOQOL_Items'!M160 + '01_WHOQOL_Items'!R160 + '01_WHOQOL_Items'!S160 + '01_WHOQOL_Items'!T160 + '01_WHOQOL_Items'!U160)/7)</f>
        <v>16</v>
      </c>
      <c r="D160" s="4">
        <f>4*(((6-'01_WHOQOL_Items'!AF160) + (6-'01_WHOQOL_Items'!AG160) + '01_WHOQOL_Items'!AM160 + '01_WHOQOL_Items'!AR160 + '01_WHOQOL_Items'!AS160 + '01_WHOQOL_Items'!AT160 + '01_WHOQOL_Items'!AU160)/7)</f>
        <v>17.714285714285715</v>
      </c>
      <c r="E160" s="4">
        <f t="shared" si="30"/>
        <v>75</v>
      </c>
      <c r="F160" s="4">
        <f t="shared" si="31"/>
        <v>85.714285714285722</v>
      </c>
      <c r="G160" s="5">
        <f t="shared" si="32"/>
        <v>0.14285714285714296</v>
      </c>
      <c r="H160" s="4">
        <f>4*(('01_WHOQOL_Items'!H160 + '01_WHOQOL_Items'!I160 + '01_WHOQOL_Items'!J160 + '01_WHOQOL_Items'!N160 + '01_WHOQOL_Items'!V160 + (6-'01_WHOQOL_Items'!AC160))/6)</f>
        <v>11.333333333333334</v>
      </c>
      <c r="I160" s="4">
        <f>4*(('01_WHOQOL_Items'!AH160 + '01_WHOQOL_Items'!AI160 + '01_WHOQOL_Items'!AJ160 + '01_WHOQOL_Items'!AN160 + '01_WHOQOL_Items'!AV160 + (6-'01_WHOQOL_Items'!BC160))/6)</f>
        <v>13.333333333333334</v>
      </c>
      <c r="J160" s="4">
        <f t="shared" si="33"/>
        <v>45.833333333333336</v>
      </c>
      <c r="K160" s="4">
        <f t="shared" si="34"/>
        <v>58.333333333333336</v>
      </c>
      <c r="L160" s="5">
        <f t="shared" si="35"/>
        <v>0.27272727272727271</v>
      </c>
      <c r="M160" s="4">
        <f>4*(('01_WHOQOL_Items'!W160 + '01_WHOQOL_Items'!X160 + '01_WHOQOL_Items'!Y160)/3)</f>
        <v>13.333333333333334</v>
      </c>
      <c r="N160" s="4">
        <f>4*(('01_WHOQOL_Items'!AW160 + '01_WHOQOL_Items'!AX160 + '01_WHOQOL_Items'!AY160)/3)</f>
        <v>18.666666666666668</v>
      </c>
      <c r="O160" s="4">
        <f t="shared" si="36"/>
        <v>58.333333333333336</v>
      </c>
      <c r="P160" s="4">
        <f t="shared" si="37"/>
        <v>91.666666666666671</v>
      </c>
      <c r="Q160" s="5">
        <f t="shared" si="38"/>
        <v>0.5714285714285714</v>
      </c>
      <c r="R160" s="4">
        <f>4*(('01_WHOQOL_Items'!K160 + '01_WHOQOL_Items'!L160 + '01_WHOQOL_Items'!O160 + '01_WHOQOL_Items'!P160 + '01_WHOQOL_Items'!Q160 + '01_WHOQOL_Items'!Z160 + '01_WHOQOL_Items'!AA160 + '01_WHOQOL_Items'!AB160)/8)</f>
        <v>13</v>
      </c>
      <c r="S160" s="4">
        <f>4*(('01_WHOQOL_Items'!AK160 + '01_WHOQOL_Items'!AL160 + '01_WHOQOL_Items'!AO160 + '01_WHOQOL_Items'!AP160 + '01_WHOQOL_Items'!AQ160 + '01_WHOQOL_Items'!AZ160 + '01_WHOQOL_Items'!BA160 + '01_WHOQOL_Items'!BB160)/8)</f>
        <v>15</v>
      </c>
      <c r="T160" s="4">
        <f t="shared" si="39"/>
        <v>56.25</v>
      </c>
      <c r="U160" s="4">
        <f t="shared" si="40"/>
        <v>68.75</v>
      </c>
      <c r="V160" s="5">
        <f t="shared" si="41"/>
        <v>0.22222222222222221</v>
      </c>
      <c r="W160" s="4">
        <f t="shared" si="42"/>
        <v>58.854166666666671</v>
      </c>
      <c r="X160" s="4">
        <f t="shared" si="43"/>
        <v>76.116071428571431</v>
      </c>
      <c r="Y160" s="5">
        <f t="shared" si="44"/>
        <v>0.293299620733249</v>
      </c>
      <c r="Z160" s="1">
        <f>'01_WHOQOL_Items'!D160</f>
        <v>3</v>
      </c>
      <c r="AA160" s="1">
        <f>'01_WHOQOL_Items'!AD160</f>
        <v>5</v>
      </c>
      <c r="AB160" s="1">
        <f>'01_WHOQOL_Items'!E160</f>
        <v>4</v>
      </c>
      <c r="AC160" s="1">
        <f>'01_WHOQOL_Items'!AE160</f>
        <v>4</v>
      </c>
    </row>
    <row r="161" spans="1:29">
      <c r="A161" s="1" t="str">
        <f>'01_WHOQOL_Items'!A161</f>
        <v>EXP-160</v>
      </c>
      <c r="B161" s="1" t="str">
        <f>'01_WHOQOL_Items'!B161</f>
        <v>Experimental</v>
      </c>
      <c r="C161" s="4">
        <f>4*(((6-'01_WHOQOL_Items'!F161) + (6-'01_WHOQOL_Items'!G161) + '01_WHOQOL_Items'!M161 + '01_WHOQOL_Items'!R161 + '01_WHOQOL_Items'!S161 + '01_WHOQOL_Items'!T161 + '01_WHOQOL_Items'!U161)/7)</f>
        <v>16</v>
      </c>
      <c r="D161" s="4">
        <f>4*(((6-'01_WHOQOL_Items'!AF161) + (6-'01_WHOQOL_Items'!AG161) + '01_WHOQOL_Items'!AM161 + '01_WHOQOL_Items'!AR161 + '01_WHOQOL_Items'!AS161 + '01_WHOQOL_Items'!AT161 + '01_WHOQOL_Items'!AU161)/7)</f>
        <v>16.571428571428573</v>
      </c>
      <c r="E161" s="4">
        <f t="shared" si="30"/>
        <v>75</v>
      </c>
      <c r="F161" s="4">
        <f t="shared" si="31"/>
        <v>78.571428571428584</v>
      </c>
      <c r="G161" s="5">
        <f t="shared" si="32"/>
        <v>4.7619047619047783E-2</v>
      </c>
      <c r="H161" s="4">
        <f>4*(('01_WHOQOL_Items'!H161 + '01_WHOQOL_Items'!I161 + '01_WHOQOL_Items'!J161 + '01_WHOQOL_Items'!N161 + '01_WHOQOL_Items'!V161 + (6-'01_WHOQOL_Items'!AC161))/6)</f>
        <v>10.666666666666666</v>
      </c>
      <c r="I161" s="4">
        <f>4*(('01_WHOQOL_Items'!AH161 + '01_WHOQOL_Items'!AI161 + '01_WHOQOL_Items'!AJ161 + '01_WHOQOL_Items'!AN161 + '01_WHOQOL_Items'!AV161 + (6-'01_WHOQOL_Items'!BC161))/6)</f>
        <v>14</v>
      </c>
      <c r="J161" s="4">
        <f t="shared" si="33"/>
        <v>41.666666666666664</v>
      </c>
      <c r="K161" s="4">
        <f t="shared" si="34"/>
        <v>62.5</v>
      </c>
      <c r="L161" s="5">
        <f t="shared" si="35"/>
        <v>0.50000000000000011</v>
      </c>
      <c r="M161" s="4">
        <f>4*(('01_WHOQOL_Items'!W161 + '01_WHOQOL_Items'!X161 + '01_WHOQOL_Items'!Y161)/3)</f>
        <v>12</v>
      </c>
      <c r="N161" s="4">
        <f>4*(('01_WHOQOL_Items'!AW161 + '01_WHOQOL_Items'!AX161 + '01_WHOQOL_Items'!AY161)/3)</f>
        <v>18.666666666666668</v>
      </c>
      <c r="O161" s="4">
        <f t="shared" si="36"/>
        <v>50</v>
      </c>
      <c r="P161" s="4">
        <f t="shared" si="37"/>
        <v>91.666666666666671</v>
      </c>
      <c r="Q161" s="5">
        <f t="shared" si="38"/>
        <v>0.83333333333333348</v>
      </c>
      <c r="R161" s="4">
        <f>4*(('01_WHOQOL_Items'!K161 + '01_WHOQOL_Items'!L161 + '01_WHOQOL_Items'!O161 + '01_WHOQOL_Items'!P161 + '01_WHOQOL_Items'!Q161 + '01_WHOQOL_Items'!Z161 + '01_WHOQOL_Items'!AA161 + '01_WHOQOL_Items'!AB161)/8)</f>
        <v>12.5</v>
      </c>
      <c r="S161" s="4">
        <f>4*(('01_WHOQOL_Items'!AK161 + '01_WHOQOL_Items'!AL161 + '01_WHOQOL_Items'!AO161 + '01_WHOQOL_Items'!AP161 + '01_WHOQOL_Items'!AQ161 + '01_WHOQOL_Items'!AZ161 + '01_WHOQOL_Items'!BA161 + '01_WHOQOL_Items'!BB161)/8)</f>
        <v>14.5</v>
      </c>
      <c r="T161" s="4">
        <f t="shared" si="39"/>
        <v>53.125</v>
      </c>
      <c r="U161" s="4">
        <f t="shared" si="40"/>
        <v>65.625</v>
      </c>
      <c r="V161" s="5">
        <f t="shared" si="41"/>
        <v>0.23529411764705882</v>
      </c>
      <c r="W161" s="4">
        <f t="shared" si="42"/>
        <v>54.947916666666664</v>
      </c>
      <c r="X161" s="4">
        <f t="shared" si="43"/>
        <v>74.59077380952381</v>
      </c>
      <c r="Y161" s="5">
        <f t="shared" si="44"/>
        <v>0.35748138117806372</v>
      </c>
      <c r="Z161" s="1">
        <f>'01_WHOQOL_Items'!D161</f>
        <v>3</v>
      </c>
      <c r="AA161" s="1">
        <f>'01_WHOQOL_Items'!AD161</f>
        <v>4</v>
      </c>
      <c r="AB161" s="1">
        <f>'01_WHOQOL_Items'!E161</f>
        <v>4</v>
      </c>
      <c r="AC161" s="1">
        <f>'01_WHOQOL_Items'!AE161</f>
        <v>4</v>
      </c>
    </row>
    <row r="162" spans="1:29">
      <c r="A162" s="1" t="str">
        <f>'01_WHOQOL_Items'!A162</f>
        <v>EXP-161</v>
      </c>
      <c r="B162" s="1" t="str">
        <f>'01_WHOQOL_Items'!B162</f>
        <v>Experimental</v>
      </c>
      <c r="C162" s="4">
        <f>4*(((6-'01_WHOQOL_Items'!F162) + (6-'01_WHOQOL_Items'!G162) + '01_WHOQOL_Items'!M162 + '01_WHOQOL_Items'!R162 + '01_WHOQOL_Items'!S162 + '01_WHOQOL_Items'!T162 + '01_WHOQOL_Items'!U162)/7)</f>
        <v>11.428571428571429</v>
      </c>
      <c r="D162" s="4">
        <f>4*(((6-'01_WHOQOL_Items'!AF162) + (6-'01_WHOQOL_Items'!AG162) + '01_WHOQOL_Items'!AM162 + '01_WHOQOL_Items'!AR162 + '01_WHOQOL_Items'!AS162 + '01_WHOQOL_Items'!AT162 + '01_WHOQOL_Items'!AU162)/7)</f>
        <v>11.428571428571429</v>
      </c>
      <c r="E162" s="4">
        <f t="shared" si="30"/>
        <v>46.428571428571431</v>
      </c>
      <c r="F162" s="4">
        <f t="shared" si="31"/>
        <v>46.428571428571431</v>
      </c>
      <c r="G162" s="5">
        <f t="shared" si="32"/>
        <v>0</v>
      </c>
      <c r="H162" s="4">
        <f>4*(('01_WHOQOL_Items'!H162 + '01_WHOQOL_Items'!I162 + '01_WHOQOL_Items'!J162 + '01_WHOQOL_Items'!N162 + '01_WHOQOL_Items'!V162 + (6-'01_WHOQOL_Items'!AC162))/6)</f>
        <v>12</v>
      </c>
      <c r="I162" s="4">
        <f>4*(('01_WHOQOL_Items'!AH162 + '01_WHOQOL_Items'!AI162 + '01_WHOQOL_Items'!AJ162 + '01_WHOQOL_Items'!AN162 + '01_WHOQOL_Items'!AV162 + (6-'01_WHOQOL_Items'!BC162))/6)</f>
        <v>11.333333333333334</v>
      </c>
      <c r="J162" s="4">
        <f t="shared" si="33"/>
        <v>50</v>
      </c>
      <c r="K162" s="4">
        <f t="shared" si="34"/>
        <v>45.833333333333336</v>
      </c>
      <c r="L162" s="5">
        <f t="shared" si="35"/>
        <v>-8.3333333333333287E-2</v>
      </c>
      <c r="M162" s="4">
        <f>4*(('01_WHOQOL_Items'!W162 + '01_WHOQOL_Items'!X162 + '01_WHOQOL_Items'!Y162)/3)</f>
        <v>14.666666666666666</v>
      </c>
      <c r="N162" s="4">
        <f>4*(('01_WHOQOL_Items'!AW162 + '01_WHOQOL_Items'!AX162 + '01_WHOQOL_Items'!AY162)/3)</f>
        <v>16</v>
      </c>
      <c r="O162" s="4">
        <f t="shared" si="36"/>
        <v>66.666666666666657</v>
      </c>
      <c r="P162" s="4">
        <f t="shared" si="37"/>
        <v>75</v>
      </c>
      <c r="Q162" s="5">
        <f t="shared" si="38"/>
        <v>0.12500000000000017</v>
      </c>
      <c r="R162" s="4">
        <f>4*(('01_WHOQOL_Items'!K162 + '01_WHOQOL_Items'!L162 + '01_WHOQOL_Items'!O162 + '01_WHOQOL_Items'!P162 + '01_WHOQOL_Items'!Q162 + '01_WHOQOL_Items'!Z162 + '01_WHOQOL_Items'!AA162 + '01_WHOQOL_Items'!AB162)/8)</f>
        <v>12.5</v>
      </c>
      <c r="S162" s="4">
        <f>4*(('01_WHOQOL_Items'!AK162 + '01_WHOQOL_Items'!AL162 + '01_WHOQOL_Items'!AO162 + '01_WHOQOL_Items'!AP162 + '01_WHOQOL_Items'!AQ162 + '01_WHOQOL_Items'!AZ162 + '01_WHOQOL_Items'!BA162 + '01_WHOQOL_Items'!BB162)/8)</f>
        <v>15</v>
      </c>
      <c r="T162" s="4">
        <f t="shared" si="39"/>
        <v>53.125</v>
      </c>
      <c r="U162" s="4">
        <f t="shared" si="40"/>
        <v>68.75</v>
      </c>
      <c r="V162" s="5">
        <f t="shared" si="41"/>
        <v>0.29411764705882354</v>
      </c>
      <c r="W162" s="4">
        <f t="shared" si="42"/>
        <v>54.055059523809518</v>
      </c>
      <c r="X162" s="4">
        <f t="shared" si="43"/>
        <v>59.00297619047619</v>
      </c>
      <c r="Y162" s="5">
        <f t="shared" si="44"/>
        <v>9.1534755677907878E-2</v>
      </c>
      <c r="Z162" s="1">
        <f>'01_WHOQOL_Items'!D162</f>
        <v>3</v>
      </c>
      <c r="AA162" s="1">
        <f>'01_WHOQOL_Items'!AD162</f>
        <v>4</v>
      </c>
      <c r="AB162" s="1">
        <f>'01_WHOQOL_Items'!E162</f>
        <v>2</v>
      </c>
      <c r="AC162" s="1">
        <f>'01_WHOQOL_Items'!AE162</f>
        <v>2</v>
      </c>
    </row>
    <row r="163" spans="1:29">
      <c r="A163" s="1" t="str">
        <f>'01_WHOQOL_Items'!A163</f>
        <v>EXP-162</v>
      </c>
      <c r="B163" s="1" t="str">
        <f>'01_WHOQOL_Items'!B163</f>
        <v>Experimental</v>
      </c>
      <c r="C163" s="4">
        <f>4*(((6-'01_WHOQOL_Items'!F163) + (6-'01_WHOQOL_Items'!G163) + '01_WHOQOL_Items'!M163 + '01_WHOQOL_Items'!R163 + '01_WHOQOL_Items'!S163 + '01_WHOQOL_Items'!T163 + '01_WHOQOL_Items'!U163)/7)</f>
        <v>11.428571428571429</v>
      </c>
      <c r="D163" s="4">
        <f>4*(((6-'01_WHOQOL_Items'!AF163) + (6-'01_WHOQOL_Items'!AG163) + '01_WHOQOL_Items'!AM163 + '01_WHOQOL_Items'!AR163 + '01_WHOQOL_Items'!AS163 + '01_WHOQOL_Items'!AT163 + '01_WHOQOL_Items'!AU163)/7)</f>
        <v>16</v>
      </c>
      <c r="E163" s="4">
        <f t="shared" si="30"/>
        <v>46.428571428571431</v>
      </c>
      <c r="F163" s="4">
        <f t="shared" si="31"/>
        <v>75</v>
      </c>
      <c r="G163" s="5">
        <f t="shared" si="32"/>
        <v>0.61538461538461531</v>
      </c>
      <c r="H163" s="4">
        <f>4*(('01_WHOQOL_Items'!H163 + '01_WHOQOL_Items'!I163 + '01_WHOQOL_Items'!J163 + '01_WHOQOL_Items'!N163 + '01_WHOQOL_Items'!V163 + (6-'01_WHOQOL_Items'!AC163))/6)</f>
        <v>10.666666666666666</v>
      </c>
      <c r="I163" s="4">
        <f>4*(('01_WHOQOL_Items'!AH163 + '01_WHOQOL_Items'!AI163 + '01_WHOQOL_Items'!AJ163 + '01_WHOQOL_Items'!AN163 + '01_WHOQOL_Items'!AV163 + (6-'01_WHOQOL_Items'!BC163))/6)</f>
        <v>11.333333333333334</v>
      </c>
      <c r="J163" s="4">
        <f t="shared" si="33"/>
        <v>41.666666666666664</v>
      </c>
      <c r="K163" s="4">
        <f t="shared" si="34"/>
        <v>45.833333333333336</v>
      </c>
      <c r="L163" s="5">
        <f t="shared" si="35"/>
        <v>0.10000000000000012</v>
      </c>
      <c r="M163" s="4">
        <f>4*(('01_WHOQOL_Items'!W163 + '01_WHOQOL_Items'!X163 + '01_WHOQOL_Items'!Y163)/3)</f>
        <v>9.3333333333333339</v>
      </c>
      <c r="N163" s="4">
        <f>4*(('01_WHOQOL_Items'!AW163 + '01_WHOQOL_Items'!AX163 + '01_WHOQOL_Items'!AY163)/3)</f>
        <v>12</v>
      </c>
      <c r="O163" s="4">
        <f t="shared" si="36"/>
        <v>33.333333333333336</v>
      </c>
      <c r="P163" s="4">
        <f t="shared" si="37"/>
        <v>50</v>
      </c>
      <c r="Q163" s="5">
        <f t="shared" si="38"/>
        <v>0.49999999999999989</v>
      </c>
      <c r="R163" s="4">
        <f>4*(('01_WHOQOL_Items'!K163 + '01_WHOQOL_Items'!L163 + '01_WHOQOL_Items'!O163 + '01_WHOQOL_Items'!P163 + '01_WHOQOL_Items'!Q163 + '01_WHOQOL_Items'!Z163 + '01_WHOQOL_Items'!AA163 + '01_WHOQOL_Items'!AB163)/8)</f>
        <v>10.5</v>
      </c>
      <c r="S163" s="4">
        <f>4*(('01_WHOQOL_Items'!AK163 + '01_WHOQOL_Items'!AL163 + '01_WHOQOL_Items'!AO163 + '01_WHOQOL_Items'!AP163 + '01_WHOQOL_Items'!AQ163 + '01_WHOQOL_Items'!AZ163 + '01_WHOQOL_Items'!BA163 + '01_WHOQOL_Items'!BB163)/8)</f>
        <v>10.5</v>
      </c>
      <c r="T163" s="4">
        <f t="shared" si="39"/>
        <v>40.625</v>
      </c>
      <c r="U163" s="4">
        <f t="shared" si="40"/>
        <v>40.625</v>
      </c>
      <c r="V163" s="5">
        <f t="shared" si="41"/>
        <v>0</v>
      </c>
      <c r="W163" s="4">
        <f t="shared" si="42"/>
        <v>40.513392857142861</v>
      </c>
      <c r="X163" s="4">
        <f t="shared" si="43"/>
        <v>52.864583333333336</v>
      </c>
      <c r="Y163" s="5">
        <f t="shared" si="44"/>
        <v>0.30486685032139571</v>
      </c>
      <c r="Z163" s="1">
        <f>'01_WHOQOL_Items'!D163</f>
        <v>3</v>
      </c>
      <c r="AA163" s="1">
        <f>'01_WHOQOL_Items'!AD163</f>
        <v>2</v>
      </c>
      <c r="AB163" s="1">
        <f>'01_WHOQOL_Items'!E163</f>
        <v>3</v>
      </c>
      <c r="AC163" s="1">
        <f>'01_WHOQOL_Items'!AE163</f>
        <v>5</v>
      </c>
    </row>
    <row r="164" spans="1:29">
      <c r="A164" s="1" t="str">
        <f>'01_WHOQOL_Items'!A164</f>
        <v>EXP-163</v>
      </c>
      <c r="B164" s="1" t="str">
        <f>'01_WHOQOL_Items'!B164</f>
        <v>Experimental</v>
      </c>
      <c r="C164" s="4">
        <f>4*(((6-'01_WHOQOL_Items'!F164) + (6-'01_WHOQOL_Items'!G164) + '01_WHOQOL_Items'!M164 + '01_WHOQOL_Items'!R164 + '01_WHOQOL_Items'!S164 + '01_WHOQOL_Items'!T164 + '01_WHOQOL_Items'!U164)/7)</f>
        <v>14.285714285714286</v>
      </c>
      <c r="D164" s="4">
        <f>4*(((6-'01_WHOQOL_Items'!AF164) + (6-'01_WHOQOL_Items'!AG164) + '01_WHOQOL_Items'!AM164 + '01_WHOQOL_Items'!AR164 + '01_WHOQOL_Items'!AS164 + '01_WHOQOL_Items'!AT164 + '01_WHOQOL_Items'!AU164)/7)</f>
        <v>15.428571428571429</v>
      </c>
      <c r="E164" s="4">
        <f t="shared" si="30"/>
        <v>64.285714285714292</v>
      </c>
      <c r="F164" s="4">
        <f t="shared" si="31"/>
        <v>71.428571428571431</v>
      </c>
      <c r="G164" s="5">
        <f t="shared" si="32"/>
        <v>0.11111111111111104</v>
      </c>
      <c r="H164" s="4">
        <f>4*(('01_WHOQOL_Items'!H164 + '01_WHOQOL_Items'!I164 + '01_WHOQOL_Items'!J164 + '01_WHOQOL_Items'!N164 + '01_WHOQOL_Items'!V164 + (6-'01_WHOQOL_Items'!AC164))/6)</f>
        <v>11.333333333333334</v>
      </c>
      <c r="I164" s="4">
        <f>4*(('01_WHOQOL_Items'!AH164 + '01_WHOQOL_Items'!AI164 + '01_WHOQOL_Items'!AJ164 + '01_WHOQOL_Items'!AN164 + '01_WHOQOL_Items'!AV164 + (6-'01_WHOQOL_Items'!BC164))/6)</f>
        <v>14</v>
      </c>
      <c r="J164" s="4">
        <f t="shared" si="33"/>
        <v>45.833333333333336</v>
      </c>
      <c r="K164" s="4">
        <f t="shared" si="34"/>
        <v>62.5</v>
      </c>
      <c r="L164" s="5">
        <f t="shared" si="35"/>
        <v>0.36363636363636359</v>
      </c>
      <c r="M164" s="4">
        <f>4*(('01_WHOQOL_Items'!W164 + '01_WHOQOL_Items'!X164 + '01_WHOQOL_Items'!Y164)/3)</f>
        <v>10.666666666666666</v>
      </c>
      <c r="N164" s="4">
        <f>4*(('01_WHOQOL_Items'!AW164 + '01_WHOQOL_Items'!AX164 + '01_WHOQOL_Items'!AY164)/3)</f>
        <v>9.3333333333333339</v>
      </c>
      <c r="O164" s="4">
        <f t="shared" si="36"/>
        <v>41.666666666666664</v>
      </c>
      <c r="P164" s="4">
        <f t="shared" si="37"/>
        <v>33.333333333333336</v>
      </c>
      <c r="Q164" s="5">
        <f t="shared" si="38"/>
        <v>-0.1999999999999999</v>
      </c>
      <c r="R164" s="4">
        <f>4*(('01_WHOQOL_Items'!K164 + '01_WHOQOL_Items'!L164 + '01_WHOQOL_Items'!O164 + '01_WHOQOL_Items'!P164 + '01_WHOQOL_Items'!Q164 + '01_WHOQOL_Items'!Z164 + '01_WHOQOL_Items'!AA164 + '01_WHOQOL_Items'!AB164)/8)</f>
        <v>14.5</v>
      </c>
      <c r="S164" s="4">
        <f>4*(('01_WHOQOL_Items'!AK164 + '01_WHOQOL_Items'!AL164 + '01_WHOQOL_Items'!AO164 + '01_WHOQOL_Items'!AP164 + '01_WHOQOL_Items'!AQ164 + '01_WHOQOL_Items'!AZ164 + '01_WHOQOL_Items'!BA164 + '01_WHOQOL_Items'!BB164)/8)</f>
        <v>16</v>
      </c>
      <c r="T164" s="4">
        <f t="shared" si="39"/>
        <v>65.625</v>
      </c>
      <c r="U164" s="4">
        <f t="shared" si="40"/>
        <v>75</v>
      </c>
      <c r="V164" s="5">
        <f t="shared" si="41"/>
        <v>0.14285714285714285</v>
      </c>
      <c r="W164" s="4">
        <f t="shared" si="42"/>
        <v>54.352678571428569</v>
      </c>
      <c r="X164" s="4">
        <f t="shared" si="43"/>
        <v>60.565476190476197</v>
      </c>
      <c r="Y164" s="5">
        <f t="shared" si="44"/>
        <v>0.11430527036276539</v>
      </c>
      <c r="Z164" s="1">
        <f>'01_WHOQOL_Items'!D164</f>
        <v>3</v>
      </c>
      <c r="AA164" s="1">
        <f>'01_WHOQOL_Items'!AD164</f>
        <v>3</v>
      </c>
      <c r="AB164" s="1">
        <f>'01_WHOQOL_Items'!E164</f>
        <v>3</v>
      </c>
      <c r="AC164" s="1">
        <f>'01_WHOQOL_Items'!AE164</f>
        <v>3</v>
      </c>
    </row>
    <row r="165" spans="1:29">
      <c r="A165" s="1" t="str">
        <f>'01_WHOQOL_Items'!A165</f>
        <v>EXP-164</v>
      </c>
      <c r="B165" s="1" t="str">
        <f>'01_WHOQOL_Items'!B165</f>
        <v>Experimental</v>
      </c>
      <c r="C165" s="4">
        <f>4*(((6-'01_WHOQOL_Items'!F165) + (6-'01_WHOQOL_Items'!G165) + '01_WHOQOL_Items'!M165 + '01_WHOQOL_Items'!R165 + '01_WHOQOL_Items'!S165 + '01_WHOQOL_Items'!T165 + '01_WHOQOL_Items'!U165)/7)</f>
        <v>8</v>
      </c>
      <c r="D165" s="4">
        <f>4*(((6-'01_WHOQOL_Items'!AF165) + (6-'01_WHOQOL_Items'!AG165) + '01_WHOQOL_Items'!AM165 + '01_WHOQOL_Items'!AR165 + '01_WHOQOL_Items'!AS165 + '01_WHOQOL_Items'!AT165 + '01_WHOQOL_Items'!AU165)/7)</f>
        <v>12.571428571428571</v>
      </c>
      <c r="E165" s="4">
        <f t="shared" si="30"/>
        <v>25</v>
      </c>
      <c r="F165" s="4">
        <f t="shared" si="31"/>
        <v>53.571428571428569</v>
      </c>
      <c r="G165" s="5">
        <f t="shared" si="32"/>
        <v>1.1428571428571428</v>
      </c>
      <c r="H165" s="4">
        <f>4*(('01_WHOQOL_Items'!H165 + '01_WHOQOL_Items'!I165 + '01_WHOQOL_Items'!J165 + '01_WHOQOL_Items'!N165 + '01_WHOQOL_Items'!V165 + (6-'01_WHOQOL_Items'!AC165))/6)</f>
        <v>12</v>
      </c>
      <c r="I165" s="4">
        <f>4*(('01_WHOQOL_Items'!AH165 + '01_WHOQOL_Items'!AI165 + '01_WHOQOL_Items'!AJ165 + '01_WHOQOL_Items'!AN165 + '01_WHOQOL_Items'!AV165 + (6-'01_WHOQOL_Items'!BC165))/6)</f>
        <v>16.666666666666668</v>
      </c>
      <c r="J165" s="4">
        <f t="shared" si="33"/>
        <v>50</v>
      </c>
      <c r="K165" s="4">
        <f t="shared" si="34"/>
        <v>79.166666666666671</v>
      </c>
      <c r="L165" s="5">
        <f t="shared" si="35"/>
        <v>0.58333333333333348</v>
      </c>
      <c r="M165" s="4">
        <f>4*(('01_WHOQOL_Items'!W165 + '01_WHOQOL_Items'!X165 + '01_WHOQOL_Items'!Y165)/3)</f>
        <v>10.666666666666666</v>
      </c>
      <c r="N165" s="4">
        <f>4*(('01_WHOQOL_Items'!AW165 + '01_WHOQOL_Items'!AX165 + '01_WHOQOL_Items'!AY165)/3)</f>
        <v>12</v>
      </c>
      <c r="O165" s="4">
        <f t="shared" si="36"/>
        <v>41.666666666666664</v>
      </c>
      <c r="P165" s="4">
        <f t="shared" si="37"/>
        <v>50</v>
      </c>
      <c r="Q165" s="5">
        <f t="shared" si="38"/>
        <v>0.20000000000000007</v>
      </c>
      <c r="R165" s="4">
        <f>4*(('01_WHOQOL_Items'!K165 + '01_WHOQOL_Items'!L165 + '01_WHOQOL_Items'!O165 + '01_WHOQOL_Items'!P165 + '01_WHOQOL_Items'!Q165 + '01_WHOQOL_Items'!Z165 + '01_WHOQOL_Items'!AA165 + '01_WHOQOL_Items'!AB165)/8)</f>
        <v>12</v>
      </c>
      <c r="S165" s="4">
        <f>4*(('01_WHOQOL_Items'!AK165 + '01_WHOQOL_Items'!AL165 + '01_WHOQOL_Items'!AO165 + '01_WHOQOL_Items'!AP165 + '01_WHOQOL_Items'!AQ165 + '01_WHOQOL_Items'!AZ165 + '01_WHOQOL_Items'!BA165 + '01_WHOQOL_Items'!BB165)/8)</f>
        <v>12</v>
      </c>
      <c r="T165" s="4">
        <f t="shared" si="39"/>
        <v>50</v>
      </c>
      <c r="U165" s="4">
        <f t="shared" si="40"/>
        <v>50</v>
      </c>
      <c r="V165" s="5">
        <f t="shared" si="41"/>
        <v>0</v>
      </c>
      <c r="W165" s="4">
        <f t="shared" si="42"/>
        <v>41.666666666666664</v>
      </c>
      <c r="X165" s="4">
        <f t="shared" si="43"/>
        <v>58.18452380952381</v>
      </c>
      <c r="Y165" s="5">
        <f t="shared" si="44"/>
        <v>0.39642857142857152</v>
      </c>
      <c r="Z165" s="1">
        <f>'01_WHOQOL_Items'!D165</f>
        <v>3</v>
      </c>
      <c r="AA165" s="1">
        <f>'01_WHOQOL_Items'!AD165</f>
        <v>3</v>
      </c>
      <c r="AB165" s="1">
        <f>'01_WHOQOL_Items'!E165</f>
        <v>4</v>
      </c>
      <c r="AC165" s="1">
        <f>'01_WHOQOL_Items'!AE165</f>
        <v>3</v>
      </c>
    </row>
    <row r="166" spans="1:29">
      <c r="A166" s="1" t="str">
        <f>'01_WHOQOL_Items'!A166</f>
        <v>EXP-165</v>
      </c>
      <c r="B166" s="1" t="str">
        <f>'01_WHOQOL_Items'!B166</f>
        <v>Experimental</v>
      </c>
      <c r="C166" s="4">
        <f>4*(((6-'01_WHOQOL_Items'!F166) + (6-'01_WHOQOL_Items'!G166) + '01_WHOQOL_Items'!M166 + '01_WHOQOL_Items'!R166 + '01_WHOQOL_Items'!S166 + '01_WHOQOL_Items'!T166 + '01_WHOQOL_Items'!U166)/7)</f>
        <v>14.285714285714286</v>
      </c>
      <c r="D166" s="4">
        <f>4*(((6-'01_WHOQOL_Items'!AF166) + (6-'01_WHOQOL_Items'!AG166) + '01_WHOQOL_Items'!AM166 + '01_WHOQOL_Items'!AR166 + '01_WHOQOL_Items'!AS166 + '01_WHOQOL_Items'!AT166 + '01_WHOQOL_Items'!AU166)/7)</f>
        <v>15.428571428571429</v>
      </c>
      <c r="E166" s="4">
        <f t="shared" si="30"/>
        <v>64.285714285714292</v>
      </c>
      <c r="F166" s="4">
        <f t="shared" si="31"/>
        <v>71.428571428571431</v>
      </c>
      <c r="G166" s="5">
        <f t="shared" si="32"/>
        <v>0.11111111111111104</v>
      </c>
      <c r="H166" s="4">
        <f>4*(('01_WHOQOL_Items'!H166 + '01_WHOQOL_Items'!I166 + '01_WHOQOL_Items'!J166 + '01_WHOQOL_Items'!N166 + '01_WHOQOL_Items'!V166 + (6-'01_WHOQOL_Items'!AC166))/6)</f>
        <v>7.333333333333333</v>
      </c>
      <c r="I166" s="4">
        <f>4*(('01_WHOQOL_Items'!AH166 + '01_WHOQOL_Items'!AI166 + '01_WHOQOL_Items'!AJ166 + '01_WHOQOL_Items'!AN166 + '01_WHOQOL_Items'!AV166 + (6-'01_WHOQOL_Items'!BC166))/6)</f>
        <v>11.333333333333334</v>
      </c>
      <c r="J166" s="4">
        <f t="shared" si="33"/>
        <v>20.833333333333332</v>
      </c>
      <c r="K166" s="4">
        <f t="shared" si="34"/>
        <v>45.833333333333336</v>
      </c>
      <c r="L166" s="5">
        <f t="shared" si="35"/>
        <v>1.2000000000000002</v>
      </c>
      <c r="M166" s="4">
        <f>4*(('01_WHOQOL_Items'!W166 + '01_WHOQOL_Items'!X166 + '01_WHOQOL_Items'!Y166)/3)</f>
        <v>12</v>
      </c>
      <c r="N166" s="4">
        <f>4*(('01_WHOQOL_Items'!AW166 + '01_WHOQOL_Items'!AX166 + '01_WHOQOL_Items'!AY166)/3)</f>
        <v>16</v>
      </c>
      <c r="O166" s="4">
        <f t="shared" si="36"/>
        <v>50</v>
      </c>
      <c r="P166" s="4">
        <f t="shared" si="37"/>
        <v>75</v>
      </c>
      <c r="Q166" s="5">
        <f t="shared" si="38"/>
        <v>0.5</v>
      </c>
      <c r="R166" s="4">
        <f>4*(('01_WHOQOL_Items'!K166 + '01_WHOQOL_Items'!L166 + '01_WHOQOL_Items'!O166 + '01_WHOQOL_Items'!P166 + '01_WHOQOL_Items'!Q166 + '01_WHOQOL_Items'!Z166 + '01_WHOQOL_Items'!AA166 + '01_WHOQOL_Items'!AB166)/8)</f>
        <v>10</v>
      </c>
      <c r="S166" s="4">
        <f>4*(('01_WHOQOL_Items'!AK166 + '01_WHOQOL_Items'!AL166 + '01_WHOQOL_Items'!AO166 + '01_WHOQOL_Items'!AP166 + '01_WHOQOL_Items'!AQ166 + '01_WHOQOL_Items'!AZ166 + '01_WHOQOL_Items'!BA166 + '01_WHOQOL_Items'!BB166)/8)</f>
        <v>9.5</v>
      </c>
      <c r="T166" s="4">
        <f t="shared" si="39"/>
        <v>37.5</v>
      </c>
      <c r="U166" s="4">
        <f t="shared" si="40"/>
        <v>34.375</v>
      </c>
      <c r="V166" s="5">
        <f t="shared" si="41"/>
        <v>-8.3333333333333329E-2</v>
      </c>
      <c r="W166" s="4">
        <f t="shared" si="42"/>
        <v>43.154761904761905</v>
      </c>
      <c r="X166" s="4">
        <f t="shared" si="43"/>
        <v>56.65922619047619</v>
      </c>
      <c r="Y166" s="5">
        <f t="shared" si="44"/>
        <v>0.31293103448275861</v>
      </c>
      <c r="Z166" s="1">
        <f>'01_WHOQOL_Items'!D166</f>
        <v>3</v>
      </c>
      <c r="AA166" s="1">
        <f>'01_WHOQOL_Items'!AD166</f>
        <v>3</v>
      </c>
      <c r="AB166" s="1">
        <f>'01_WHOQOL_Items'!E166</f>
        <v>4</v>
      </c>
      <c r="AC166" s="1">
        <f>'01_WHOQOL_Items'!AE166</f>
        <v>4</v>
      </c>
    </row>
    <row r="167" spans="1:29">
      <c r="A167" s="1" t="str">
        <f>'01_WHOQOL_Items'!A167</f>
        <v>EXP-166</v>
      </c>
      <c r="B167" s="1" t="str">
        <f>'01_WHOQOL_Items'!B167</f>
        <v>Experimental</v>
      </c>
      <c r="C167" s="4">
        <f>4*(((6-'01_WHOQOL_Items'!F167) + (6-'01_WHOQOL_Items'!G167) + '01_WHOQOL_Items'!M167 + '01_WHOQOL_Items'!R167 + '01_WHOQOL_Items'!S167 + '01_WHOQOL_Items'!T167 + '01_WHOQOL_Items'!U167)/7)</f>
        <v>12.571428571428571</v>
      </c>
      <c r="D167" s="4">
        <f>4*(((6-'01_WHOQOL_Items'!AF167) + (6-'01_WHOQOL_Items'!AG167) + '01_WHOQOL_Items'!AM167 + '01_WHOQOL_Items'!AR167 + '01_WHOQOL_Items'!AS167 + '01_WHOQOL_Items'!AT167 + '01_WHOQOL_Items'!AU167)/7)</f>
        <v>14.857142857142858</v>
      </c>
      <c r="E167" s="4">
        <f t="shared" si="30"/>
        <v>53.571428571428569</v>
      </c>
      <c r="F167" s="4">
        <f t="shared" si="31"/>
        <v>67.857142857142861</v>
      </c>
      <c r="G167" s="5">
        <f t="shared" si="32"/>
        <v>0.26666666666666677</v>
      </c>
      <c r="H167" s="4">
        <f>4*(('01_WHOQOL_Items'!H167 + '01_WHOQOL_Items'!I167 + '01_WHOQOL_Items'!J167 + '01_WHOQOL_Items'!N167 + '01_WHOQOL_Items'!V167 + (6-'01_WHOQOL_Items'!AC167))/6)</f>
        <v>10.666666666666666</v>
      </c>
      <c r="I167" s="4">
        <f>4*(('01_WHOQOL_Items'!AH167 + '01_WHOQOL_Items'!AI167 + '01_WHOQOL_Items'!AJ167 + '01_WHOQOL_Items'!AN167 + '01_WHOQOL_Items'!AV167 + (6-'01_WHOQOL_Items'!BC167))/6)</f>
        <v>12</v>
      </c>
      <c r="J167" s="4">
        <f t="shared" si="33"/>
        <v>41.666666666666664</v>
      </c>
      <c r="K167" s="4">
        <f t="shared" si="34"/>
        <v>50</v>
      </c>
      <c r="L167" s="5">
        <f t="shared" si="35"/>
        <v>0.20000000000000007</v>
      </c>
      <c r="M167" s="4">
        <f>4*(('01_WHOQOL_Items'!W167 + '01_WHOQOL_Items'!X167 + '01_WHOQOL_Items'!Y167)/3)</f>
        <v>12</v>
      </c>
      <c r="N167" s="4">
        <f>4*(('01_WHOQOL_Items'!AW167 + '01_WHOQOL_Items'!AX167 + '01_WHOQOL_Items'!AY167)/3)</f>
        <v>17.333333333333332</v>
      </c>
      <c r="O167" s="4">
        <f t="shared" si="36"/>
        <v>50</v>
      </c>
      <c r="P167" s="4">
        <f t="shared" si="37"/>
        <v>83.333333333333329</v>
      </c>
      <c r="Q167" s="5">
        <f t="shared" si="38"/>
        <v>0.66666666666666652</v>
      </c>
      <c r="R167" s="4">
        <f>4*(('01_WHOQOL_Items'!K167 + '01_WHOQOL_Items'!L167 + '01_WHOQOL_Items'!O167 + '01_WHOQOL_Items'!P167 + '01_WHOQOL_Items'!Q167 + '01_WHOQOL_Items'!Z167 + '01_WHOQOL_Items'!AA167 + '01_WHOQOL_Items'!AB167)/8)</f>
        <v>15.5</v>
      </c>
      <c r="S167" s="4">
        <f>4*(('01_WHOQOL_Items'!AK167 + '01_WHOQOL_Items'!AL167 + '01_WHOQOL_Items'!AO167 + '01_WHOQOL_Items'!AP167 + '01_WHOQOL_Items'!AQ167 + '01_WHOQOL_Items'!AZ167 + '01_WHOQOL_Items'!BA167 + '01_WHOQOL_Items'!BB167)/8)</f>
        <v>16</v>
      </c>
      <c r="T167" s="4">
        <f t="shared" si="39"/>
        <v>71.875</v>
      </c>
      <c r="U167" s="4">
        <f t="shared" si="40"/>
        <v>75</v>
      </c>
      <c r="V167" s="5">
        <f t="shared" si="41"/>
        <v>4.3478260869565216E-2</v>
      </c>
      <c r="W167" s="4">
        <f t="shared" si="42"/>
        <v>54.27827380952381</v>
      </c>
      <c r="X167" s="4">
        <f t="shared" si="43"/>
        <v>69.047619047619051</v>
      </c>
      <c r="Y167" s="5">
        <f t="shared" si="44"/>
        <v>0.27210418094585337</v>
      </c>
      <c r="Z167" s="1">
        <f>'01_WHOQOL_Items'!D167</f>
        <v>3</v>
      </c>
      <c r="AA167" s="1">
        <f>'01_WHOQOL_Items'!AD167</f>
        <v>4</v>
      </c>
      <c r="AB167" s="1">
        <f>'01_WHOQOL_Items'!E167</f>
        <v>3</v>
      </c>
      <c r="AC167" s="1">
        <f>'01_WHOQOL_Items'!AE167</f>
        <v>3</v>
      </c>
    </row>
    <row r="168" spans="1:29">
      <c r="A168" s="1" t="str">
        <f>'01_WHOQOL_Items'!A168</f>
        <v>EXP-167</v>
      </c>
      <c r="B168" s="1" t="str">
        <f>'01_WHOQOL_Items'!B168</f>
        <v>Experimental</v>
      </c>
      <c r="C168" s="4">
        <f>4*(((6-'01_WHOQOL_Items'!F168) + (6-'01_WHOQOL_Items'!G168) + '01_WHOQOL_Items'!M168 + '01_WHOQOL_Items'!R168 + '01_WHOQOL_Items'!S168 + '01_WHOQOL_Items'!T168 + '01_WHOQOL_Items'!U168)/7)</f>
        <v>12</v>
      </c>
      <c r="D168" s="4">
        <f>4*(((6-'01_WHOQOL_Items'!AF168) + (6-'01_WHOQOL_Items'!AG168) + '01_WHOQOL_Items'!AM168 + '01_WHOQOL_Items'!AR168 + '01_WHOQOL_Items'!AS168 + '01_WHOQOL_Items'!AT168 + '01_WHOQOL_Items'!AU168)/7)</f>
        <v>15.428571428571429</v>
      </c>
      <c r="E168" s="4">
        <f t="shared" si="30"/>
        <v>50</v>
      </c>
      <c r="F168" s="4">
        <f t="shared" si="31"/>
        <v>71.428571428571431</v>
      </c>
      <c r="G168" s="5">
        <f t="shared" si="32"/>
        <v>0.4285714285714286</v>
      </c>
      <c r="H168" s="4">
        <f>4*(('01_WHOQOL_Items'!H168 + '01_WHOQOL_Items'!I168 + '01_WHOQOL_Items'!J168 + '01_WHOQOL_Items'!N168 + '01_WHOQOL_Items'!V168 + (6-'01_WHOQOL_Items'!AC168))/6)</f>
        <v>8.6666666666666661</v>
      </c>
      <c r="I168" s="4">
        <f>4*(('01_WHOQOL_Items'!AH168 + '01_WHOQOL_Items'!AI168 + '01_WHOQOL_Items'!AJ168 + '01_WHOQOL_Items'!AN168 + '01_WHOQOL_Items'!AV168 + (6-'01_WHOQOL_Items'!BC168))/6)</f>
        <v>12</v>
      </c>
      <c r="J168" s="4">
        <f t="shared" si="33"/>
        <v>29.166666666666664</v>
      </c>
      <c r="K168" s="4">
        <f t="shared" si="34"/>
        <v>50</v>
      </c>
      <c r="L168" s="5">
        <f t="shared" si="35"/>
        <v>0.71428571428571441</v>
      </c>
      <c r="M168" s="4">
        <f>4*(('01_WHOQOL_Items'!W168 + '01_WHOQOL_Items'!X168 + '01_WHOQOL_Items'!Y168)/3)</f>
        <v>12</v>
      </c>
      <c r="N168" s="4">
        <f>4*(('01_WHOQOL_Items'!AW168 + '01_WHOQOL_Items'!AX168 + '01_WHOQOL_Items'!AY168)/3)</f>
        <v>14.666666666666666</v>
      </c>
      <c r="O168" s="4">
        <f t="shared" si="36"/>
        <v>50</v>
      </c>
      <c r="P168" s="4">
        <f t="shared" si="37"/>
        <v>66.666666666666657</v>
      </c>
      <c r="Q168" s="5">
        <f t="shared" si="38"/>
        <v>0.33333333333333315</v>
      </c>
      <c r="R168" s="4">
        <f>4*(('01_WHOQOL_Items'!K168 + '01_WHOQOL_Items'!L168 + '01_WHOQOL_Items'!O168 + '01_WHOQOL_Items'!P168 + '01_WHOQOL_Items'!Q168 + '01_WHOQOL_Items'!Z168 + '01_WHOQOL_Items'!AA168 + '01_WHOQOL_Items'!AB168)/8)</f>
        <v>14</v>
      </c>
      <c r="S168" s="4">
        <f>4*(('01_WHOQOL_Items'!AK168 + '01_WHOQOL_Items'!AL168 + '01_WHOQOL_Items'!AO168 + '01_WHOQOL_Items'!AP168 + '01_WHOQOL_Items'!AQ168 + '01_WHOQOL_Items'!AZ168 + '01_WHOQOL_Items'!BA168 + '01_WHOQOL_Items'!BB168)/8)</f>
        <v>15</v>
      </c>
      <c r="T168" s="4">
        <f t="shared" si="39"/>
        <v>62.5</v>
      </c>
      <c r="U168" s="4">
        <f t="shared" si="40"/>
        <v>68.75</v>
      </c>
      <c r="V168" s="5">
        <f t="shared" si="41"/>
        <v>0.1</v>
      </c>
      <c r="W168" s="4">
        <f t="shared" si="42"/>
        <v>47.916666666666664</v>
      </c>
      <c r="X168" s="4">
        <f t="shared" si="43"/>
        <v>64.211309523809518</v>
      </c>
      <c r="Y168" s="5">
        <f t="shared" si="44"/>
        <v>0.34006211180124218</v>
      </c>
      <c r="Z168" s="1">
        <f>'01_WHOQOL_Items'!D168</f>
        <v>3</v>
      </c>
      <c r="AA168" s="1">
        <f>'01_WHOQOL_Items'!AD168</f>
        <v>3</v>
      </c>
      <c r="AB168" s="1">
        <f>'01_WHOQOL_Items'!E168</f>
        <v>3</v>
      </c>
      <c r="AC168" s="1">
        <f>'01_WHOQOL_Items'!AE168</f>
        <v>4</v>
      </c>
    </row>
    <row r="169" spans="1:29">
      <c r="A169" s="1" t="str">
        <f>'01_WHOQOL_Items'!A169</f>
        <v>EXP-168</v>
      </c>
      <c r="B169" s="1" t="str">
        <f>'01_WHOQOL_Items'!B169</f>
        <v>Experimental</v>
      </c>
      <c r="C169" s="4">
        <f>4*(((6-'01_WHOQOL_Items'!F169) + (6-'01_WHOQOL_Items'!G169) + '01_WHOQOL_Items'!M169 + '01_WHOQOL_Items'!R169 + '01_WHOQOL_Items'!S169 + '01_WHOQOL_Items'!T169 + '01_WHOQOL_Items'!U169)/7)</f>
        <v>9.7142857142857135</v>
      </c>
      <c r="D169" s="4">
        <f>4*(((6-'01_WHOQOL_Items'!AF169) + (6-'01_WHOQOL_Items'!AG169) + '01_WHOQOL_Items'!AM169 + '01_WHOQOL_Items'!AR169 + '01_WHOQOL_Items'!AS169 + '01_WHOQOL_Items'!AT169 + '01_WHOQOL_Items'!AU169)/7)</f>
        <v>11.428571428571429</v>
      </c>
      <c r="E169" s="4">
        <f t="shared" si="30"/>
        <v>35.714285714285708</v>
      </c>
      <c r="F169" s="4">
        <f t="shared" si="31"/>
        <v>46.428571428571431</v>
      </c>
      <c r="G169" s="5">
        <f t="shared" si="32"/>
        <v>0.30000000000000027</v>
      </c>
      <c r="H169" s="4">
        <f>4*(('01_WHOQOL_Items'!H169 + '01_WHOQOL_Items'!I169 + '01_WHOQOL_Items'!J169 + '01_WHOQOL_Items'!N169 + '01_WHOQOL_Items'!V169 + (6-'01_WHOQOL_Items'!AC169))/6)</f>
        <v>13.333333333333334</v>
      </c>
      <c r="I169" s="4">
        <f>4*(('01_WHOQOL_Items'!AH169 + '01_WHOQOL_Items'!AI169 + '01_WHOQOL_Items'!AJ169 + '01_WHOQOL_Items'!AN169 + '01_WHOQOL_Items'!AV169 + (6-'01_WHOQOL_Items'!BC169))/6)</f>
        <v>14</v>
      </c>
      <c r="J169" s="4">
        <f t="shared" si="33"/>
        <v>58.333333333333336</v>
      </c>
      <c r="K169" s="4">
        <f t="shared" si="34"/>
        <v>62.5</v>
      </c>
      <c r="L169" s="5">
        <f t="shared" si="35"/>
        <v>7.1428571428571383E-2</v>
      </c>
      <c r="M169" s="4">
        <f>4*(('01_WHOQOL_Items'!W169 + '01_WHOQOL_Items'!X169 + '01_WHOQOL_Items'!Y169)/3)</f>
        <v>12</v>
      </c>
      <c r="N169" s="4">
        <f>4*(('01_WHOQOL_Items'!AW169 + '01_WHOQOL_Items'!AX169 + '01_WHOQOL_Items'!AY169)/3)</f>
        <v>13.333333333333334</v>
      </c>
      <c r="O169" s="4">
        <f t="shared" si="36"/>
        <v>50</v>
      </c>
      <c r="P169" s="4">
        <f t="shared" si="37"/>
        <v>58.333333333333336</v>
      </c>
      <c r="Q169" s="5">
        <f t="shared" si="38"/>
        <v>0.16666666666666671</v>
      </c>
      <c r="R169" s="4">
        <f>4*(('01_WHOQOL_Items'!K169 + '01_WHOQOL_Items'!L169 + '01_WHOQOL_Items'!O169 + '01_WHOQOL_Items'!P169 + '01_WHOQOL_Items'!Q169 + '01_WHOQOL_Items'!Z169 + '01_WHOQOL_Items'!AA169 + '01_WHOQOL_Items'!AB169)/8)</f>
        <v>9.5</v>
      </c>
      <c r="S169" s="4">
        <f>4*(('01_WHOQOL_Items'!AK169 + '01_WHOQOL_Items'!AL169 + '01_WHOQOL_Items'!AO169 + '01_WHOQOL_Items'!AP169 + '01_WHOQOL_Items'!AQ169 + '01_WHOQOL_Items'!AZ169 + '01_WHOQOL_Items'!BA169 + '01_WHOQOL_Items'!BB169)/8)</f>
        <v>11.5</v>
      </c>
      <c r="T169" s="4">
        <f t="shared" si="39"/>
        <v>34.375</v>
      </c>
      <c r="U169" s="4">
        <f t="shared" si="40"/>
        <v>46.875</v>
      </c>
      <c r="V169" s="5">
        <f t="shared" si="41"/>
        <v>0.36363636363636365</v>
      </c>
      <c r="W169" s="4">
        <f t="shared" si="42"/>
        <v>44.605654761904759</v>
      </c>
      <c r="X169" s="4">
        <f t="shared" si="43"/>
        <v>53.53422619047619</v>
      </c>
      <c r="Y169" s="5">
        <f t="shared" si="44"/>
        <v>0.20016680567139289</v>
      </c>
      <c r="Z169" s="1">
        <f>'01_WHOQOL_Items'!D169</f>
        <v>3</v>
      </c>
      <c r="AA169" s="1">
        <f>'01_WHOQOL_Items'!AD169</f>
        <v>3</v>
      </c>
      <c r="AB169" s="1">
        <f>'01_WHOQOL_Items'!E169</f>
        <v>2</v>
      </c>
      <c r="AC169" s="1">
        <f>'01_WHOQOL_Items'!AE169</f>
        <v>3</v>
      </c>
    </row>
    <row r="170" spans="1:29">
      <c r="A170" s="1" t="str">
        <f>'01_WHOQOL_Items'!A170</f>
        <v>EXP-169</v>
      </c>
      <c r="B170" s="1" t="str">
        <f>'01_WHOQOL_Items'!B170</f>
        <v>Experimental</v>
      </c>
      <c r="C170" s="4">
        <f>4*(((6-'01_WHOQOL_Items'!F170) + (6-'01_WHOQOL_Items'!G170) + '01_WHOQOL_Items'!M170 + '01_WHOQOL_Items'!R170 + '01_WHOQOL_Items'!S170 + '01_WHOQOL_Items'!T170 + '01_WHOQOL_Items'!U170)/7)</f>
        <v>12.571428571428571</v>
      </c>
      <c r="D170" s="4">
        <f>4*(((6-'01_WHOQOL_Items'!AF170) + (6-'01_WHOQOL_Items'!AG170) + '01_WHOQOL_Items'!AM170 + '01_WHOQOL_Items'!AR170 + '01_WHOQOL_Items'!AS170 + '01_WHOQOL_Items'!AT170 + '01_WHOQOL_Items'!AU170)/7)</f>
        <v>16</v>
      </c>
      <c r="E170" s="4">
        <f t="shared" si="30"/>
        <v>53.571428571428569</v>
      </c>
      <c r="F170" s="4">
        <f t="shared" si="31"/>
        <v>75</v>
      </c>
      <c r="G170" s="5">
        <f t="shared" si="32"/>
        <v>0.40000000000000008</v>
      </c>
      <c r="H170" s="4">
        <f>4*(('01_WHOQOL_Items'!H170 + '01_WHOQOL_Items'!I170 + '01_WHOQOL_Items'!J170 + '01_WHOQOL_Items'!N170 + '01_WHOQOL_Items'!V170 + (6-'01_WHOQOL_Items'!AC170))/6)</f>
        <v>12</v>
      </c>
      <c r="I170" s="4">
        <f>4*(('01_WHOQOL_Items'!AH170 + '01_WHOQOL_Items'!AI170 + '01_WHOQOL_Items'!AJ170 + '01_WHOQOL_Items'!AN170 + '01_WHOQOL_Items'!AV170 + (6-'01_WHOQOL_Items'!BC170))/6)</f>
        <v>14</v>
      </c>
      <c r="J170" s="4">
        <f t="shared" si="33"/>
        <v>50</v>
      </c>
      <c r="K170" s="4">
        <f t="shared" si="34"/>
        <v>62.5</v>
      </c>
      <c r="L170" s="5">
        <f t="shared" si="35"/>
        <v>0.25</v>
      </c>
      <c r="M170" s="4">
        <f>4*(('01_WHOQOL_Items'!W170 + '01_WHOQOL_Items'!X170 + '01_WHOQOL_Items'!Y170)/3)</f>
        <v>9.3333333333333339</v>
      </c>
      <c r="N170" s="4">
        <f>4*(('01_WHOQOL_Items'!AW170 + '01_WHOQOL_Items'!AX170 + '01_WHOQOL_Items'!AY170)/3)</f>
        <v>10.666666666666666</v>
      </c>
      <c r="O170" s="4">
        <f t="shared" si="36"/>
        <v>33.333333333333336</v>
      </c>
      <c r="P170" s="4">
        <f t="shared" si="37"/>
        <v>41.666666666666664</v>
      </c>
      <c r="Q170" s="5">
        <f t="shared" si="38"/>
        <v>0.24999999999999983</v>
      </c>
      <c r="R170" s="4">
        <f>4*(('01_WHOQOL_Items'!K170 + '01_WHOQOL_Items'!L170 + '01_WHOQOL_Items'!O170 + '01_WHOQOL_Items'!P170 + '01_WHOQOL_Items'!Q170 + '01_WHOQOL_Items'!Z170 + '01_WHOQOL_Items'!AA170 + '01_WHOQOL_Items'!AB170)/8)</f>
        <v>10.5</v>
      </c>
      <c r="S170" s="4">
        <f>4*(('01_WHOQOL_Items'!AK170 + '01_WHOQOL_Items'!AL170 + '01_WHOQOL_Items'!AO170 + '01_WHOQOL_Items'!AP170 + '01_WHOQOL_Items'!AQ170 + '01_WHOQOL_Items'!AZ170 + '01_WHOQOL_Items'!BA170 + '01_WHOQOL_Items'!BB170)/8)</f>
        <v>10.5</v>
      </c>
      <c r="T170" s="4">
        <f t="shared" si="39"/>
        <v>40.625</v>
      </c>
      <c r="U170" s="4">
        <f t="shared" si="40"/>
        <v>40.625</v>
      </c>
      <c r="V170" s="5">
        <f t="shared" si="41"/>
        <v>0</v>
      </c>
      <c r="W170" s="4">
        <f t="shared" si="42"/>
        <v>44.382440476190474</v>
      </c>
      <c r="X170" s="4">
        <f t="shared" si="43"/>
        <v>54.947916666666664</v>
      </c>
      <c r="Y170" s="5">
        <f t="shared" si="44"/>
        <v>0.2380553227158424</v>
      </c>
      <c r="Z170" s="1">
        <f>'01_WHOQOL_Items'!D170</f>
        <v>3</v>
      </c>
      <c r="AA170" s="1">
        <f>'01_WHOQOL_Items'!AD170</f>
        <v>3</v>
      </c>
      <c r="AB170" s="1">
        <f>'01_WHOQOL_Items'!E170</f>
        <v>3</v>
      </c>
      <c r="AC170" s="1">
        <f>'01_WHOQOL_Items'!AE170</f>
        <v>4</v>
      </c>
    </row>
    <row r="171" spans="1:29">
      <c r="A171" s="1" t="str">
        <f>'01_WHOQOL_Items'!A171</f>
        <v>EXP-170</v>
      </c>
      <c r="B171" s="1" t="str">
        <f>'01_WHOQOL_Items'!B171</f>
        <v>Experimental</v>
      </c>
      <c r="C171" s="4">
        <f>4*(((6-'01_WHOQOL_Items'!F171) + (6-'01_WHOQOL_Items'!G171) + '01_WHOQOL_Items'!M171 + '01_WHOQOL_Items'!R171 + '01_WHOQOL_Items'!S171 + '01_WHOQOL_Items'!T171 + '01_WHOQOL_Items'!U171)/7)</f>
        <v>14.857142857142858</v>
      </c>
      <c r="D171" s="4">
        <f>4*(((6-'01_WHOQOL_Items'!AF171) + (6-'01_WHOQOL_Items'!AG171) + '01_WHOQOL_Items'!AM171 + '01_WHOQOL_Items'!AR171 + '01_WHOQOL_Items'!AS171 + '01_WHOQOL_Items'!AT171 + '01_WHOQOL_Items'!AU171)/7)</f>
        <v>16.571428571428573</v>
      </c>
      <c r="E171" s="4">
        <f t="shared" si="30"/>
        <v>67.857142857142861</v>
      </c>
      <c r="F171" s="4">
        <f t="shared" si="31"/>
        <v>78.571428571428584</v>
      </c>
      <c r="G171" s="5">
        <f t="shared" si="32"/>
        <v>0.15789473684210537</v>
      </c>
      <c r="H171" s="4">
        <f>4*(('01_WHOQOL_Items'!H171 + '01_WHOQOL_Items'!I171 + '01_WHOQOL_Items'!J171 + '01_WHOQOL_Items'!N171 + '01_WHOQOL_Items'!V171 + (6-'01_WHOQOL_Items'!AC171))/6)</f>
        <v>9.3333333333333339</v>
      </c>
      <c r="I171" s="4">
        <f>4*(('01_WHOQOL_Items'!AH171 + '01_WHOQOL_Items'!AI171 + '01_WHOQOL_Items'!AJ171 + '01_WHOQOL_Items'!AN171 + '01_WHOQOL_Items'!AV171 + (6-'01_WHOQOL_Items'!BC171))/6)</f>
        <v>14</v>
      </c>
      <c r="J171" s="4">
        <f t="shared" si="33"/>
        <v>33.333333333333336</v>
      </c>
      <c r="K171" s="4">
        <f t="shared" si="34"/>
        <v>62.5</v>
      </c>
      <c r="L171" s="5">
        <f t="shared" si="35"/>
        <v>0.87499999999999989</v>
      </c>
      <c r="M171" s="4">
        <f>4*(('01_WHOQOL_Items'!W171 + '01_WHOQOL_Items'!X171 + '01_WHOQOL_Items'!Y171)/3)</f>
        <v>14.666666666666666</v>
      </c>
      <c r="N171" s="4">
        <f>4*(('01_WHOQOL_Items'!AW171 + '01_WHOQOL_Items'!AX171 + '01_WHOQOL_Items'!AY171)/3)</f>
        <v>16</v>
      </c>
      <c r="O171" s="4">
        <f t="shared" si="36"/>
        <v>66.666666666666657</v>
      </c>
      <c r="P171" s="4">
        <f t="shared" si="37"/>
        <v>75</v>
      </c>
      <c r="Q171" s="5">
        <f t="shared" si="38"/>
        <v>0.12500000000000017</v>
      </c>
      <c r="R171" s="4">
        <f>4*(('01_WHOQOL_Items'!K171 + '01_WHOQOL_Items'!L171 + '01_WHOQOL_Items'!O171 + '01_WHOQOL_Items'!P171 + '01_WHOQOL_Items'!Q171 + '01_WHOQOL_Items'!Z171 + '01_WHOQOL_Items'!AA171 + '01_WHOQOL_Items'!AB171)/8)</f>
        <v>9</v>
      </c>
      <c r="S171" s="4">
        <f>4*(('01_WHOQOL_Items'!AK171 + '01_WHOQOL_Items'!AL171 + '01_WHOQOL_Items'!AO171 + '01_WHOQOL_Items'!AP171 + '01_WHOQOL_Items'!AQ171 + '01_WHOQOL_Items'!AZ171 + '01_WHOQOL_Items'!BA171 + '01_WHOQOL_Items'!BB171)/8)</f>
        <v>11.5</v>
      </c>
      <c r="T171" s="4">
        <f t="shared" si="39"/>
        <v>31.25</v>
      </c>
      <c r="U171" s="4">
        <f t="shared" si="40"/>
        <v>46.875</v>
      </c>
      <c r="V171" s="5">
        <f t="shared" si="41"/>
        <v>0.5</v>
      </c>
      <c r="W171" s="4">
        <f t="shared" si="42"/>
        <v>49.776785714285715</v>
      </c>
      <c r="X171" s="4">
        <f t="shared" si="43"/>
        <v>65.736607142857139</v>
      </c>
      <c r="Y171" s="5">
        <f t="shared" si="44"/>
        <v>0.32062780269058283</v>
      </c>
      <c r="Z171" s="1">
        <f>'01_WHOQOL_Items'!D171</f>
        <v>3</v>
      </c>
      <c r="AA171" s="1">
        <f>'01_WHOQOL_Items'!AD171</f>
        <v>4</v>
      </c>
      <c r="AB171" s="1">
        <f>'01_WHOQOL_Items'!E171</f>
        <v>4</v>
      </c>
      <c r="AC171" s="1">
        <f>'01_WHOQOL_Items'!AE171</f>
        <v>5</v>
      </c>
    </row>
    <row r="172" spans="1:29">
      <c r="A172" s="1" t="str">
        <f>'01_WHOQOL_Items'!A172</f>
        <v>EXP-171</v>
      </c>
      <c r="B172" s="1" t="str">
        <f>'01_WHOQOL_Items'!B172</f>
        <v>Experimental</v>
      </c>
      <c r="C172" s="4">
        <f>4*(((6-'01_WHOQOL_Items'!F172) + (6-'01_WHOQOL_Items'!G172) + '01_WHOQOL_Items'!M172 + '01_WHOQOL_Items'!R172 + '01_WHOQOL_Items'!S172 + '01_WHOQOL_Items'!T172 + '01_WHOQOL_Items'!U172)/7)</f>
        <v>12</v>
      </c>
      <c r="D172" s="4">
        <f>4*(((6-'01_WHOQOL_Items'!AF172) + (6-'01_WHOQOL_Items'!AG172) + '01_WHOQOL_Items'!AM172 + '01_WHOQOL_Items'!AR172 + '01_WHOQOL_Items'!AS172 + '01_WHOQOL_Items'!AT172 + '01_WHOQOL_Items'!AU172)/7)</f>
        <v>14.285714285714286</v>
      </c>
      <c r="E172" s="4">
        <f t="shared" si="30"/>
        <v>50</v>
      </c>
      <c r="F172" s="4">
        <f t="shared" si="31"/>
        <v>64.285714285714292</v>
      </c>
      <c r="G172" s="5">
        <f t="shared" si="32"/>
        <v>0.28571428571428581</v>
      </c>
      <c r="H172" s="4">
        <f>4*(('01_WHOQOL_Items'!H172 + '01_WHOQOL_Items'!I172 + '01_WHOQOL_Items'!J172 + '01_WHOQOL_Items'!N172 + '01_WHOQOL_Items'!V172 + (6-'01_WHOQOL_Items'!AC172))/6)</f>
        <v>12.666666666666666</v>
      </c>
      <c r="I172" s="4">
        <f>4*(('01_WHOQOL_Items'!AH172 + '01_WHOQOL_Items'!AI172 + '01_WHOQOL_Items'!AJ172 + '01_WHOQOL_Items'!AN172 + '01_WHOQOL_Items'!AV172 + (6-'01_WHOQOL_Items'!BC172))/6)</f>
        <v>16</v>
      </c>
      <c r="J172" s="4">
        <f t="shared" si="33"/>
        <v>54.166666666666664</v>
      </c>
      <c r="K172" s="4">
        <f t="shared" si="34"/>
        <v>75</v>
      </c>
      <c r="L172" s="5">
        <f t="shared" si="35"/>
        <v>0.38461538461538469</v>
      </c>
      <c r="M172" s="4">
        <f>4*(('01_WHOQOL_Items'!W172 + '01_WHOQOL_Items'!X172 + '01_WHOQOL_Items'!Y172)/3)</f>
        <v>12</v>
      </c>
      <c r="N172" s="4">
        <f>4*(('01_WHOQOL_Items'!AW172 + '01_WHOQOL_Items'!AX172 + '01_WHOQOL_Items'!AY172)/3)</f>
        <v>16</v>
      </c>
      <c r="O172" s="4">
        <f t="shared" si="36"/>
        <v>50</v>
      </c>
      <c r="P172" s="4">
        <f t="shared" si="37"/>
        <v>75</v>
      </c>
      <c r="Q172" s="5">
        <f t="shared" si="38"/>
        <v>0.5</v>
      </c>
      <c r="R172" s="4">
        <f>4*(('01_WHOQOL_Items'!K172 + '01_WHOQOL_Items'!L172 + '01_WHOQOL_Items'!O172 + '01_WHOQOL_Items'!P172 + '01_WHOQOL_Items'!Q172 + '01_WHOQOL_Items'!Z172 + '01_WHOQOL_Items'!AA172 + '01_WHOQOL_Items'!AB172)/8)</f>
        <v>13.5</v>
      </c>
      <c r="S172" s="4">
        <f>4*(('01_WHOQOL_Items'!AK172 + '01_WHOQOL_Items'!AL172 + '01_WHOQOL_Items'!AO172 + '01_WHOQOL_Items'!AP172 + '01_WHOQOL_Items'!AQ172 + '01_WHOQOL_Items'!AZ172 + '01_WHOQOL_Items'!BA172 + '01_WHOQOL_Items'!BB172)/8)</f>
        <v>15</v>
      </c>
      <c r="T172" s="4">
        <f t="shared" si="39"/>
        <v>59.375</v>
      </c>
      <c r="U172" s="4">
        <f t="shared" si="40"/>
        <v>68.75</v>
      </c>
      <c r="V172" s="5">
        <f t="shared" si="41"/>
        <v>0.15789473684210525</v>
      </c>
      <c r="W172" s="4">
        <f t="shared" si="42"/>
        <v>53.385416666666664</v>
      </c>
      <c r="X172" s="4">
        <f t="shared" si="43"/>
        <v>70.758928571428569</v>
      </c>
      <c r="Y172" s="5">
        <f t="shared" si="44"/>
        <v>0.32543554006968645</v>
      </c>
      <c r="Z172" s="1">
        <f>'01_WHOQOL_Items'!D172</f>
        <v>3</v>
      </c>
      <c r="AA172" s="1">
        <f>'01_WHOQOL_Items'!AD172</f>
        <v>4</v>
      </c>
      <c r="AB172" s="1">
        <f>'01_WHOQOL_Items'!E172</f>
        <v>3</v>
      </c>
      <c r="AC172" s="1">
        <f>'01_WHOQOL_Items'!AE172</f>
        <v>3</v>
      </c>
    </row>
    <row r="173" spans="1:29">
      <c r="A173" s="1" t="str">
        <f>'01_WHOQOL_Items'!A173</f>
        <v>EXP-172</v>
      </c>
      <c r="B173" s="1" t="str">
        <f>'01_WHOQOL_Items'!B173</f>
        <v>Experimental</v>
      </c>
      <c r="C173" s="4">
        <f>4*(((6-'01_WHOQOL_Items'!F173) + (6-'01_WHOQOL_Items'!G173) + '01_WHOQOL_Items'!M173 + '01_WHOQOL_Items'!R173 + '01_WHOQOL_Items'!S173 + '01_WHOQOL_Items'!T173 + '01_WHOQOL_Items'!U173)/7)</f>
        <v>12.571428571428571</v>
      </c>
      <c r="D173" s="4">
        <f>4*(((6-'01_WHOQOL_Items'!AF173) + (6-'01_WHOQOL_Items'!AG173) + '01_WHOQOL_Items'!AM173 + '01_WHOQOL_Items'!AR173 + '01_WHOQOL_Items'!AS173 + '01_WHOQOL_Items'!AT173 + '01_WHOQOL_Items'!AU173)/7)</f>
        <v>13.714285714285714</v>
      </c>
      <c r="E173" s="4">
        <f t="shared" si="30"/>
        <v>53.571428571428569</v>
      </c>
      <c r="F173" s="4">
        <f t="shared" si="31"/>
        <v>60.714285714285708</v>
      </c>
      <c r="G173" s="5">
        <f t="shared" si="32"/>
        <v>0.13333333333333328</v>
      </c>
      <c r="H173" s="4">
        <f>4*(('01_WHOQOL_Items'!H173 + '01_WHOQOL_Items'!I173 + '01_WHOQOL_Items'!J173 + '01_WHOQOL_Items'!N173 + '01_WHOQOL_Items'!V173 + (6-'01_WHOQOL_Items'!AC173))/6)</f>
        <v>9.3333333333333339</v>
      </c>
      <c r="I173" s="4">
        <f>4*(('01_WHOQOL_Items'!AH173 + '01_WHOQOL_Items'!AI173 + '01_WHOQOL_Items'!AJ173 + '01_WHOQOL_Items'!AN173 + '01_WHOQOL_Items'!AV173 + (6-'01_WHOQOL_Items'!BC173))/6)</f>
        <v>11.333333333333334</v>
      </c>
      <c r="J173" s="4">
        <f t="shared" si="33"/>
        <v>33.333333333333336</v>
      </c>
      <c r="K173" s="4">
        <f t="shared" si="34"/>
        <v>45.833333333333336</v>
      </c>
      <c r="L173" s="5">
        <f t="shared" si="35"/>
        <v>0.375</v>
      </c>
      <c r="M173" s="4">
        <f>4*(('01_WHOQOL_Items'!W173 + '01_WHOQOL_Items'!X173 + '01_WHOQOL_Items'!Y173)/3)</f>
        <v>10.666666666666666</v>
      </c>
      <c r="N173" s="4">
        <f>4*(('01_WHOQOL_Items'!AW173 + '01_WHOQOL_Items'!AX173 + '01_WHOQOL_Items'!AY173)/3)</f>
        <v>10.666666666666666</v>
      </c>
      <c r="O173" s="4">
        <f t="shared" si="36"/>
        <v>41.666666666666664</v>
      </c>
      <c r="P173" s="4">
        <f t="shared" si="37"/>
        <v>41.666666666666664</v>
      </c>
      <c r="Q173" s="5">
        <f t="shared" si="38"/>
        <v>0</v>
      </c>
      <c r="R173" s="4">
        <f>4*(('01_WHOQOL_Items'!K173 + '01_WHOQOL_Items'!L173 + '01_WHOQOL_Items'!O173 + '01_WHOQOL_Items'!P173 + '01_WHOQOL_Items'!Q173 + '01_WHOQOL_Items'!Z173 + '01_WHOQOL_Items'!AA173 + '01_WHOQOL_Items'!AB173)/8)</f>
        <v>12.5</v>
      </c>
      <c r="S173" s="4">
        <f>4*(('01_WHOQOL_Items'!AK173 + '01_WHOQOL_Items'!AL173 + '01_WHOQOL_Items'!AO173 + '01_WHOQOL_Items'!AP173 + '01_WHOQOL_Items'!AQ173 + '01_WHOQOL_Items'!AZ173 + '01_WHOQOL_Items'!BA173 + '01_WHOQOL_Items'!BB173)/8)</f>
        <v>15.5</v>
      </c>
      <c r="T173" s="4">
        <f t="shared" si="39"/>
        <v>53.125</v>
      </c>
      <c r="U173" s="4">
        <f t="shared" si="40"/>
        <v>71.875</v>
      </c>
      <c r="V173" s="5">
        <f t="shared" si="41"/>
        <v>0.35294117647058826</v>
      </c>
      <c r="W173" s="4">
        <f t="shared" si="42"/>
        <v>45.424107142857139</v>
      </c>
      <c r="X173" s="4">
        <f t="shared" si="43"/>
        <v>55.022321428571423</v>
      </c>
      <c r="Y173" s="5">
        <f t="shared" si="44"/>
        <v>0.2113022113022113</v>
      </c>
      <c r="Z173" s="1">
        <f>'01_WHOQOL_Items'!D173</f>
        <v>3</v>
      </c>
      <c r="AA173" s="1">
        <f>'01_WHOQOL_Items'!AD173</f>
        <v>3</v>
      </c>
      <c r="AB173" s="1">
        <f>'01_WHOQOL_Items'!E173</f>
        <v>3</v>
      </c>
      <c r="AC173" s="1">
        <f>'01_WHOQOL_Items'!AE173</f>
        <v>3</v>
      </c>
    </row>
    <row r="174" spans="1:29">
      <c r="A174" s="1" t="str">
        <f>'01_WHOQOL_Items'!A174</f>
        <v>EXP-173</v>
      </c>
      <c r="B174" s="1" t="str">
        <f>'01_WHOQOL_Items'!B174</f>
        <v>Experimental</v>
      </c>
      <c r="C174" s="4">
        <f>4*(((6-'01_WHOQOL_Items'!F174) + (6-'01_WHOQOL_Items'!G174) + '01_WHOQOL_Items'!M174 + '01_WHOQOL_Items'!R174 + '01_WHOQOL_Items'!S174 + '01_WHOQOL_Items'!T174 + '01_WHOQOL_Items'!U174)/7)</f>
        <v>12.571428571428571</v>
      </c>
      <c r="D174" s="4">
        <f>4*(((6-'01_WHOQOL_Items'!AF174) + (6-'01_WHOQOL_Items'!AG174) + '01_WHOQOL_Items'!AM174 + '01_WHOQOL_Items'!AR174 + '01_WHOQOL_Items'!AS174 + '01_WHOQOL_Items'!AT174 + '01_WHOQOL_Items'!AU174)/7)</f>
        <v>14.285714285714286</v>
      </c>
      <c r="E174" s="4">
        <f t="shared" si="30"/>
        <v>53.571428571428569</v>
      </c>
      <c r="F174" s="4">
        <f t="shared" si="31"/>
        <v>64.285714285714292</v>
      </c>
      <c r="G174" s="5">
        <f t="shared" si="32"/>
        <v>0.20000000000000015</v>
      </c>
      <c r="H174" s="4">
        <f>4*(('01_WHOQOL_Items'!H174 + '01_WHOQOL_Items'!I174 + '01_WHOQOL_Items'!J174 + '01_WHOQOL_Items'!N174 + '01_WHOQOL_Items'!V174 + (6-'01_WHOQOL_Items'!AC174))/6)</f>
        <v>12.666666666666666</v>
      </c>
      <c r="I174" s="4">
        <f>4*(('01_WHOQOL_Items'!AH174 + '01_WHOQOL_Items'!AI174 + '01_WHOQOL_Items'!AJ174 + '01_WHOQOL_Items'!AN174 + '01_WHOQOL_Items'!AV174 + (6-'01_WHOQOL_Items'!BC174))/6)</f>
        <v>14</v>
      </c>
      <c r="J174" s="4">
        <f t="shared" si="33"/>
        <v>54.166666666666664</v>
      </c>
      <c r="K174" s="4">
        <f t="shared" si="34"/>
        <v>62.5</v>
      </c>
      <c r="L174" s="5">
        <f t="shared" si="35"/>
        <v>0.15384615384615391</v>
      </c>
      <c r="M174" s="4">
        <f>4*(('01_WHOQOL_Items'!W174 + '01_WHOQOL_Items'!X174 + '01_WHOQOL_Items'!Y174)/3)</f>
        <v>4</v>
      </c>
      <c r="N174" s="4">
        <f>4*(('01_WHOQOL_Items'!AW174 + '01_WHOQOL_Items'!AX174 + '01_WHOQOL_Items'!AY174)/3)</f>
        <v>8</v>
      </c>
      <c r="O174" s="4">
        <f t="shared" si="36"/>
        <v>0</v>
      </c>
      <c r="P174" s="4">
        <f t="shared" si="37"/>
        <v>25</v>
      </c>
      <c r="Q174" s="5" t="str">
        <f t="shared" si="38"/>
        <v/>
      </c>
      <c r="R174" s="4">
        <f>4*(('01_WHOQOL_Items'!K174 + '01_WHOQOL_Items'!L174 + '01_WHOQOL_Items'!O174 + '01_WHOQOL_Items'!P174 + '01_WHOQOL_Items'!Q174 + '01_WHOQOL_Items'!Z174 + '01_WHOQOL_Items'!AA174 + '01_WHOQOL_Items'!AB174)/8)</f>
        <v>8</v>
      </c>
      <c r="S174" s="4">
        <f>4*(('01_WHOQOL_Items'!AK174 + '01_WHOQOL_Items'!AL174 + '01_WHOQOL_Items'!AO174 + '01_WHOQOL_Items'!AP174 + '01_WHOQOL_Items'!AQ174 + '01_WHOQOL_Items'!AZ174 + '01_WHOQOL_Items'!BA174 + '01_WHOQOL_Items'!BB174)/8)</f>
        <v>9</v>
      </c>
      <c r="T174" s="4">
        <f t="shared" si="39"/>
        <v>25</v>
      </c>
      <c r="U174" s="4">
        <f t="shared" si="40"/>
        <v>31.25</v>
      </c>
      <c r="V174" s="5">
        <f t="shared" si="41"/>
        <v>0.25</v>
      </c>
      <c r="W174" s="4">
        <f t="shared" si="42"/>
        <v>33.18452380952381</v>
      </c>
      <c r="X174" s="4">
        <f t="shared" si="43"/>
        <v>45.758928571428569</v>
      </c>
      <c r="Y174" s="5">
        <f t="shared" si="44"/>
        <v>0.37892376681614343</v>
      </c>
      <c r="Z174" s="1">
        <f>'01_WHOQOL_Items'!D174</f>
        <v>1</v>
      </c>
      <c r="AA174" s="1">
        <f>'01_WHOQOL_Items'!AD174</f>
        <v>3</v>
      </c>
      <c r="AB174" s="1">
        <f>'01_WHOQOL_Items'!E174</f>
        <v>3</v>
      </c>
      <c r="AC174" s="1">
        <f>'01_WHOQOL_Items'!AE174</f>
        <v>4</v>
      </c>
    </row>
    <row r="175" spans="1:29">
      <c r="A175" s="1" t="str">
        <f>'01_WHOQOL_Items'!A175</f>
        <v>EXP-174</v>
      </c>
      <c r="B175" s="1" t="str">
        <f>'01_WHOQOL_Items'!B175</f>
        <v>Experimental</v>
      </c>
      <c r="C175" s="4">
        <f>4*(((6-'01_WHOQOL_Items'!F175) + (6-'01_WHOQOL_Items'!G175) + '01_WHOQOL_Items'!M175 + '01_WHOQOL_Items'!R175 + '01_WHOQOL_Items'!S175 + '01_WHOQOL_Items'!T175 + '01_WHOQOL_Items'!U175)/7)</f>
        <v>13.714285714285714</v>
      </c>
      <c r="D175" s="4">
        <f>4*(((6-'01_WHOQOL_Items'!AF175) + (6-'01_WHOQOL_Items'!AG175) + '01_WHOQOL_Items'!AM175 + '01_WHOQOL_Items'!AR175 + '01_WHOQOL_Items'!AS175 + '01_WHOQOL_Items'!AT175 + '01_WHOQOL_Items'!AU175)/7)</f>
        <v>14.285714285714286</v>
      </c>
      <c r="E175" s="4">
        <f t="shared" si="30"/>
        <v>60.714285714285708</v>
      </c>
      <c r="F175" s="4">
        <f t="shared" si="31"/>
        <v>64.285714285714292</v>
      </c>
      <c r="G175" s="5">
        <f t="shared" si="32"/>
        <v>5.8823529411764913E-2</v>
      </c>
      <c r="H175" s="4">
        <f>4*(('01_WHOQOL_Items'!H175 + '01_WHOQOL_Items'!I175 + '01_WHOQOL_Items'!J175 + '01_WHOQOL_Items'!N175 + '01_WHOQOL_Items'!V175 + (6-'01_WHOQOL_Items'!AC175))/6)</f>
        <v>14</v>
      </c>
      <c r="I175" s="4">
        <f>4*(('01_WHOQOL_Items'!AH175 + '01_WHOQOL_Items'!AI175 + '01_WHOQOL_Items'!AJ175 + '01_WHOQOL_Items'!AN175 + '01_WHOQOL_Items'!AV175 + (6-'01_WHOQOL_Items'!BC175))/6)</f>
        <v>16.666666666666668</v>
      </c>
      <c r="J175" s="4">
        <f t="shared" si="33"/>
        <v>62.5</v>
      </c>
      <c r="K175" s="4">
        <f t="shared" si="34"/>
        <v>79.166666666666671</v>
      </c>
      <c r="L175" s="5">
        <f t="shared" si="35"/>
        <v>0.26666666666666672</v>
      </c>
      <c r="M175" s="4">
        <f>4*(('01_WHOQOL_Items'!W175 + '01_WHOQOL_Items'!X175 + '01_WHOQOL_Items'!Y175)/3)</f>
        <v>12</v>
      </c>
      <c r="N175" s="4">
        <f>4*(('01_WHOQOL_Items'!AW175 + '01_WHOQOL_Items'!AX175 + '01_WHOQOL_Items'!AY175)/3)</f>
        <v>14.666666666666666</v>
      </c>
      <c r="O175" s="4">
        <f t="shared" si="36"/>
        <v>50</v>
      </c>
      <c r="P175" s="4">
        <f t="shared" si="37"/>
        <v>66.666666666666657</v>
      </c>
      <c r="Q175" s="5">
        <f t="shared" si="38"/>
        <v>0.33333333333333315</v>
      </c>
      <c r="R175" s="4">
        <f>4*(('01_WHOQOL_Items'!K175 + '01_WHOQOL_Items'!L175 + '01_WHOQOL_Items'!O175 + '01_WHOQOL_Items'!P175 + '01_WHOQOL_Items'!Q175 + '01_WHOQOL_Items'!Z175 + '01_WHOQOL_Items'!AA175 + '01_WHOQOL_Items'!AB175)/8)</f>
        <v>10</v>
      </c>
      <c r="S175" s="4">
        <f>4*(('01_WHOQOL_Items'!AK175 + '01_WHOQOL_Items'!AL175 + '01_WHOQOL_Items'!AO175 + '01_WHOQOL_Items'!AP175 + '01_WHOQOL_Items'!AQ175 + '01_WHOQOL_Items'!AZ175 + '01_WHOQOL_Items'!BA175 + '01_WHOQOL_Items'!BB175)/8)</f>
        <v>14</v>
      </c>
      <c r="T175" s="4">
        <f t="shared" si="39"/>
        <v>37.5</v>
      </c>
      <c r="U175" s="4">
        <f t="shared" si="40"/>
        <v>62.5</v>
      </c>
      <c r="V175" s="5">
        <f t="shared" si="41"/>
        <v>0.66666666666666663</v>
      </c>
      <c r="W175" s="4">
        <f t="shared" si="42"/>
        <v>52.678571428571431</v>
      </c>
      <c r="X175" s="4">
        <f t="shared" si="43"/>
        <v>68.154761904761898</v>
      </c>
      <c r="Y175" s="5">
        <f t="shared" si="44"/>
        <v>0.29378531073446312</v>
      </c>
      <c r="Z175" s="1">
        <f>'01_WHOQOL_Items'!D175</f>
        <v>3</v>
      </c>
      <c r="AA175" s="1">
        <f>'01_WHOQOL_Items'!AD175</f>
        <v>4</v>
      </c>
      <c r="AB175" s="1">
        <f>'01_WHOQOL_Items'!E175</f>
        <v>3</v>
      </c>
      <c r="AC175" s="1">
        <f>'01_WHOQOL_Items'!AE175</f>
        <v>3</v>
      </c>
    </row>
    <row r="176" spans="1:29">
      <c r="A176" s="1" t="str">
        <f>'01_WHOQOL_Items'!A176</f>
        <v>EXP-175</v>
      </c>
      <c r="B176" s="1" t="str">
        <f>'01_WHOQOL_Items'!B176</f>
        <v>Experimental</v>
      </c>
      <c r="C176" s="4">
        <f>4*(((6-'01_WHOQOL_Items'!F176) + (6-'01_WHOQOL_Items'!G176) + '01_WHOQOL_Items'!M176 + '01_WHOQOL_Items'!R176 + '01_WHOQOL_Items'!S176 + '01_WHOQOL_Items'!T176 + '01_WHOQOL_Items'!U176)/7)</f>
        <v>12</v>
      </c>
      <c r="D176" s="4">
        <f>4*(((6-'01_WHOQOL_Items'!AF176) + (6-'01_WHOQOL_Items'!AG176) + '01_WHOQOL_Items'!AM176 + '01_WHOQOL_Items'!AR176 + '01_WHOQOL_Items'!AS176 + '01_WHOQOL_Items'!AT176 + '01_WHOQOL_Items'!AU176)/7)</f>
        <v>13.142857142857142</v>
      </c>
      <c r="E176" s="4">
        <f t="shared" si="30"/>
        <v>50</v>
      </c>
      <c r="F176" s="4">
        <f t="shared" si="31"/>
        <v>57.142857142857139</v>
      </c>
      <c r="G176" s="5">
        <f t="shared" si="32"/>
        <v>0.14285714285714277</v>
      </c>
      <c r="H176" s="4">
        <f>4*(('01_WHOQOL_Items'!H176 + '01_WHOQOL_Items'!I176 + '01_WHOQOL_Items'!J176 + '01_WHOQOL_Items'!N176 + '01_WHOQOL_Items'!V176 + (6-'01_WHOQOL_Items'!AC176))/6)</f>
        <v>11.333333333333334</v>
      </c>
      <c r="I176" s="4">
        <f>4*(('01_WHOQOL_Items'!AH176 + '01_WHOQOL_Items'!AI176 + '01_WHOQOL_Items'!AJ176 + '01_WHOQOL_Items'!AN176 + '01_WHOQOL_Items'!AV176 + (6-'01_WHOQOL_Items'!BC176))/6)</f>
        <v>16</v>
      </c>
      <c r="J176" s="4">
        <f t="shared" si="33"/>
        <v>45.833333333333336</v>
      </c>
      <c r="K176" s="4">
        <f t="shared" si="34"/>
        <v>75</v>
      </c>
      <c r="L176" s="5">
        <f t="shared" si="35"/>
        <v>0.63636363636363624</v>
      </c>
      <c r="M176" s="4">
        <f>4*(('01_WHOQOL_Items'!W176 + '01_WHOQOL_Items'!X176 + '01_WHOQOL_Items'!Y176)/3)</f>
        <v>13.333333333333334</v>
      </c>
      <c r="N176" s="4">
        <f>4*(('01_WHOQOL_Items'!AW176 + '01_WHOQOL_Items'!AX176 + '01_WHOQOL_Items'!AY176)/3)</f>
        <v>13.333333333333334</v>
      </c>
      <c r="O176" s="4">
        <f t="shared" si="36"/>
        <v>58.333333333333336</v>
      </c>
      <c r="P176" s="4">
        <f t="shared" si="37"/>
        <v>58.333333333333336</v>
      </c>
      <c r="Q176" s="5">
        <f t="shared" si="38"/>
        <v>0</v>
      </c>
      <c r="R176" s="4">
        <f>4*(('01_WHOQOL_Items'!K176 + '01_WHOQOL_Items'!L176 + '01_WHOQOL_Items'!O176 + '01_WHOQOL_Items'!P176 + '01_WHOQOL_Items'!Q176 + '01_WHOQOL_Items'!Z176 + '01_WHOQOL_Items'!AA176 + '01_WHOQOL_Items'!AB176)/8)</f>
        <v>17</v>
      </c>
      <c r="S176" s="4">
        <f>4*(('01_WHOQOL_Items'!AK176 + '01_WHOQOL_Items'!AL176 + '01_WHOQOL_Items'!AO176 + '01_WHOQOL_Items'!AP176 + '01_WHOQOL_Items'!AQ176 + '01_WHOQOL_Items'!AZ176 + '01_WHOQOL_Items'!BA176 + '01_WHOQOL_Items'!BB176)/8)</f>
        <v>18.5</v>
      </c>
      <c r="T176" s="4">
        <f t="shared" si="39"/>
        <v>81.25</v>
      </c>
      <c r="U176" s="4">
        <f t="shared" si="40"/>
        <v>90.625</v>
      </c>
      <c r="V176" s="5">
        <f t="shared" si="41"/>
        <v>0.11538461538461539</v>
      </c>
      <c r="W176" s="4">
        <f t="shared" si="42"/>
        <v>58.854166666666671</v>
      </c>
      <c r="X176" s="4">
        <f t="shared" si="43"/>
        <v>70.27529761904762</v>
      </c>
      <c r="Y176" s="5">
        <f t="shared" si="44"/>
        <v>0.1940581542351453</v>
      </c>
      <c r="Z176" s="1">
        <f>'01_WHOQOL_Items'!D176</f>
        <v>4</v>
      </c>
      <c r="AA176" s="1">
        <f>'01_WHOQOL_Items'!AD176</f>
        <v>3</v>
      </c>
      <c r="AB176" s="1">
        <f>'01_WHOQOL_Items'!E176</f>
        <v>3</v>
      </c>
      <c r="AC176" s="1">
        <f>'01_WHOQOL_Items'!AE176</f>
        <v>3</v>
      </c>
    </row>
    <row r="177" spans="1:29">
      <c r="A177" s="1" t="str">
        <f>'01_WHOQOL_Items'!A177</f>
        <v>EXP-176</v>
      </c>
      <c r="B177" s="1" t="str">
        <f>'01_WHOQOL_Items'!B177</f>
        <v>Experimental</v>
      </c>
      <c r="C177" s="4">
        <f>4*(((6-'01_WHOQOL_Items'!F177) + (6-'01_WHOQOL_Items'!G177) + '01_WHOQOL_Items'!M177 + '01_WHOQOL_Items'!R177 + '01_WHOQOL_Items'!S177 + '01_WHOQOL_Items'!T177 + '01_WHOQOL_Items'!U177)/7)</f>
        <v>15.428571428571429</v>
      </c>
      <c r="D177" s="4">
        <f>4*(((6-'01_WHOQOL_Items'!AF177) + (6-'01_WHOQOL_Items'!AG177) + '01_WHOQOL_Items'!AM177 + '01_WHOQOL_Items'!AR177 + '01_WHOQOL_Items'!AS177 + '01_WHOQOL_Items'!AT177 + '01_WHOQOL_Items'!AU177)/7)</f>
        <v>15.428571428571429</v>
      </c>
      <c r="E177" s="4">
        <f t="shared" si="30"/>
        <v>71.428571428571431</v>
      </c>
      <c r="F177" s="4">
        <f t="shared" si="31"/>
        <v>71.428571428571431</v>
      </c>
      <c r="G177" s="5">
        <f t="shared" si="32"/>
        <v>0</v>
      </c>
      <c r="H177" s="4">
        <f>4*(('01_WHOQOL_Items'!H177 + '01_WHOQOL_Items'!I177 + '01_WHOQOL_Items'!J177 + '01_WHOQOL_Items'!N177 + '01_WHOQOL_Items'!V177 + (6-'01_WHOQOL_Items'!AC177))/6)</f>
        <v>11.333333333333334</v>
      </c>
      <c r="I177" s="4">
        <f>4*(('01_WHOQOL_Items'!AH177 + '01_WHOQOL_Items'!AI177 + '01_WHOQOL_Items'!AJ177 + '01_WHOQOL_Items'!AN177 + '01_WHOQOL_Items'!AV177 + (6-'01_WHOQOL_Items'!BC177))/6)</f>
        <v>13.333333333333334</v>
      </c>
      <c r="J177" s="4">
        <f t="shared" si="33"/>
        <v>45.833333333333336</v>
      </c>
      <c r="K177" s="4">
        <f t="shared" si="34"/>
        <v>58.333333333333336</v>
      </c>
      <c r="L177" s="5">
        <f t="shared" si="35"/>
        <v>0.27272727272727271</v>
      </c>
      <c r="M177" s="4">
        <f>4*(('01_WHOQOL_Items'!W177 + '01_WHOQOL_Items'!X177 + '01_WHOQOL_Items'!Y177)/3)</f>
        <v>9.3333333333333339</v>
      </c>
      <c r="N177" s="4">
        <f>4*(('01_WHOQOL_Items'!AW177 + '01_WHOQOL_Items'!AX177 + '01_WHOQOL_Items'!AY177)/3)</f>
        <v>9.3333333333333339</v>
      </c>
      <c r="O177" s="4">
        <f t="shared" si="36"/>
        <v>33.333333333333336</v>
      </c>
      <c r="P177" s="4">
        <f t="shared" si="37"/>
        <v>33.333333333333336</v>
      </c>
      <c r="Q177" s="5">
        <f t="shared" si="38"/>
        <v>0</v>
      </c>
      <c r="R177" s="4">
        <f>4*(('01_WHOQOL_Items'!K177 + '01_WHOQOL_Items'!L177 + '01_WHOQOL_Items'!O177 + '01_WHOQOL_Items'!P177 + '01_WHOQOL_Items'!Q177 + '01_WHOQOL_Items'!Z177 + '01_WHOQOL_Items'!AA177 + '01_WHOQOL_Items'!AB177)/8)</f>
        <v>8</v>
      </c>
      <c r="S177" s="4">
        <f>4*(('01_WHOQOL_Items'!AK177 + '01_WHOQOL_Items'!AL177 + '01_WHOQOL_Items'!AO177 + '01_WHOQOL_Items'!AP177 + '01_WHOQOL_Items'!AQ177 + '01_WHOQOL_Items'!AZ177 + '01_WHOQOL_Items'!BA177 + '01_WHOQOL_Items'!BB177)/8)</f>
        <v>11.5</v>
      </c>
      <c r="T177" s="4">
        <f t="shared" si="39"/>
        <v>25</v>
      </c>
      <c r="U177" s="4">
        <f t="shared" si="40"/>
        <v>46.875</v>
      </c>
      <c r="V177" s="5">
        <f t="shared" si="41"/>
        <v>0.875</v>
      </c>
      <c r="W177" s="4">
        <f t="shared" si="42"/>
        <v>43.898809523809526</v>
      </c>
      <c r="X177" s="4">
        <f t="shared" si="43"/>
        <v>52.492559523809526</v>
      </c>
      <c r="Y177" s="5">
        <f t="shared" si="44"/>
        <v>0.19576271186440677</v>
      </c>
      <c r="Z177" s="1">
        <f>'01_WHOQOL_Items'!D177</f>
        <v>3</v>
      </c>
      <c r="AA177" s="1">
        <f>'01_WHOQOL_Items'!AD177</f>
        <v>3</v>
      </c>
      <c r="AB177" s="1">
        <f>'01_WHOQOL_Items'!E177</f>
        <v>3</v>
      </c>
      <c r="AC177" s="1">
        <f>'01_WHOQOL_Items'!AE177</f>
        <v>3</v>
      </c>
    </row>
    <row r="178" spans="1:29">
      <c r="A178" s="1" t="str">
        <f>'01_WHOQOL_Items'!A178</f>
        <v>EXP-177</v>
      </c>
      <c r="B178" s="1" t="str">
        <f>'01_WHOQOL_Items'!B178</f>
        <v>Experimental</v>
      </c>
      <c r="C178" s="4">
        <f>4*(((6-'01_WHOQOL_Items'!F178) + (6-'01_WHOQOL_Items'!G178) + '01_WHOQOL_Items'!M178 + '01_WHOQOL_Items'!R178 + '01_WHOQOL_Items'!S178 + '01_WHOQOL_Items'!T178 + '01_WHOQOL_Items'!U178)/7)</f>
        <v>13.714285714285714</v>
      </c>
      <c r="D178" s="4">
        <f>4*(((6-'01_WHOQOL_Items'!AF178) + (6-'01_WHOQOL_Items'!AG178) + '01_WHOQOL_Items'!AM178 + '01_WHOQOL_Items'!AR178 + '01_WHOQOL_Items'!AS178 + '01_WHOQOL_Items'!AT178 + '01_WHOQOL_Items'!AU178)/7)</f>
        <v>13.714285714285714</v>
      </c>
      <c r="E178" s="4">
        <f t="shared" si="30"/>
        <v>60.714285714285708</v>
      </c>
      <c r="F178" s="4">
        <f t="shared" si="31"/>
        <v>60.714285714285708</v>
      </c>
      <c r="G178" s="5">
        <f t="shared" si="32"/>
        <v>0</v>
      </c>
      <c r="H178" s="4">
        <f>4*(('01_WHOQOL_Items'!H178 + '01_WHOQOL_Items'!I178 + '01_WHOQOL_Items'!J178 + '01_WHOQOL_Items'!N178 + '01_WHOQOL_Items'!V178 + (6-'01_WHOQOL_Items'!AC178))/6)</f>
        <v>9.3333333333333339</v>
      </c>
      <c r="I178" s="4">
        <f>4*(('01_WHOQOL_Items'!AH178 + '01_WHOQOL_Items'!AI178 + '01_WHOQOL_Items'!AJ178 + '01_WHOQOL_Items'!AN178 + '01_WHOQOL_Items'!AV178 + (6-'01_WHOQOL_Items'!BC178))/6)</f>
        <v>14</v>
      </c>
      <c r="J178" s="4">
        <f t="shared" si="33"/>
        <v>33.333333333333336</v>
      </c>
      <c r="K178" s="4">
        <f t="shared" si="34"/>
        <v>62.5</v>
      </c>
      <c r="L178" s="5">
        <f t="shared" si="35"/>
        <v>0.87499999999999989</v>
      </c>
      <c r="M178" s="4">
        <f>4*(('01_WHOQOL_Items'!W178 + '01_WHOQOL_Items'!X178 + '01_WHOQOL_Items'!Y178)/3)</f>
        <v>8</v>
      </c>
      <c r="N178" s="4">
        <f>4*(('01_WHOQOL_Items'!AW178 + '01_WHOQOL_Items'!AX178 + '01_WHOQOL_Items'!AY178)/3)</f>
        <v>10.666666666666666</v>
      </c>
      <c r="O178" s="4">
        <f t="shared" si="36"/>
        <v>25</v>
      </c>
      <c r="P178" s="4">
        <f t="shared" si="37"/>
        <v>41.666666666666664</v>
      </c>
      <c r="Q178" s="5">
        <f t="shared" si="38"/>
        <v>0.66666666666666652</v>
      </c>
      <c r="R178" s="4">
        <f>4*(('01_WHOQOL_Items'!K178 + '01_WHOQOL_Items'!L178 + '01_WHOQOL_Items'!O178 + '01_WHOQOL_Items'!P178 + '01_WHOQOL_Items'!Q178 + '01_WHOQOL_Items'!Z178 + '01_WHOQOL_Items'!AA178 + '01_WHOQOL_Items'!AB178)/8)</f>
        <v>9</v>
      </c>
      <c r="S178" s="4">
        <f>4*(('01_WHOQOL_Items'!AK178 + '01_WHOQOL_Items'!AL178 + '01_WHOQOL_Items'!AO178 + '01_WHOQOL_Items'!AP178 + '01_WHOQOL_Items'!AQ178 + '01_WHOQOL_Items'!AZ178 + '01_WHOQOL_Items'!BA178 + '01_WHOQOL_Items'!BB178)/8)</f>
        <v>11</v>
      </c>
      <c r="T178" s="4">
        <f t="shared" si="39"/>
        <v>31.25</v>
      </c>
      <c r="U178" s="4">
        <f t="shared" si="40"/>
        <v>43.75</v>
      </c>
      <c r="V178" s="5">
        <f t="shared" si="41"/>
        <v>0.4</v>
      </c>
      <c r="W178" s="4">
        <f t="shared" si="42"/>
        <v>37.574404761904759</v>
      </c>
      <c r="X178" s="4">
        <f t="shared" si="43"/>
        <v>52.157738095238095</v>
      </c>
      <c r="Y178" s="5">
        <f t="shared" si="44"/>
        <v>0.38811881188118819</v>
      </c>
      <c r="Z178" s="1">
        <f>'01_WHOQOL_Items'!D178</f>
        <v>3</v>
      </c>
      <c r="AA178" s="1">
        <f>'01_WHOQOL_Items'!AD178</f>
        <v>2</v>
      </c>
      <c r="AB178" s="1">
        <f>'01_WHOQOL_Items'!E178</f>
        <v>3</v>
      </c>
      <c r="AC178" s="1">
        <f>'01_WHOQOL_Items'!AE178</f>
        <v>2</v>
      </c>
    </row>
    <row r="179" spans="1:29">
      <c r="A179" s="1" t="str">
        <f>'01_WHOQOL_Items'!A179</f>
        <v>EXP-178</v>
      </c>
      <c r="B179" s="1" t="str">
        <f>'01_WHOQOL_Items'!B179</f>
        <v>Experimental</v>
      </c>
      <c r="C179" s="4">
        <f>4*(((6-'01_WHOQOL_Items'!F179) + (6-'01_WHOQOL_Items'!G179) + '01_WHOQOL_Items'!M179 + '01_WHOQOL_Items'!R179 + '01_WHOQOL_Items'!S179 + '01_WHOQOL_Items'!T179 + '01_WHOQOL_Items'!U179)/7)</f>
        <v>14.285714285714286</v>
      </c>
      <c r="D179" s="4">
        <f>4*(((6-'01_WHOQOL_Items'!AF179) + (6-'01_WHOQOL_Items'!AG179) + '01_WHOQOL_Items'!AM179 + '01_WHOQOL_Items'!AR179 + '01_WHOQOL_Items'!AS179 + '01_WHOQOL_Items'!AT179 + '01_WHOQOL_Items'!AU179)/7)</f>
        <v>14.857142857142858</v>
      </c>
      <c r="E179" s="4">
        <f t="shared" si="30"/>
        <v>64.285714285714292</v>
      </c>
      <c r="F179" s="4">
        <f t="shared" si="31"/>
        <v>67.857142857142861</v>
      </c>
      <c r="G179" s="5">
        <f t="shared" si="32"/>
        <v>5.5555555555555518E-2</v>
      </c>
      <c r="H179" s="4">
        <f>4*(('01_WHOQOL_Items'!H179 + '01_WHOQOL_Items'!I179 + '01_WHOQOL_Items'!J179 + '01_WHOQOL_Items'!N179 + '01_WHOQOL_Items'!V179 + (6-'01_WHOQOL_Items'!AC179))/6)</f>
        <v>12</v>
      </c>
      <c r="I179" s="4">
        <f>4*(('01_WHOQOL_Items'!AH179 + '01_WHOQOL_Items'!AI179 + '01_WHOQOL_Items'!AJ179 + '01_WHOQOL_Items'!AN179 + '01_WHOQOL_Items'!AV179 + (6-'01_WHOQOL_Items'!BC179))/6)</f>
        <v>14</v>
      </c>
      <c r="J179" s="4">
        <f t="shared" si="33"/>
        <v>50</v>
      </c>
      <c r="K179" s="4">
        <f t="shared" si="34"/>
        <v>62.5</v>
      </c>
      <c r="L179" s="5">
        <f t="shared" si="35"/>
        <v>0.25</v>
      </c>
      <c r="M179" s="4">
        <f>4*(('01_WHOQOL_Items'!W179 + '01_WHOQOL_Items'!X179 + '01_WHOQOL_Items'!Y179)/3)</f>
        <v>10.666666666666666</v>
      </c>
      <c r="N179" s="4">
        <f>4*(('01_WHOQOL_Items'!AW179 + '01_WHOQOL_Items'!AX179 + '01_WHOQOL_Items'!AY179)/3)</f>
        <v>14.666666666666666</v>
      </c>
      <c r="O179" s="4">
        <f t="shared" si="36"/>
        <v>41.666666666666664</v>
      </c>
      <c r="P179" s="4">
        <f t="shared" si="37"/>
        <v>66.666666666666657</v>
      </c>
      <c r="Q179" s="5">
        <f t="shared" si="38"/>
        <v>0.59999999999999987</v>
      </c>
      <c r="R179" s="4">
        <f>4*(('01_WHOQOL_Items'!K179 + '01_WHOQOL_Items'!L179 + '01_WHOQOL_Items'!O179 + '01_WHOQOL_Items'!P179 + '01_WHOQOL_Items'!Q179 + '01_WHOQOL_Items'!Z179 + '01_WHOQOL_Items'!AA179 + '01_WHOQOL_Items'!AB179)/8)</f>
        <v>16</v>
      </c>
      <c r="S179" s="4">
        <f>4*(('01_WHOQOL_Items'!AK179 + '01_WHOQOL_Items'!AL179 + '01_WHOQOL_Items'!AO179 + '01_WHOQOL_Items'!AP179 + '01_WHOQOL_Items'!AQ179 + '01_WHOQOL_Items'!AZ179 + '01_WHOQOL_Items'!BA179 + '01_WHOQOL_Items'!BB179)/8)</f>
        <v>15</v>
      </c>
      <c r="T179" s="4">
        <f t="shared" si="39"/>
        <v>75</v>
      </c>
      <c r="U179" s="4">
        <f t="shared" si="40"/>
        <v>68.75</v>
      </c>
      <c r="V179" s="5">
        <f t="shared" si="41"/>
        <v>-8.3333333333333329E-2</v>
      </c>
      <c r="W179" s="4">
        <f t="shared" si="42"/>
        <v>57.738095238095241</v>
      </c>
      <c r="X179" s="4">
        <f t="shared" si="43"/>
        <v>66.44345238095238</v>
      </c>
      <c r="Y179" s="5">
        <f t="shared" si="44"/>
        <v>0.1507731958762886</v>
      </c>
      <c r="Z179" s="1">
        <f>'01_WHOQOL_Items'!D179</f>
        <v>4</v>
      </c>
      <c r="AA179" s="1">
        <f>'01_WHOQOL_Items'!AD179</f>
        <v>4</v>
      </c>
      <c r="AB179" s="1">
        <f>'01_WHOQOL_Items'!E179</f>
        <v>4</v>
      </c>
      <c r="AC179" s="1">
        <f>'01_WHOQOL_Items'!AE179</f>
        <v>4</v>
      </c>
    </row>
    <row r="180" spans="1:29">
      <c r="A180" s="1" t="str">
        <f>'01_WHOQOL_Items'!A180</f>
        <v>EXP-179</v>
      </c>
      <c r="B180" s="1" t="str">
        <f>'01_WHOQOL_Items'!B180</f>
        <v>Experimental</v>
      </c>
      <c r="C180" s="4">
        <f>4*(((6-'01_WHOQOL_Items'!F180) + (6-'01_WHOQOL_Items'!G180) + '01_WHOQOL_Items'!M180 + '01_WHOQOL_Items'!R180 + '01_WHOQOL_Items'!S180 + '01_WHOQOL_Items'!T180 + '01_WHOQOL_Items'!U180)/7)</f>
        <v>10.857142857142858</v>
      </c>
      <c r="D180" s="4">
        <f>4*(((6-'01_WHOQOL_Items'!AF180) + (6-'01_WHOQOL_Items'!AG180) + '01_WHOQOL_Items'!AM180 + '01_WHOQOL_Items'!AR180 + '01_WHOQOL_Items'!AS180 + '01_WHOQOL_Items'!AT180 + '01_WHOQOL_Items'!AU180)/7)</f>
        <v>11.428571428571429</v>
      </c>
      <c r="E180" s="4">
        <f t="shared" si="30"/>
        <v>42.857142857142861</v>
      </c>
      <c r="F180" s="4">
        <f t="shared" si="31"/>
        <v>46.428571428571431</v>
      </c>
      <c r="G180" s="5">
        <f t="shared" si="32"/>
        <v>8.3333333333333273E-2</v>
      </c>
      <c r="H180" s="4">
        <f>4*(('01_WHOQOL_Items'!H180 + '01_WHOQOL_Items'!I180 + '01_WHOQOL_Items'!J180 + '01_WHOQOL_Items'!N180 + '01_WHOQOL_Items'!V180 + (6-'01_WHOQOL_Items'!AC180))/6)</f>
        <v>11.333333333333334</v>
      </c>
      <c r="I180" s="4">
        <f>4*(('01_WHOQOL_Items'!AH180 + '01_WHOQOL_Items'!AI180 + '01_WHOQOL_Items'!AJ180 + '01_WHOQOL_Items'!AN180 + '01_WHOQOL_Items'!AV180 + (6-'01_WHOQOL_Items'!BC180))/6)</f>
        <v>12.666666666666666</v>
      </c>
      <c r="J180" s="4">
        <f t="shared" si="33"/>
        <v>45.833333333333336</v>
      </c>
      <c r="K180" s="4">
        <f t="shared" si="34"/>
        <v>54.166666666666664</v>
      </c>
      <c r="L180" s="5">
        <f t="shared" si="35"/>
        <v>0.18181818181818171</v>
      </c>
      <c r="M180" s="4">
        <f>4*(('01_WHOQOL_Items'!W180 + '01_WHOQOL_Items'!X180 + '01_WHOQOL_Items'!Y180)/3)</f>
        <v>12</v>
      </c>
      <c r="N180" s="4">
        <f>4*(('01_WHOQOL_Items'!AW180 + '01_WHOQOL_Items'!AX180 + '01_WHOQOL_Items'!AY180)/3)</f>
        <v>16</v>
      </c>
      <c r="O180" s="4">
        <f t="shared" si="36"/>
        <v>50</v>
      </c>
      <c r="P180" s="4">
        <f t="shared" si="37"/>
        <v>75</v>
      </c>
      <c r="Q180" s="5">
        <f t="shared" si="38"/>
        <v>0.5</v>
      </c>
      <c r="R180" s="4">
        <f>4*(('01_WHOQOL_Items'!K180 + '01_WHOQOL_Items'!L180 + '01_WHOQOL_Items'!O180 + '01_WHOQOL_Items'!P180 + '01_WHOQOL_Items'!Q180 + '01_WHOQOL_Items'!Z180 + '01_WHOQOL_Items'!AA180 + '01_WHOQOL_Items'!AB180)/8)</f>
        <v>8</v>
      </c>
      <c r="S180" s="4">
        <f>4*(('01_WHOQOL_Items'!AK180 + '01_WHOQOL_Items'!AL180 + '01_WHOQOL_Items'!AO180 + '01_WHOQOL_Items'!AP180 + '01_WHOQOL_Items'!AQ180 + '01_WHOQOL_Items'!AZ180 + '01_WHOQOL_Items'!BA180 + '01_WHOQOL_Items'!BB180)/8)</f>
        <v>12</v>
      </c>
      <c r="T180" s="4">
        <f t="shared" si="39"/>
        <v>25</v>
      </c>
      <c r="U180" s="4">
        <f t="shared" si="40"/>
        <v>50</v>
      </c>
      <c r="V180" s="5">
        <f t="shared" si="41"/>
        <v>1</v>
      </c>
      <c r="W180" s="4">
        <f t="shared" si="42"/>
        <v>40.922619047619051</v>
      </c>
      <c r="X180" s="4">
        <f t="shared" si="43"/>
        <v>56.398809523809526</v>
      </c>
      <c r="Y180" s="5">
        <f t="shared" si="44"/>
        <v>0.37818181818181812</v>
      </c>
      <c r="Z180" s="1">
        <f>'01_WHOQOL_Items'!D180</f>
        <v>3</v>
      </c>
      <c r="AA180" s="1">
        <f>'01_WHOQOL_Items'!AD180</f>
        <v>3</v>
      </c>
      <c r="AB180" s="1">
        <f>'01_WHOQOL_Items'!E180</f>
        <v>3</v>
      </c>
      <c r="AC180" s="1">
        <f>'01_WHOQOL_Items'!AE180</f>
        <v>3</v>
      </c>
    </row>
    <row r="181" spans="1:29">
      <c r="A181" s="1" t="str">
        <f>'01_WHOQOL_Items'!A181</f>
        <v>EXP-180</v>
      </c>
      <c r="B181" s="1" t="str">
        <f>'01_WHOQOL_Items'!B181</f>
        <v>Experimental</v>
      </c>
      <c r="C181" s="4">
        <f>4*(((6-'01_WHOQOL_Items'!F181) + (6-'01_WHOQOL_Items'!G181) + '01_WHOQOL_Items'!M181 + '01_WHOQOL_Items'!R181 + '01_WHOQOL_Items'!S181 + '01_WHOQOL_Items'!T181 + '01_WHOQOL_Items'!U181)/7)</f>
        <v>14.857142857142858</v>
      </c>
      <c r="D181" s="4">
        <f>4*(((6-'01_WHOQOL_Items'!AF181) + (6-'01_WHOQOL_Items'!AG181) + '01_WHOQOL_Items'!AM181 + '01_WHOQOL_Items'!AR181 + '01_WHOQOL_Items'!AS181 + '01_WHOQOL_Items'!AT181 + '01_WHOQOL_Items'!AU181)/7)</f>
        <v>17.142857142857142</v>
      </c>
      <c r="E181" s="4">
        <f t="shared" si="30"/>
        <v>67.857142857142861</v>
      </c>
      <c r="F181" s="4">
        <f t="shared" si="31"/>
        <v>82.142857142857139</v>
      </c>
      <c r="G181" s="5">
        <f t="shared" si="32"/>
        <v>0.21052631578947356</v>
      </c>
      <c r="H181" s="4">
        <f>4*(('01_WHOQOL_Items'!H181 + '01_WHOQOL_Items'!I181 + '01_WHOQOL_Items'!J181 + '01_WHOQOL_Items'!N181 + '01_WHOQOL_Items'!V181 + (6-'01_WHOQOL_Items'!AC181))/6)</f>
        <v>9.3333333333333339</v>
      </c>
      <c r="I181" s="4">
        <f>4*(('01_WHOQOL_Items'!AH181 + '01_WHOQOL_Items'!AI181 + '01_WHOQOL_Items'!AJ181 + '01_WHOQOL_Items'!AN181 + '01_WHOQOL_Items'!AV181 + (6-'01_WHOQOL_Items'!BC181))/6)</f>
        <v>11.333333333333334</v>
      </c>
      <c r="J181" s="4">
        <f t="shared" si="33"/>
        <v>33.333333333333336</v>
      </c>
      <c r="K181" s="4">
        <f t="shared" si="34"/>
        <v>45.833333333333336</v>
      </c>
      <c r="L181" s="5">
        <f t="shared" si="35"/>
        <v>0.375</v>
      </c>
      <c r="M181" s="4">
        <f>4*(('01_WHOQOL_Items'!W181 + '01_WHOQOL_Items'!X181 + '01_WHOQOL_Items'!Y181)/3)</f>
        <v>9.3333333333333339</v>
      </c>
      <c r="N181" s="4">
        <f>4*(('01_WHOQOL_Items'!AW181 + '01_WHOQOL_Items'!AX181 + '01_WHOQOL_Items'!AY181)/3)</f>
        <v>16</v>
      </c>
      <c r="O181" s="4">
        <f t="shared" si="36"/>
        <v>33.333333333333336</v>
      </c>
      <c r="P181" s="4">
        <f t="shared" si="37"/>
        <v>75</v>
      </c>
      <c r="Q181" s="5">
        <f t="shared" si="38"/>
        <v>1.2499999999999998</v>
      </c>
      <c r="R181" s="4">
        <f>4*(('01_WHOQOL_Items'!K181 + '01_WHOQOL_Items'!L181 + '01_WHOQOL_Items'!O181 + '01_WHOQOL_Items'!P181 + '01_WHOQOL_Items'!Q181 + '01_WHOQOL_Items'!Z181 + '01_WHOQOL_Items'!AA181 + '01_WHOQOL_Items'!AB181)/8)</f>
        <v>11</v>
      </c>
      <c r="S181" s="4">
        <f>4*(('01_WHOQOL_Items'!AK181 + '01_WHOQOL_Items'!AL181 + '01_WHOQOL_Items'!AO181 + '01_WHOQOL_Items'!AP181 + '01_WHOQOL_Items'!AQ181 + '01_WHOQOL_Items'!AZ181 + '01_WHOQOL_Items'!BA181 + '01_WHOQOL_Items'!BB181)/8)</f>
        <v>14</v>
      </c>
      <c r="T181" s="4">
        <f t="shared" si="39"/>
        <v>43.75</v>
      </c>
      <c r="U181" s="4">
        <f t="shared" si="40"/>
        <v>62.5</v>
      </c>
      <c r="V181" s="5">
        <f t="shared" si="41"/>
        <v>0.42857142857142855</v>
      </c>
      <c r="W181" s="4">
        <f t="shared" si="42"/>
        <v>44.568452380952387</v>
      </c>
      <c r="X181" s="4">
        <f t="shared" si="43"/>
        <v>66.36904761904762</v>
      </c>
      <c r="Y181" s="5">
        <f t="shared" si="44"/>
        <v>0.48914858096828029</v>
      </c>
      <c r="Z181" s="1">
        <f>'01_WHOQOL_Items'!D181</f>
        <v>4</v>
      </c>
      <c r="AA181" s="1">
        <f>'01_WHOQOL_Items'!AD181</f>
        <v>3</v>
      </c>
      <c r="AB181" s="1">
        <f>'01_WHOQOL_Items'!E181</f>
        <v>3</v>
      </c>
      <c r="AC181" s="1">
        <f>'01_WHOQOL_Items'!AE181</f>
        <v>5</v>
      </c>
    </row>
    <row r="182" spans="1:29">
      <c r="A182" s="1" t="str">
        <f>'01_WHOQOL_Items'!A182</f>
        <v>EXP-181</v>
      </c>
      <c r="B182" s="1" t="str">
        <f>'01_WHOQOL_Items'!B182</f>
        <v>Experimental</v>
      </c>
      <c r="C182" s="4">
        <f>4*(((6-'01_WHOQOL_Items'!F182) + (6-'01_WHOQOL_Items'!G182) + '01_WHOQOL_Items'!M182 + '01_WHOQOL_Items'!R182 + '01_WHOQOL_Items'!S182 + '01_WHOQOL_Items'!T182 + '01_WHOQOL_Items'!U182)/7)</f>
        <v>12.571428571428571</v>
      </c>
      <c r="D182" s="4">
        <f>4*(((6-'01_WHOQOL_Items'!AF182) + (6-'01_WHOQOL_Items'!AG182) + '01_WHOQOL_Items'!AM182 + '01_WHOQOL_Items'!AR182 + '01_WHOQOL_Items'!AS182 + '01_WHOQOL_Items'!AT182 + '01_WHOQOL_Items'!AU182)/7)</f>
        <v>14.857142857142858</v>
      </c>
      <c r="E182" s="4">
        <f t="shared" si="30"/>
        <v>53.571428571428569</v>
      </c>
      <c r="F182" s="4">
        <f t="shared" si="31"/>
        <v>67.857142857142861</v>
      </c>
      <c r="G182" s="5">
        <f t="shared" si="32"/>
        <v>0.26666666666666677</v>
      </c>
      <c r="H182" s="4">
        <f>4*(('01_WHOQOL_Items'!H182 + '01_WHOQOL_Items'!I182 + '01_WHOQOL_Items'!J182 + '01_WHOQOL_Items'!N182 + '01_WHOQOL_Items'!V182 + (6-'01_WHOQOL_Items'!AC182))/6)</f>
        <v>11.333333333333334</v>
      </c>
      <c r="I182" s="4">
        <f>4*(('01_WHOQOL_Items'!AH182 + '01_WHOQOL_Items'!AI182 + '01_WHOQOL_Items'!AJ182 + '01_WHOQOL_Items'!AN182 + '01_WHOQOL_Items'!AV182 + (6-'01_WHOQOL_Items'!BC182))/6)</f>
        <v>15.333333333333334</v>
      </c>
      <c r="J182" s="4">
        <f t="shared" si="33"/>
        <v>45.833333333333336</v>
      </c>
      <c r="K182" s="4">
        <f t="shared" si="34"/>
        <v>70.833333333333343</v>
      </c>
      <c r="L182" s="5">
        <f t="shared" si="35"/>
        <v>0.54545454545454564</v>
      </c>
      <c r="M182" s="4">
        <f>4*(('01_WHOQOL_Items'!W182 + '01_WHOQOL_Items'!X182 + '01_WHOQOL_Items'!Y182)/3)</f>
        <v>12</v>
      </c>
      <c r="N182" s="4">
        <f>4*(('01_WHOQOL_Items'!AW182 + '01_WHOQOL_Items'!AX182 + '01_WHOQOL_Items'!AY182)/3)</f>
        <v>14.666666666666666</v>
      </c>
      <c r="O182" s="4">
        <f t="shared" si="36"/>
        <v>50</v>
      </c>
      <c r="P182" s="4">
        <f t="shared" si="37"/>
        <v>66.666666666666657</v>
      </c>
      <c r="Q182" s="5">
        <f t="shared" si="38"/>
        <v>0.33333333333333315</v>
      </c>
      <c r="R182" s="4">
        <f>4*(('01_WHOQOL_Items'!K182 + '01_WHOQOL_Items'!L182 + '01_WHOQOL_Items'!O182 + '01_WHOQOL_Items'!P182 + '01_WHOQOL_Items'!Q182 + '01_WHOQOL_Items'!Z182 + '01_WHOQOL_Items'!AA182 + '01_WHOQOL_Items'!AB182)/8)</f>
        <v>12.5</v>
      </c>
      <c r="S182" s="4">
        <f>4*(('01_WHOQOL_Items'!AK182 + '01_WHOQOL_Items'!AL182 + '01_WHOQOL_Items'!AO182 + '01_WHOQOL_Items'!AP182 + '01_WHOQOL_Items'!AQ182 + '01_WHOQOL_Items'!AZ182 + '01_WHOQOL_Items'!BA182 + '01_WHOQOL_Items'!BB182)/8)</f>
        <v>12.5</v>
      </c>
      <c r="T182" s="4">
        <f t="shared" si="39"/>
        <v>53.125</v>
      </c>
      <c r="U182" s="4">
        <f t="shared" si="40"/>
        <v>53.125</v>
      </c>
      <c r="V182" s="5">
        <f t="shared" si="41"/>
        <v>0</v>
      </c>
      <c r="W182" s="4">
        <f t="shared" si="42"/>
        <v>50.632440476190474</v>
      </c>
      <c r="X182" s="4">
        <f t="shared" si="43"/>
        <v>64.620535714285722</v>
      </c>
      <c r="Y182" s="5">
        <f t="shared" si="44"/>
        <v>0.27626745040411482</v>
      </c>
      <c r="Z182" s="1">
        <f>'01_WHOQOL_Items'!D182</f>
        <v>4</v>
      </c>
      <c r="AA182" s="1">
        <f>'01_WHOQOL_Items'!AD182</f>
        <v>4</v>
      </c>
      <c r="AB182" s="1">
        <f>'01_WHOQOL_Items'!E182</f>
        <v>3</v>
      </c>
      <c r="AC182" s="1">
        <f>'01_WHOQOL_Items'!AE182</f>
        <v>4</v>
      </c>
    </row>
    <row r="183" spans="1:29">
      <c r="A183" s="1" t="str">
        <f>'01_WHOQOL_Items'!A183</f>
        <v>EXP-182</v>
      </c>
      <c r="B183" s="1" t="str">
        <f>'01_WHOQOL_Items'!B183</f>
        <v>Experimental</v>
      </c>
      <c r="C183" s="4">
        <f>4*(((6-'01_WHOQOL_Items'!F183) + (6-'01_WHOQOL_Items'!G183) + '01_WHOQOL_Items'!M183 + '01_WHOQOL_Items'!R183 + '01_WHOQOL_Items'!S183 + '01_WHOQOL_Items'!T183 + '01_WHOQOL_Items'!U183)/7)</f>
        <v>14.857142857142858</v>
      </c>
      <c r="D183" s="4">
        <f>4*(((6-'01_WHOQOL_Items'!AF183) + (6-'01_WHOQOL_Items'!AG183) + '01_WHOQOL_Items'!AM183 + '01_WHOQOL_Items'!AR183 + '01_WHOQOL_Items'!AS183 + '01_WHOQOL_Items'!AT183 + '01_WHOQOL_Items'!AU183)/7)</f>
        <v>15.428571428571429</v>
      </c>
      <c r="E183" s="4">
        <f t="shared" si="30"/>
        <v>67.857142857142861</v>
      </c>
      <c r="F183" s="4">
        <f t="shared" si="31"/>
        <v>71.428571428571431</v>
      </c>
      <c r="G183" s="5">
        <f t="shared" si="32"/>
        <v>5.263157894736839E-2</v>
      </c>
      <c r="H183" s="4">
        <f>4*(('01_WHOQOL_Items'!H183 + '01_WHOQOL_Items'!I183 + '01_WHOQOL_Items'!J183 + '01_WHOQOL_Items'!N183 + '01_WHOQOL_Items'!V183 + (6-'01_WHOQOL_Items'!AC183))/6)</f>
        <v>15.333333333333334</v>
      </c>
      <c r="I183" s="4">
        <f>4*(('01_WHOQOL_Items'!AH183 + '01_WHOQOL_Items'!AI183 + '01_WHOQOL_Items'!AJ183 + '01_WHOQOL_Items'!AN183 + '01_WHOQOL_Items'!AV183 + (6-'01_WHOQOL_Items'!BC183))/6)</f>
        <v>19.333333333333332</v>
      </c>
      <c r="J183" s="4">
        <f t="shared" si="33"/>
        <v>70.833333333333343</v>
      </c>
      <c r="K183" s="4">
        <f t="shared" si="34"/>
        <v>95.833333333333329</v>
      </c>
      <c r="L183" s="5">
        <f t="shared" si="35"/>
        <v>0.35294117647058798</v>
      </c>
      <c r="M183" s="4">
        <f>4*(('01_WHOQOL_Items'!W183 + '01_WHOQOL_Items'!X183 + '01_WHOQOL_Items'!Y183)/3)</f>
        <v>10.666666666666666</v>
      </c>
      <c r="N183" s="4">
        <f>4*(('01_WHOQOL_Items'!AW183 + '01_WHOQOL_Items'!AX183 + '01_WHOQOL_Items'!AY183)/3)</f>
        <v>9.3333333333333339</v>
      </c>
      <c r="O183" s="4">
        <f t="shared" si="36"/>
        <v>41.666666666666664</v>
      </c>
      <c r="P183" s="4">
        <f t="shared" si="37"/>
        <v>33.333333333333336</v>
      </c>
      <c r="Q183" s="5">
        <f t="shared" si="38"/>
        <v>-0.1999999999999999</v>
      </c>
      <c r="R183" s="4">
        <f>4*(('01_WHOQOL_Items'!K183 + '01_WHOQOL_Items'!L183 + '01_WHOQOL_Items'!O183 + '01_WHOQOL_Items'!P183 + '01_WHOQOL_Items'!Q183 + '01_WHOQOL_Items'!Z183 + '01_WHOQOL_Items'!AA183 + '01_WHOQOL_Items'!AB183)/8)</f>
        <v>13.5</v>
      </c>
      <c r="S183" s="4">
        <f>4*(('01_WHOQOL_Items'!AK183 + '01_WHOQOL_Items'!AL183 + '01_WHOQOL_Items'!AO183 + '01_WHOQOL_Items'!AP183 + '01_WHOQOL_Items'!AQ183 + '01_WHOQOL_Items'!AZ183 + '01_WHOQOL_Items'!BA183 + '01_WHOQOL_Items'!BB183)/8)</f>
        <v>15.5</v>
      </c>
      <c r="T183" s="4">
        <f t="shared" si="39"/>
        <v>59.375</v>
      </c>
      <c r="U183" s="4">
        <f t="shared" si="40"/>
        <v>71.875</v>
      </c>
      <c r="V183" s="5">
        <f t="shared" si="41"/>
        <v>0.21052631578947367</v>
      </c>
      <c r="W183" s="4">
        <f t="shared" si="42"/>
        <v>59.933035714285715</v>
      </c>
      <c r="X183" s="4">
        <f t="shared" si="43"/>
        <v>68.117559523809518</v>
      </c>
      <c r="Y183" s="5">
        <f t="shared" si="44"/>
        <v>0.13656114214773421</v>
      </c>
      <c r="Z183" s="1">
        <f>'01_WHOQOL_Items'!D183</f>
        <v>3</v>
      </c>
      <c r="AA183" s="1">
        <f>'01_WHOQOL_Items'!AD183</f>
        <v>3</v>
      </c>
      <c r="AB183" s="1">
        <f>'01_WHOQOL_Items'!E183</f>
        <v>3</v>
      </c>
      <c r="AC183" s="1">
        <f>'01_WHOQOL_Items'!AE183</f>
        <v>4</v>
      </c>
    </row>
    <row r="184" spans="1:29">
      <c r="A184" s="1" t="str">
        <f>'01_WHOQOL_Items'!A184</f>
        <v>EXP-183</v>
      </c>
      <c r="B184" s="1" t="str">
        <f>'01_WHOQOL_Items'!B184</f>
        <v>Experimental</v>
      </c>
      <c r="C184" s="4">
        <f>4*(((6-'01_WHOQOL_Items'!F184) + (6-'01_WHOQOL_Items'!G184) + '01_WHOQOL_Items'!M184 + '01_WHOQOL_Items'!R184 + '01_WHOQOL_Items'!S184 + '01_WHOQOL_Items'!T184 + '01_WHOQOL_Items'!U184)/7)</f>
        <v>8.5714285714285712</v>
      </c>
      <c r="D184" s="4">
        <f>4*(((6-'01_WHOQOL_Items'!AF184) + (6-'01_WHOQOL_Items'!AG184) + '01_WHOQOL_Items'!AM184 + '01_WHOQOL_Items'!AR184 + '01_WHOQOL_Items'!AS184 + '01_WHOQOL_Items'!AT184 + '01_WHOQOL_Items'!AU184)/7)</f>
        <v>13.142857142857142</v>
      </c>
      <c r="E184" s="4">
        <f t="shared" si="30"/>
        <v>28.571428571428569</v>
      </c>
      <c r="F184" s="4">
        <f t="shared" si="31"/>
        <v>57.142857142857139</v>
      </c>
      <c r="G184" s="5">
        <f t="shared" si="32"/>
        <v>1</v>
      </c>
      <c r="H184" s="4">
        <f>4*(('01_WHOQOL_Items'!H184 + '01_WHOQOL_Items'!I184 + '01_WHOQOL_Items'!J184 + '01_WHOQOL_Items'!N184 + '01_WHOQOL_Items'!V184 + (6-'01_WHOQOL_Items'!AC184))/6)</f>
        <v>12.666666666666666</v>
      </c>
      <c r="I184" s="4">
        <f>4*(('01_WHOQOL_Items'!AH184 + '01_WHOQOL_Items'!AI184 + '01_WHOQOL_Items'!AJ184 + '01_WHOQOL_Items'!AN184 + '01_WHOQOL_Items'!AV184 + (6-'01_WHOQOL_Items'!BC184))/6)</f>
        <v>10</v>
      </c>
      <c r="J184" s="4">
        <f t="shared" si="33"/>
        <v>54.166666666666664</v>
      </c>
      <c r="K184" s="4">
        <f t="shared" si="34"/>
        <v>37.5</v>
      </c>
      <c r="L184" s="5">
        <f t="shared" si="35"/>
        <v>-0.30769230769230765</v>
      </c>
      <c r="M184" s="4">
        <f>4*(('01_WHOQOL_Items'!W184 + '01_WHOQOL_Items'!X184 + '01_WHOQOL_Items'!Y184)/3)</f>
        <v>17.333333333333332</v>
      </c>
      <c r="N184" s="4">
        <f>4*(('01_WHOQOL_Items'!AW184 + '01_WHOQOL_Items'!AX184 + '01_WHOQOL_Items'!AY184)/3)</f>
        <v>16</v>
      </c>
      <c r="O184" s="4">
        <f t="shared" si="36"/>
        <v>83.333333333333329</v>
      </c>
      <c r="P184" s="4">
        <f t="shared" si="37"/>
        <v>75</v>
      </c>
      <c r="Q184" s="5">
        <f t="shared" si="38"/>
        <v>-9.999999999999995E-2</v>
      </c>
      <c r="R184" s="4">
        <f>4*(('01_WHOQOL_Items'!K184 + '01_WHOQOL_Items'!L184 + '01_WHOQOL_Items'!O184 + '01_WHOQOL_Items'!P184 + '01_WHOQOL_Items'!Q184 + '01_WHOQOL_Items'!Z184 + '01_WHOQOL_Items'!AA184 + '01_WHOQOL_Items'!AB184)/8)</f>
        <v>12.5</v>
      </c>
      <c r="S184" s="4">
        <f>4*(('01_WHOQOL_Items'!AK184 + '01_WHOQOL_Items'!AL184 + '01_WHOQOL_Items'!AO184 + '01_WHOQOL_Items'!AP184 + '01_WHOQOL_Items'!AQ184 + '01_WHOQOL_Items'!AZ184 + '01_WHOQOL_Items'!BA184 + '01_WHOQOL_Items'!BB184)/8)</f>
        <v>13.5</v>
      </c>
      <c r="T184" s="4">
        <f t="shared" si="39"/>
        <v>53.125</v>
      </c>
      <c r="U184" s="4">
        <f t="shared" si="40"/>
        <v>59.375</v>
      </c>
      <c r="V184" s="5">
        <f t="shared" si="41"/>
        <v>0.11764705882352941</v>
      </c>
      <c r="W184" s="4">
        <f t="shared" si="42"/>
        <v>54.799107142857139</v>
      </c>
      <c r="X184" s="4">
        <f t="shared" si="43"/>
        <v>57.254464285714285</v>
      </c>
      <c r="Y184" s="5">
        <f t="shared" si="44"/>
        <v>4.480651731160902E-2</v>
      </c>
      <c r="Z184" s="1">
        <f>'01_WHOQOL_Items'!D184</f>
        <v>3</v>
      </c>
      <c r="AA184" s="1">
        <f>'01_WHOQOL_Items'!AD184</f>
        <v>3</v>
      </c>
      <c r="AB184" s="1">
        <f>'01_WHOQOL_Items'!E184</f>
        <v>3</v>
      </c>
      <c r="AC184" s="1">
        <f>'01_WHOQOL_Items'!AE184</f>
        <v>3</v>
      </c>
    </row>
    <row r="185" spans="1:29">
      <c r="A185" s="1" t="str">
        <f>'01_WHOQOL_Items'!A185</f>
        <v>EXP-184</v>
      </c>
      <c r="B185" s="1" t="str">
        <f>'01_WHOQOL_Items'!B185</f>
        <v>Experimental</v>
      </c>
      <c r="C185" s="4">
        <f>4*(((6-'01_WHOQOL_Items'!F185) + (6-'01_WHOQOL_Items'!G185) + '01_WHOQOL_Items'!M185 + '01_WHOQOL_Items'!R185 + '01_WHOQOL_Items'!S185 + '01_WHOQOL_Items'!T185 + '01_WHOQOL_Items'!U185)/7)</f>
        <v>13.714285714285714</v>
      </c>
      <c r="D185" s="4">
        <f>4*(((6-'01_WHOQOL_Items'!AF185) + (6-'01_WHOQOL_Items'!AG185) + '01_WHOQOL_Items'!AM185 + '01_WHOQOL_Items'!AR185 + '01_WHOQOL_Items'!AS185 + '01_WHOQOL_Items'!AT185 + '01_WHOQOL_Items'!AU185)/7)</f>
        <v>19.428571428571427</v>
      </c>
      <c r="E185" s="4">
        <f t="shared" si="30"/>
        <v>60.714285714285708</v>
      </c>
      <c r="F185" s="4">
        <f t="shared" si="31"/>
        <v>96.428571428571416</v>
      </c>
      <c r="G185" s="5">
        <f t="shared" si="32"/>
        <v>0.58823529411764697</v>
      </c>
      <c r="H185" s="4">
        <f>4*(('01_WHOQOL_Items'!H185 + '01_WHOQOL_Items'!I185 + '01_WHOQOL_Items'!J185 + '01_WHOQOL_Items'!N185 + '01_WHOQOL_Items'!V185 + (6-'01_WHOQOL_Items'!AC185))/6)</f>
        <v>10</v>
      </c>
      <c r="I185" s="4">
        <f>4*(('01_WHOQOL_Items'!AH185 + '01_WHOQOL_Items'!AI185 + '01_WHOQOL_Items'!AJ185 + '01_WHOQOL_Items'!AN185 + '01_WHOQOL_Items'!AV185 + (6-'01_WHOQOL_Items'!BC185))/6)</f>
        <v>12</v>
      </c>
      <c r="J185" s="4">
        <f t="shared" si="33"/>
        <v>37.5</v>
      </c>
      <c r="K185" s="4">
        <f t="shared" si="34"/>
        <v>50</v>
      </c>
      <c r="L185" s="5">
        <f t="shared" si="35"/>
        <v>0.33333333333333331</v>
      </c>
      <c r="M185" s="4">
        <f>4*(('01_WHOQOL_Items'!W185 + '01_WHOQOL_Items'!X185 + '01_WHOQOL_Items'!Y185)/3)</f>
        <v>6.666666666666667</v>
      </c>
      <c r="N185" s="4">
        <f>4*(('01_WHOQOL_Items'!AW185 + '01_WHOQOL_Items'!AX185 + '01_WHOQOL_Items'!AY185)/3)</f>
        <v>12</v>
      </c>
      <c r="O185" s="4">
        <f t="shared" si="36"/>
        <v>16.666666666666668</v>
      </c>
      <c r="P185" s="4">
        <f t="shared" si="37"/>
        <v>50</v>
      </c>
      <c r="Q185" s="5">
        <f t="shared" si="38"/>
        <v>1.9999999999999996</v>
      </c>
      <c r="R185" s="4">
        <f>4*(('01_WHOQOL_Items'!K185 + '01_WHOQOL_Items'!L185 + '01_WHOQOL_Items'!O185 + '01_WHOQOL_Items'!P185 + '01_WHOQOL_Items'!Q185 + '01_WHOQOL_Items'!Z185 + '01_WHOQOL_Items'!AA185 + '01_WHOQOL_Items'!AB185)/8)</f>
        <v>9.5</v>
      </c>
      <c r="S185" s="4">
        <f>4*(('01_WHOQOL_Items'!AK185 + '01_WHOQOL_Items'!AL185 + '01_WHOQOL_Items'!AO185 + '01_WHOQOL_Items'!AP185 + '01_WHOQOL_Items'!AQ185 + '01_WHOQOL_Items'!AZ185 + '01_WHOQOL_Items'!BA185 + '01_WHOQOL_Items'!BB185)/8)</f>
        <v>13</v>
      </c>
      <c r="T185" s="4">
        <f t="shared" si="39"/>
        <v>34.375</v>
      </c>
      <c r="U185" s="4">
        <f t="shared" si="40"/>
        <v>56.25</v>
      </c>
      <c r="V185" s="5">
        <f t="shared" si="41"/>
        <v>0.63636363636363635</v>
      </c>
      <c r="W185" s="4">
        <f t="shared" si="42"/>
        <v>37.313988095238095</v>
      </c>
      <c r="X185" s="4">
        <f t="shared" si="43"/>
        <v>63.169642857142854</v>
      </c>
      <c r="Y185" s="5">
        <f t="shared" si="44"/>
        <v>0.69292123629112656</v>
      </c>
      <c r="Z185" s="1">
        <f>'01_WHOQOL_Items'!D185</f>
        <v>2</v>
      </c>
      <c r="AA185" s="1">
        <f>'01_WHOQOL_Items'!AD185</f>
        <v>3</v>
      </c>
      <c r="AB185" s="1">
        <f>'01_WHOQOL_Items'!E185</f>
        <v>4</v>
      </c>
      <c r="AC185" s="1">
        <f>'01_WHOQOL_Items'!AE185</f>
        <v>5</v>
      </c>
    </row>
    <row r="186" spans="1:29">
      <c r="A186" s="1" t="str">
        <f>'01_WHOQOL_Items'!A186</f>
        <v>EXP-185</v>
      </c>
      <c r="B186" s="1" t="str">
        <f>'01_WHOQOL_Items'!B186</f>
        <v>Experimental</v>
      </c>
      <c r="C186" s="4">
        <f>4*(((6-'01_WHOQOL_Items'!F186) + (6-'01_WHOQOL_Items'!G186) + '01_WHOQOL_Items'!M186 + '01_WHOQOL_Items'!R186 + '01_WHOQOL_Items'!S186 + '01_WHOQOL_Items'!T186 + '01_WHOQOL_Items'!U186)/7)</f>
        <v>14.285714285714286</v>
      </c>
      <c r="D186" s="4">
        <f>4*(((6-'01_WHOQOL_Items'!AF186) + (6-'01_WHOQOL_Items'!AG186) + '01_WHOQOL_Items'!AM186 + '01_WHOQOL_Items'!AR186 + '01_WHOQOL_Items'!AS186 + '01_WHOQOL_Items'!AT186 + '01_WHOQOL_Items'!AU186)/7)</f>
        <v>15.428571428571429</v>
      </c>
      <c r="E186" s="4">
        <f t="shared" si="30"/>
        <v>64.285714285714292</v>
      </c>
      <c r="F186" s="4">
        <f t="shared" si="31"/>
        <v>71.428571428571431</v>
      </c>
      <c r="G186" s="5">
        <f t="shared" si="32"/>
        <v>0.11111111111111104</v>
      </c>
      <c r="H186" s="4">
        <f>4*(('01_WHOQOL_Items'!H186 + '01_WHOQOL_Items'!I186 + '01_WHOQOL_Items'!J186 + '01_WHOQOL_Items'!N186 + '01_WHOQOL_Items'!V186 + (6-'01_WHOQOL_Items'!AC186))/6)</f>
        <v>12.666666666666666</v>
      </c>
      <c r="I186" s="4">
        <f>4*(('01_WHOQOL_Items'!AH186 + '01_WHOQOL_Items'!AI186 + '01_WHOQOL_Items'!AJ186 + '01_WHOQOL_Items'!AN186 + '01_WHOQOL_Items'!AV186 + (6-'01_WHOQOL_Items'!BC186))/6)</f>
        <v>13.333333333333334</v>
      </c>
      <c r="J186" s="4">
        <f t="shared" si="33"/>
        <v>54.166666666666664</v>
      </c>
      <c r="K186" s="4">
        <f t="shared" si="34"/>
        <v>58.333333333333336</v>
      </c>
      <c r="L186" s="5">
        <f t="shared" si="35"/>
        <v>7.6923076923077011E-2</v>
      </c>
      <c r="M186" s="4">
        <f>4*(('01_WHOQOL_Items'!W186 + '01_WHOQOL_Items'!X186 + '01_WHOQOL_Items'!Y186)/3)</f>
        <v>12</v>
      </c>
      <c r="N186" s="4">
        <f>4*(('01_WHOQOL_Items'!AW186 + '01_WHOQOL_Items'!AX186 + '01_WHOQOL_Items'!AY186)/3)</f>
        <v>14.666666666666666</v>
      </c>
      <c r="O186" s="4">
        <f t="shared" si="36"/>
        <v>50</v>
      </c>
      <c r="P186" s="4">
        <f t="shared" si="37"/>
        <v>66.666666666666657</v>
      </c>
      <c r="Q186" s="5">
        <f t="shared" si="38"/>
        <v>0.33333333333333315</v>
      </c>
      <c r="R186" s="4">
        <f>4*(('01_WHOQOL_Items'!K186 + '01_WHOQOL_Items'!L186 + '01_WHOQOL_Items'!O186 + '01_WHOQOL_Items'!P186 + '01_WHOQOL_Items'!Q186 + '01_WHOQOL_Items'!Z186 + '01_WHOQOL_Items'!AA186 + '01_WHOQOL_Items'!AB186)/8)</f>
        <v>13</v>
      </c>
      <c r="S186" s="4">
        <f>4*(('01_WHOQOL_Items'!AK186 + '01_WHOQOL_Items'!AL186 + '01_WHOQOL_Items'!AO186 + '01_WHOQOL_Items'!AP186 + '01_WHOQOL_Items'!AQ186 + '01_WHOQOL_Items'!AZ186 + '01_WHOQOL_Items'!BA186 + '01_WHOQOL_Items'!BB186)/8)</f>
        <v>16</v>
      </c>
      <c r="T186" s="4">
        <f t="shared" si="39"/>
        <v>56.25</v>
      </c>
      <c r="U186" s="4">
        <f t="shared" si="40"/>
        <v>75</v>
      </c>
      <c r="V186" s="5">
        <f t="shared" si="41"/>
        <v>0.33333333333333331</v>
      </c>
      <c r="W186" s="4">
        <f t="shared" si="42"/>
        <v>56.175595238095241</v>
      </c>
      <c r="X186" s="4">
        <f t="shared" si="43"/>
        <v>67.857142857142861</v>
      </c>
      <c r="Y186" s="5">
        <f t="shared" si="44"/>
        <v>0.20794701986754968</v>
      </c>
      <c r="Z186" s="1">
        <f>'01_WHOQOL_Items'!D186</f>
        <v>3</v>
      </c>
      <c r="AA186" s="1">
        <f>'01_WHOQOL_Items'!AD186</f>
        <v>3</v>
      </c>
      <c r="AB186" s="1">
        <f>'01_WHOQOL_Items'!E186</f>
        <v>3</v>
      </c>
      <c r="AC186" s="1">
        <f>'01_WHOQOL_Items'!AE186</f>
        <v>4</v>
      </c>
    </row>
    <row r="187" spans="1:29">
      <c r="A187" s="1" t="str">
        <f>'01_WHOQOL_Items'!A187</f>
        <v>EXP-186</v>
      </c>
      <c r="B187" s="1" t="str">
        <f>'01_WHOQOL_Items'!B187</f>
        <v>Experimental</v>
      </c>
      <c r="C187" s="4">
        <f>4*(((6-'01_WHOQOL_Items'!F187) + (6-'01_WHOQOL_Items'!G187) + '01_WHOQOL_Items'!M187 + '01_WHOQOL_Items'!R187 + '01_WHOQOL_Items'!S187 + '01_WHOQOL_Items'!T187 + '01_WHOQOL_Items'!U187)/7)</f>
        <v>11.428571428571429</v>
      </c>
      <c r="D187" s="4">
        <f>4*(((6-'01_WHOQOL_Items'!AF187) + (6-'01_WHOQOL_Items'!AG187) + '01_WHOQOL_Items'!AM187 + '01_WHOQOL_Items'!AR187 + '01_WHOQOL_Items'!AS187 + '01_WHOQOL_Items'!AT187 + '01_WHOQOL_Items'!AU187)/7)</f>
        <v>14.857142857142858</v>
      </c>
      <c r="E187" s="4">
        <f t="shared" si="30"/>
        <v>46.428571428571431</v>
      </c>
      <c r="F187" s="4">
        <f t="shared" si="31"/>
        <v>67.857142857142861</v>
      </c>
      <c r="G187" s="5">
        <f t="shared" si="32"/>
        <v>0.46153846153846156</v>
      </c>
      <c r="H187" s="4">
        <f>4*(('01_WHOQOL_Items'!H187 + '01_WHOQOL_Items'!I187 + '01_WHOQOL_Items'!J187 + '01_WHOQOL_Items'!N187 + '01_WHOQOL_Items'!V187 + (6-'01_WHOQOL_Items'!AC187))/6)</f>
        <v>10.666666666666666</v>
      </c>
      <c r="I187" s="4">
        <f>4*(('01_WHOQOL_Items'!AH187 + '01_WHOQOL_Items'!AI187 + '01_WHOQOL_Items'!AJ187 + '01_WHOQOL_Items'!AN187 + '01_WHOQOL_Items'!AV187 + (6-'01_WHOQOL_Items'!BC187))/6)</f>
        <v>14</v>
      </c>
      <c r="J187" s="4">
        <f t="shared" si="33"/>
        <v>41.666666666666664</v>
      </c>
      <c r="K187" s="4">
        <f t="shared" si="34"/>
        <v>62.5</v>
      </c>
      <c r="L187" s="5">
        <f t="shared" si="35"/>
        <v>0.50000000000000011</v>
      </c>
      <c r="M187" s="4">
        <f>4*(('01_WHOQOL_Items'!W187 + '01_WHOQOL_Items'!X187 + '01_WHOQOL_Items'!Y187)/3)</f>
        <v>10.666666666666666</v>
      </c>
      <c r="N187" s="4">
        <f>4*(('01_WHOQOL_Items'!AW187 + '01_WHOQOL_Items'!AX187 + '01_WHOQOL_Items'!AY187)/3)</f>
        <v>16</v>
      </c>
      <c r="O187" s="4">
        <f t="shared" si="36"/>
        <v>41.666666666666664</v>
      </c>
      <c r="P187" s="4">
        <f t="shared" si="37"/>
        <v>75</v>
      </c>
      <c r="Q187" s="5">
        <f t="shared" si="38"/>
        <v>0.80000000000000016</v>
      </c>
      <c r="R187" s="4">
        <f>4*(('01_WHOQOL_Items'!K187 + '01_WHOQOL_Items'!L187 + '01_WHOQOL_Items'!O187 + '01_WHOQOL_Items'!P187 + '01_WHOQOL_Items'!Q187 + '01_WHOQOL_Items'!Z187 + '01_WHOQOL_Items'!AA187 + '01_WHOQOL_Items'!AB187)/8)</f>
        <v>12</v>
      </c>
      <c r="S187" s="4">
        <f>4*(('01_WHOQOL_Items'!AK187 + '01_WHOQOL_Items'!AL187 + '01_WHOQOL_Items'!AO187 + '01_WHOQOL_Items'!AP187 + '01_WHOQOL_Items'!AQ187 + '01_WHOQOL_Items'!AZ187 + '01_WHOQOL_Items'!BA187 + '01_WHOQOL_Items'!BB187)/8)</f>
        <v>14</v>
      </c>
      <c r="T187" s="4">
        <f t="shared" si="39"/>
        <v>50</v>
      </c>
      <c r="U187" s="4">
        <f t="shared" si="40"/>
        <v>62.5</v>
      </c>
      <c r="V187" s="5">
        <f t="shared" si="41"/>
        <v>0.25</v>
      </c>
      <c r="W187" s="4">
        <f t="shared" si="42"/>
        <v>44.94047619047619</v>
      </c>
      <c r="X187" s="4">
        <f t="shared" si="43"/>
        <v>66.964285714285722</v>
      </c>
      <c r="Y187" s="5">
        <f t="shared" si="44"/>
        <v>0.49006622516556314</v>
      </c>
      <c r="Z187" s="1">
        <f>'01_WHOQOL_Items'!D187</f>
        <v>3</v>
      </c>
      <c r="AA187" s="1">
        <f>'01_WHOQOL_Items'!AD187</f>
        <v>3</v>
      </c>
      <c r="AB187" s="1">
        <f>'01_WHOQOL_Items'!E187</f>
        <v>3</v>
      </c>
      <c r="AC187" s="1">
        <f>'01_WHOQOL_Items'!AE187</f>
        <v>3</v>
      </c>
    </row>
    <row r="188" spans="1:29">
      <c r="A188" s="1" t="str">
        <f>'01_WHOQOL_Items'!A188</f>
        <v>EXP-187</v>
      </c>
      <c r="B188" s="1" t="str">
        <f>'01_WHOQOL_Items'!B188</f>
        <v>Experimental</v>
      </c>
      <c r="C188" s="4">
        <f>4*(((6-'01_WHOQOL_Items'!F188) + (6-'01_WHOQOL_Items'!G188) + '01_WHOQOL_Items'!M188 + '01_WHOQOL_Items'!R188 + '01_WHOQOL_Items'!S188 + '01_WHOQOL_Items'!T188 + '01_WHOQOL_Items'!U188)/7)</f>
        <v>14.285714285714286</v>
      </c>
      <c r="D188" s="4">
        <f>4*(((6-'01_WHOQOL_Items'!AF188) + (6-'01_WHOQOL_Items'!AG188) + '01_WHOQOL_Items'!AM188 + '01_WHOQOL_Items'!AR188 + '01_WHOQOL_Items'!AS188 + '01_WHOQOL_Items'!AT188 + '01_WHOQOL_Items'!AU188)/7)</f>
        <v>14.285714285714286</v>
      </c>
      <c r="E188" s="4">
        <f t="shared" si="30"/>
        <v>64.285714285714292</v>
      </c>
      <c r="F188" s="4">
        <f t="shared" si="31"/>
        <v>64.285714285714292</v>
      </c>
      <c r="G188" s="5">
        <f t="shared" si="32"/>
        <v>0</v>
      </c>
      <c r="H188" s="4">
        <f>4*(('01_WHOQOL_Items'!H188 + '01_WHOQOL_Items'!I188 + '01_WHOQOL_Items'!J188 + '01_WHOQOL_Items'!N188 + '01_WHOQOL_Items'!V188 + (6-'01_WHOQOL_Items'!AC188))/6)</f>
        <v>10.666666666666666</v>
      </c>
      <c r="I188" s="4">
        <f>4*(('01_WHOQOL_Items'!AH188 + '01_WHOQOL_Items'!AI188 + '01_WHOQOL_Items'!AJ188 + '01_WHOQOL_Items'!AN188 + '01_WHOQOL_Items'!AV188 + (6-'01_WHOQOL_Items'!BC188))/6)</f>
        <v>14</v>
      </c>
      <c r="J188" s="4">
        <f t="shared" si="33"/>
        <v>41.666666666666664</v>
      </c>
      <c r="K188" s="4">
        <f t="shared" si="34"/>
        <v>62.5</v>
      </c>
      <c r="L188" s="5">
        <f t="shared" si="35"/>
        <v>0.50000000000000011</v>
      </c>
      <c r="M188" s="4">
        <f>4*(('01_WHOQOL_Items'!W188 + '01_WHOQOL_Items'!X188 + '01_WHOQOL_Items'!Y188)/3)</f>
        <v>14.666666666666666</v>
      </c>
      <c r="N188" s="4">
        <f>4*(('01_WHOQOL_Items'!AW188 + '01_WHOQOL_Items'!AX188 + '01_WHOQOL_Items'!AY188)/3)</f>
        <v>16</v>
      </c>
      <c r="O188" s="4">
        <f t="shared" si="36"/>
        <v>66.666666666666657</v>
      </c>
      <c r="P188" s="4">
        <f t="shared" si="37"/>
        <v>75</v>
      </c>
      <c r="Q188" s="5">
        <f t="shared" si="38"/>
        <v>0.12500000000000017</v>
      </c>
      <c r="R188" s="4">
        <f>4*(('01_WHOQOL_Items'!K188 + '01_WHOQOL_Items'!L188 + '01_WHOQOL_Items'!O188 + '01_WHOQOL_Items'!P188 + '01_WHOQOL_Items'!Q188 + '01_WHOQOL_Items'!Z188 + '01_WHOQOL_Items'!AA188 + '01_WHOQOL_Items'!AB188)/8)</f>
        <v>14.5</v>
      </c>
      <c r="S188" s="4">
        <f>4*(('01_WHOQOL_Items'!AK188 + '01_WHOQOL_Items'!AL188 + '01_WHOQOL_Items'!AO188 + '01_WHOQOL_Items'!AP188 + '01_WHOQOL_Items'!AQ188 + '01_WHOQOL_Items'!AZ188 + '01_WHOQOL_Items'!BA188 + '01_WHOQOL_Items'!BB188)/8)</f>
        <v>13</v>
      </c>
      <c r="T188" s="4">
        <f t="shared" si="39"/>
        <v>65.625</v>
      </c>
      <c r="U188" s="4">
        <f t="shared" si="40"/>
        <v>56.25</v>
      </c>
      <c r="V188" s="5">
        <f t="shared" si="41"/>
        <v>-0.14285714285714285</v>
      </c>
      <c r="W188" s="4">
        <f t="shared" si="42"/>
        <v>59.561011904761905</v>
      </c>
      <c r="X188" s="4">
        <f t="shared" si="43"/>
        <v>64.508928571428569</v>
      </c>
      <c r="Y188" s="5">
        <f t="shared" si="44"/>
        <v>8.3073079325421573E-2</v>
      </c>
      <c r="Z188" s="1">
        <f>'01_WHOQOL_Items'!D188</f>
        <v>3</v>
      </c>
      <c r="AA188" s="1">
        <f>'01_WHOQOL_Items'!AD188</f>
        <v>4</v>
      </c>
      <c r="AB188" s="1">
        <f>'01_WHOQOL_Items'!E188</f>
        <v>4</v>
      </c>
      <c r="AC188" s="1">
        <f>'01_WHOQOL_Items'!AE188</f>
        <v>3</v>
      </c>
    </row>
    <row r="189" spans="1:29">
      <c r="A189" s="1" t="str">
        <f>'01_WHOQOL_Items'!A189</f>
        <v>EXP-188</v>
      </c>
      <c r="B189" s="1" t="str">
        <f>'01_WHOQOL_Items'!B189</f>
        <v>Experimental</v>
      </c>
      <c r="C189" s="4">
        <f>4*(((6-'01_WHOQOL_Items'!F189) + (6-'01_WHOQOL_Items'!G189) + '01_WHOQOL_Items'!M189 + '01_WHOQOL_Items'!R189 + '01_WHOQOL_Items'!S189 + '01_WHOQOL_Items'!T189 + '01_WHOQOL_Items'!U189)/7)</f>
        <v>12.571428571428571</v>
      </c>
      <c r="D189" s="4">
        <f>4*(((6-'01_WHOQOL_Items'!AF189) + (6-'01_WHOQOL_Items'!AG189) + '01_WHOQOL_Items'!AM189 + '01_WHOQOL_Items'!AR189 + '01_WHOQOL_Items'!AS189 + '01_WHOQOL_Items'!AT189 + '01_WHOQOL_Items'!AU189)/7)</f>
        <v>11.428571428571429</v>
      </c>
      <c r="E189" s="4">
        <f t="shared" si="30"/>
        <v>53.571428571428569</v>
      </c>
      <c r="F189" s="4">
        <f t="shared" si="31"/>
        <v>46.428571428571431</v>
      </c>
      <c r="G189" s="5">
        <f t="shared" si="32"/>
        <v>-0.13333333333333328</v>
      </c>
      <c r="H189" s="4">
        <f>4*(('01_WHOQOL_Items'!H189 + '01_WHOQOL_Items'!I189 + '01_WHOQOL_Items'!J189 + '01_WHOQOL_Items'!N189 + '01_WHOQOL_Items'!V189 + (6-'01_WHOQOL_Items'!AC189))/6)</f>
        <v>14</v>
      </c>
      <c r="I189" s="4">
        <f>4*(('01_WHOQOL_Items'!AH189 + '01_WHOQOL_Items'!AI189 + '01_WHOQOL_Items'!AJ189 + '01_WHOQOL_Items'!AN189 + '01_WHOQOL_Items'!AV189 + (6-'01_WHOQOL_Items'!BC189))/6)</f>
        <v>12.666666666666666</v>
      </c>
      <c r="J189" s="4">
        <f t="shared" si="33"/>
        <v>62.5</v>
      </c>
      <c r="K189" s="4">
        <f t="shared" si="34"/>
        <v>54.166666666666664</v>
      </c>
      <c r="L189" s="5">
        <f t="shared" si="35"/>
        <v>-0.13333333333333336</v>
      </c>
      <c r="M189" s="4">
        <f>4*(('01_WHOQOL_Items'!W189 + '01_WHOQOL_Items'!X189 + '01_WHOQOL_Items'!Y189)/3)</f>
        <v>12</v>
      </c>
      <c r="N189" s="4">
        <f>4*(('01_WHOQOL_Items'!AW189 + '01_WHOQOL_Items'!AX189 + '01_WHOQOL_Items'!AY189)/3)</f>
        <v>13.333333333333334</v>
      </c>
      <c r="O189" s="4">
        <f t="shared" si="36"/>
        <v>50</v>
      </c>
      <c r="P189" s="4">
        <f t="shared" si="37"/>
        <v>58.333333333333336</v>
      </c>
      <c r="Q189" s="5">
        <f t="shared" si="38"/>
        <v>0.16666666666666671</v>
      </c>
      <c r="R189" s="4">
        <f>4*(('01_WHOQOL_Items'!K189 + '01_WHOQOL_Items'!L189 + '01_WHOQOL_Items'!O189 + '01_WHOQOL_Items'!P189 + '01_WHOQOL_Items'!Q189 + '01_WHOQOL_Items'!Z189 + '01_WHOQOL_Items'!AA189 + '01_WHOQOL_Items'!AB189)/8)</f>
        <v>12</v>
      </c>
      <c r="S189" s="4">
        <f>4*(('01_WHOQOL_Items'!AK189 + '01_WHOQOL_Items'!AL189 + '01_WHOQOL_Items'!AO189 + '01_WHOQOL_Items'!AP189 + '01_WHOQOL_Items'!AQ189 + '01_WHOQOL_Items'!AZ189 + '01_WHOQOL_Items'!BA189 + '01_WHOQOL_Items'!BB189)/8)</f>
        <v>12</v>
      </c>
      <c r="T189" s="4">
        <f t="shared" si="39"/>
        <v>50</v>
      </c>
      <c r="U189" s="4">
        <f t="shared" si="40"/>
        <v>50</v>
      </c>
      <c r="V189" s="5">
        <f t="shared" si="41"/>
        <v>0</v>
      </c>
      <c r="W189" s="4">
        <f t="shared" si="42"/>
        <v>54.017857142857139</v>
      </c>
      <c r="X189" s="4">
        <f t="shared" si="43"/>
        <v>52.232142857142861</v>
      </c>
      <c r="Y189" s="5">
        <f t="shared" si="44"/>
        <v>-3.3057851239669277E-2</v>
      </c>
      <c r="Z189" s="1">
        <f>'01_WHOQOL_Items'!D189</f>
        <v>3</v>
      </c>
      <c r="AA189" s="1">
        <f>'01_WHOQOL_Items'!AD189</f>
        <v>4</v>
      </c>
      <c r="AB189" s="1">
        <f>'01_WHOQOL_Items'!E189</f>
        <v>3</v>
      </c>
      <c r="AC189" s="1">
        <f>'01_WHOQOL_Items'!AE189</f>
        <v>3</v>
      </c>
    </row>
    <row r="190" spans="1:29">
      <c r="A190" s="1" t="str">
        <f>'01_WHOQOL_Items'!A190</f>
        <v>EXP-189</v>
      </c>
      <c r="B190" s="1" t="str">
        <f>'01_WHOQOL_Items'!B190</f>
        <v>Experimental</v>
      </c>
      <c r="C190" s="4">
        <f>4*(((6-'01_WHOQOL_Items'!F190) + (6-'01_WHOQOL_Items'!G190) + '01_WHOQOL_Items'!M190 + '01_WHOQOL_Items'!R190 + '01_WHOQOL_Items'!S190 + '01_WHOQOL_Items'!T190 + '01_WHOQOL_Items'!U190)/7)</f>
        <v>14.285714285714286</v>
      </c>
      <c r="D190" s="4">
        <f>4*(((6-'01_WHOQOL_Items'!AF190) + (6-'01_WHOQOL_Items'!AG190) + '01_WHOQOL_Items'!AM190 + '01_WHOQOL_Items'!AR190 + '01_WHOQOL_Items'!AS190 + '01_WHOQOL_Items'!AT190 + '01_WHOQOL_Items'!AU190)/7)</f>
        <v>16.571428571428573</v>
      </c>
      <c r="E190" s="4">
        <f t="shared" si="30"/>
        <v>64.285714285714292</v>
      </c>
      <c r="F190" s="4">
        <f t="shared" si="31"/>
        <v>78.571428571428584</v>
      </c>
      <c r="G190" s="5">
        <f t="shared" si="32"/>
        <v>0.22222222222222229</v>
      </c>
      <c r="H190" s="4">
        <f>4*(('01_WHOQOL_Items'!H190 + '01_WHOQOL_Items'!I190 + '01_WHOQOL_Items'!J190 + '01_WHOQOL_Items'!N190 + '01_WHOQOL_Items'!V190 + (6-'01_WHOQOL_Items'!AC190))/6)</f>
        <v>10</v>
      </c>
      <c r="I190" s="4">
        <f>4*(('01_WHOQOL_Items'!AH190 + '01_WHOQOL_Items'!AI190 + '01_WHOQOL_Items'!AJ190 + '01_WHOQOL_Items'!AN190 + '01_WHOQOL_Items'!AV190 + (6-'01_WHOQOL_Items'!BC190))/6)</f>
        <v>12.666666666666666</v>
      </c>
      <c r="J190" s="4">
        <f t="shared" si="33"/>
        <v>37.5</v>
      </c>
      <c r="K190" s="4">
        <f t="shared" si="34"/>
        <v>54.166666666666664</v>
      </c>
      <c r="L190" s="5">
        <f t="shared" si="35"/>
        <v>0.44444444444444436</v>
      </c>
      <c r="M190" s="4">
        <f>4*(('01_WHOQOL_Items'!W190 + '01_WHOQOL_Items'!X190 + '01_WHOQOL_Items'!Y190)/3)</f>
        <v>9.3333333333333339</v>
      </c>
      <c r="N190" s="4">
        <f>4*(('01_WHOQOL_Items'!AW190 + '01_WHOQOL_Items'!AX190 + '01_WHOQOL_Items'!AY190)/3)</f>
        <v>12</v>
      </c>
      <c r="O190" s="4">
        <f t="shared" si="36"/>
        <v>33.333333333333336</v>
      </c>
      <c r="P190" s="4">
        <f t="shared" si="37"/>
        <v>50</v>
      </c>
      <c r="Q190" s="5">
        <f t="shared" si="38"/>
        <v>0.49999999999999989</v>
      </c>
      <c r="R190" s="4">
        <f>4*(('01_WHOQOL_Items'!K190 + '01_WHOQOL_Items'!L190 + '01_WHOQOL_Items'!O190 + '01_WHOQOL_Items'!P190 + '01_WHOQOL_Items'!Q190 + '01_WHOQOL_Items'!Z190 + '01_WHOQOL_Items'!AA190 + '01_WHOQOL_Items'!AB190)/8)</f>
        <v>12.5</v>
      </c>
      <c r="S190" s="4">
        <f>4*(('01_WHOQOL_Items'!AK190 + '01_WHOQOL_Items'!AL190 + '01_WHOQOL_Items'!AO190 + '01_WHOQOL_Items'!AP190 + '01_WHOQOL_Items'!AQ190 + '01_WHOQOL_Items'!AZ190 + '01_WHOQOL_Items'!BA190 + '01_WHOQOL_Items'!BB190)/8)</f>
        <v>17</v>
      </c>
      <c r="T190" s="4">
        <f t="shared" si="39"/>
        <v>53.125</v>
      </c>
      <c r="U190" s="4">
        <f t="shared" si="40"/>
        <v>81.25</v>
      </c>
      <c r="V190" s="5">
        <f t="shared" si="41"/>
        <v>0.52941176470588236</v>
      </c>
      <c r="W190" s="4">
        <f t="shared" si="42"/>
        <v>47.061011904761905</v>
      </c>
      <c r="X190" s="4">
        <f t="shared" si="43"/>
        <v>65.99702380952381</v>
      </c>
      <c r="Y190" s="5">
        <f t="shared" si="44"/>
        <v>0.40237154150197629</v>
      </c>
      <c r="Z190" s="1">
        <f>'01_WHOQOL_Items'!D190</f>
        <v>4</v>
      </c>
      <c r="AA190" s="1">
        <f>'01_WHOQOL_Items'!AD190</f>
        <v>4</v>
      </c>
      <c r="AB190" s="1">
        <f>'01_WHOQOL_Items'!E190</f>
        <v>3</v>
      </c>
      <c r="AC190" s="1">
        <f>'01_WHOQOL_Items'!AE190</f>
        <v>3</v>
      </c>
    </row>
    <row r="191" spans="1:29">
      <c r="A191" s="1" t="str">
        <f>'01_WHOQOL_Items'!A191</f>
        <v>EXP-190</v>
      </c>
      <c r="B191" s="1" t="str">
        <f>'01_WHOQOL_Items'!B191</f>
        <v>Experimental</v>
      </c>
      <c r="C191" s="4">
        <f>4*(((6-'01_WHOQOL_Items'!F191) + (6-'01_WHOQOL_Items'!G191) + '01_WHOQOL_Items'!M191 + '01_WHOQOL_Items'!R191 + '01_WHOQOL_Items'!S191 + '01_WHOQOL_Items'!T191 + '01_WHOQOL_Items'!U191)/7)</f>
        <v>13.714285714285714</v>
      </c>
      <c r="D191" s="4">
        <f>4*(((6-'01_WHOQOL_Items'!AF191) + (6-'01_WHOQOL_Items'!AG191) + '01_WHOQOL_Items'!AM191 + '01_WHOQOL_Items'!AR191 + '01_WHOQOL_Items'!AS191 + '01_WHOQOL_Items'!AT191 + '01_WHOQOL_Items'!AU191)/7)</f>
        <v>12.571428571428571</v>
      </c>
      <c r="E191" s="4">
        <f t="shared" si="30"/>
        <v>60.714285714285708</v>
      </c>
      <c r="F191" s="4">
        <f t="shared" si="31"/>
        <v>53.571428571428569</v>
      </c>
      <c r="G191" s="5">
        <f t="shared" si="32"/>
        <v>-0.11764705882352935</v>
      </c>
      <c r="H191" s="4">
        <f>4*(('01_WHOQOL_Items'!H191 + '01_WHOQOL_Items'!I191 + '01_WHOQOL_Items'!J191 + '01_WHOQOL_Items'!N191 + '01_WHOQOL_Items'!V191 + (6-'01_WHOQOL_Items'!AC191))/6)</f>
        <v>12.666666666666666</v>
      </c>
      <c r="I191" s="4">
        <f>4*(('01_WHOQOL_Items'!AH191 + '01_WHOQOL_Items'!AI191 + '01_WHOQOL_Items'!AJ191 + '01_WHOQOL_Items'!AN191 + '01_WHOQOL_Items'!AV191 + (6-'01_WHOQOL_Items'!BC191))/6)</f>
        <v>14.666666666666666</v>
      </c>
      <c r="J191" s="4">
        <f t="shared" si="33"/>
        <v>54.166666666666664</v>
      </c>
      <c r="K191" s="4">
        <f t="shared" si="34"/>
        <v>66.666666666666657</v>
      </c>
      <c r="L191" s="5">
        <f t="shared" si="35"/>
        <v>0.23076923076923064</v>
      </c>
      <c r="M191" s="4">
        <f>4*(('01_WHOQOL_Items'!W191 + '01_WHOQOL_Items'!X191 + '01_WHOQOL_Items'!Y191)/3)</f>
        <v>10.666666666666666</v>
      </c>
      <c r="N191" s="4">
        <f>4*(('01_WHOQOL_Items'!AW191 + '01_WHOQOL_Items'!AX191 + '01_WHOQOL_Items'!AY191)/3)</f>
        <v>14.666666666666666</v>
      </c>
      <c r="O191" s="4">
        <f t="shared" si="36"/>
        <v>41.666666666666664</v>
      </c>
      <c r="P191" s="4">
        <f t="shared" si="37"/>
        <v>66.666666666666657</v>
      </c>
      <c r="Q191" s="5">
        <f t="shared" si="38"/>
        <v>0.59999999999999987</v>
      </c>
      <c r="R191" s="4">
        <f>4*(('01_WHOQOL_Items'!K191 + '01_WHOQOL_Items'!L191 + '01_WHOQOL_Items'!O191 + '01_WHOQOL_Items'!P191 + '01_WHOQOL_Items'!Q191 + '01_WHOQOL_Items'!Z191 + '01_WHOQOL_Items'!AA191 + '01_WHOQOL_Items'!AB191)/8)</f>
        <v>11.5</v>
      </c>
      <c r="S191" s="4">
        <f>4*(('01_WHOQOL_Items'!AK191 + '01_WHOQOL_Items'!AL191 + '01_WHOQOL_Items'!AO191 + '01_WHOQOL_Items'!AP191 + '01_WHOQOL_Items'!AQ191 + '01_WHOQOL_Items'!AZ191 + '01_WHOQOL_Items'!BA191 + '01_WHOQOL_Items'!BB191)/8)</f>
        <v>11.5</v>
      </c>
      <c r="T191" s="4">
        <f t="shared" si="39"/>
        <v>46.875</v>
      </c>
      <c r="U191" s="4">
        <f t="shared" si="40"/>
        <v>46.875</v>
      </c>
      <c r="V191" s="5">
        <f t="shared" si="41"/>
        <v>0</v>
      </c>
      <c r="W191" s="4">
        <f t="shared" si="42"/>
        <v>50.855654761904759</v>
      </c>
      <c r="X191" s="4">
        <f t="shared" si="43"/>
        <v>58.444940476190467</v>
      </c>
      <c r="Y191" s="5">
        <f t="shared" si="44"/>
        <v>0.14923189465983897</v>
      </c>
      <c r="Z191" s="1">
        <f>'01_WHOQOL_Items'!D191</f>
        <v>3</v>
      </c>
      <c r="AA191" s="1">
        <f>'01_WHOQOL_Items'!AD191</f>
        <v>3</v>
      </c>
      <c r="AB191" s="1">
        <f>'01_WHOQOL_Items'!E191</f>
        <v>4</v>
      </c>
      <c r="AC191" s="1">
        <f>'01_WHOQOL_Items'!AE191</f>
        <v>3</v>
      </c>
    </row>
    <row r="192" spans="1:29">
      <c r="A192" s="1" t="str">
        <f>'01_WHOQOL_Items'!A192</f>
        <v>EXP-191</v>
      </c>
      <c r="B192" s="1" t="str">
        <f>'01_WHOQOL_Items'!B192</f>
        <v>Experimental</v>
      </c>
      <c r="C192" s="4">
        <f>4*(((6-'01_WHOQOL_Items'!F192) + (6-'01_WHOQOL_Items'!G192) + '01_WHOQOL_Items'!M192 + '01_WHOQOL_Items'!R192 + '01_WHOQOL_Items'!S192 + '01_WHOQOL_Items'!T192 + '01_WHOQOL_Items'!U192)/7)</f>
        <v>13.142857142857142</v>
      </c>
      <c r="D192" s="4">
        <f>4*(((6-'01_WHOQOL_Items'!AF192) + (6-'01_WHOQOL_Items'!AG192) + '01_WHOQOL_Items'!AM192 + '01_WHOQOL_Items'!AR192 + '01_WHOQOL_Items'!AS192 + '01_WHOQOL_Items'!AT192 + '01_WHOQOL_Items'!AU192)/7)</f>
        <v>14.285714285714286</v>
      </c>
      <c r="E192" s="4">
        <f t="shared" si="30"/>
        <v>57.142857142857139</v>
      </c>
      <c r="F192" s="4">
        <f t="shared" si="31"/>
        <v>64.285714285714292</v>
      </c>
      <c r="G192" s="5">
        <f t="shared" si="32"/>
        <v>0.12500000000000019</v>
      </c>
      <c r="H192" s="4">
        <f>4*(('01_WHOQOL_Items'!H192 + '01_WHOQOL_Items'!I192 + '01_WHOQOL_Items'!J192 + '01_WHOQOL_Items'!N192 + '01_WHOQOL_Items'!V192 + (6-'01_WHOQOL_Items'!AC192))/6)</f>
        <v>10.666666666666666</v>
      </c>
      <c r="I192" s="4">
        <f>4*(('01_WHOQOL_Items'!AH192 + '01_WHOQOL_Items'!AI192 + '01_WHOQOL_Items'!AJ192 + '01_WHOQOL_Items'!AN192 + '01_WHOQOL_Items'!AV192 + (6-'01_WHOQOL_Items'!BC192))/6)</f>
        <v>12</v>
      </c>
      <c r="J192" s="4">
        <f t="shared" si="33"/>
        <v>41.666666666666664</v>
      </c>
      <c r="K192" s="4">
        <f t="shared" si="34"/>
        <v>50</v>
      </c>
      <c r="L192" s="5">
        <f t="shared" si="35"/>
        <v>0.20000000000000007</v>
      </c>
      <c r="M192" s="4">
        <f>4*(('01_WHOQOL_Items'!W192 + '01_WHOQOL_Items'!X192 + '01_WHOQOL_Items'!Y192)/3)</f>
        <v>9.3333333333333339</v>
      </c>
      <c r="N192" s="4">
        <f>4*(('01_WHOQOL_Items'!AW192 + '01_WHOQOL_Items'!AX192 + '01_WHOQOL_Items'!AY192)/3)</f>
        <v>13.333333333333334</v>
      </c>
      <c r="O192" s="4">
        <f t="shared" si="36"/>
        <v>33.333333333333336</v>
      </c>
      <c r="P192" s="4">
        <f t="shared" si="37"/>
        <v>58.333333333333336</v>
      </c>
      <c r="Q192" s="5">
        <f t="shared" si="38"/>
        <v>0.75</v>
      </c>
      <c r="R192" s="4">
        <f>4*(('01_WHOQOL_Items'!K192 + '01_WHOQOL_Items'!L192 + '01_WHOQOL_Items'!O192 + '01_WHOQOL_Items'!P192 + '01_WHOQOL_Items'!Q192 + '01_WHOQOL_Items'!Z192 + '01_WHOQOL_Items'!AA192 + '01_WHOQOL_Items'!AB192)/8)</f>
        <v>16.5</v>
      </c>
      <c r="S192" s="4">
        <f>4*(('01_WHOQOL_Items'!AK192 + '01_WHOQOL_Items'!AL192 + '01_WHOQOL_Items'!AO192 + '01_WHOQOL_Items'!AP192 + '01_WHOQOL_Items'!AQ192 + '01_WHOQOL_Items'!AZ192 + '01_WHOQOL_Items'!BA192 + '01_WHOQOL_Items'!BB192)/8)</f>
        <v>19</v>
      </c>
      <c r="T192" s="4">
        <f t="shared" si="39"/>
        <v>78.125</v>
      </c>
      <c r="U192" s="4">
        <f t="shared" si="40"/>
        <v>93.75</v>
      </c>
      <c r="V192" s="5">
        <f t="shared" si="41"/>
        <v>0.2</v>
      </c>
      <c r="W192" s="4">
        <f t="shared" si="42"/>
        <v>52.566964285714285</v>
      </c>
      <c r="X192" s="4">
        <f t="shared" si="43"/>
        <v>66.592261904761898</v>
      </c>
      <c r="Y192" s="5">
        <f t="shared" si="44"/>
        <v>0.26680820948336864</v>
      </c>
      <c r="Z192" s="1">
        <f>'01_WHOQOL_Items'!D192</f>
        <v>3</v>
      </c>
      <c r="AA192" s="1">
        <f>'01_WHOQOL_Items'!AD192</f>
        <v>4</v>
      </c>
      <c r="AB192" s="1">
        <f>'01_WHOQOL_Items'!E192</f>
        <v>2</v>
      </c>
      <c r="AC192" s="1">
        <f>'01_WHOQOL_Items'!AE192</f>
        <v>2</v>
      </c>
    </row>
    <row r="193" spans="1:29">
      <c r="A193" s="1" t="str">
        <f>'01_WHOQOL_Items'!A193</f>
        <v>EXP-192</v>
      </c>
      <c r="B193" s="1" t="str">
        <f>'01_WHOQOL_Items'!B193</f>
        <v>Experimental</v>
      </c>
      <c r="C193" s="4">
        <f>4*(((6-'01_WHOQOL_Items'!F193) + (6-'01_WHOQOL_Items'!G193) + '01_WHOQOL_Items'!M193 + '01_WHOQOL_Items'!R193 + '01_WHOQOL_Items'!S193 + '01_WHOQOL_Items'!T193 + '01_WHOQOL_Items'!U193)/7)</f>
        <v>16</v>
      </c>
      <c r="D193" s="4">
        <f>4*(((6-'01_WHOQOL_Items'!AF193) + (6-'01_WHOQOL_Items'!AG193) + '01_WHOQOL_Items'!AM193 + '01_WHOQOL_Items'!AR193 + '01_WHOQOL_Items'!AS193 + '01_WHOQOL_Items'!AT193 + '01_WHOQOL_Items'!AU193)/7)</f>
        <v>17.714285714285715</v>
      </c>
      <c r="E193" s="4">
        <f t="shared" si="30"/>
        <v>75</v>
      </c>
      <c r="F193" s="4">
        <f t="shared" si="31"/>
        <v>85.714285714285722</v>
      </c>
      <c r="G193" s="5">
        <f t="shared" si="32"/>
        <v>0.14285714285714296</v>
      </c>
      <c r="H193" s="4">
        <f>4*(('01_WHOQOL_Items'!H193 + '01_WHOQOL_Items'!I193 + '01_WHOQOL_Items'!J193 + '01_WHOQOL_Items'!N193 + '01_WHOQOL_Items'!V193 + (6-'01_WHOQOL_Items'!AC193))/6)</f>
        <v>8.6666666666666661</v>
      </c>
      <c r="I193" s="4">
        <f>4*(('01_WHOQOL_Items'!AH193 + '01_WHOQOL_Items'!AI193 + '01_WHOQOL_Items'!AJ193 + '01_WHOQOL_Items'!AN193 + '01_WHOQOL_Items'!AV193 + (6-'01_WHOQOL_Items'!BC193))/6)</f>
        <v>12</v>
      </c>
      <c r="J193" s="4">
        <f t="shared" si="33"/>
        <v>29.166666666666664</v>
      </c>
      <c r="K193" s="4">
        <f t="shared" si="34"/>
        <v>50</v>
      </c>
      <c r="L193" s="5">
        <f t="shared" si="35"/>
        <v>0.71428571428571441</v>
      </c>
      <c r="M193" s="4">
        <f>4*(('01_WHOQOL_Items'!W193 + '01_WHOQOL_Items'!X193 + '01_WHOQOL_Items'!Y193)/3)</f>
        <v>14.666666666666666</v>
      </c>
      <c r="N193" s="4">
        <f>4*(('01_WHOQOL_Items'!AW193 + '01_WHOQOL_Items'!AX193 + '01_WHOQOL_Items'!AY193)/3)</f>
        <v>14.666666666666666</v>
      </c>
      <c r="O193" s="4">
        <f t="shared" si="36"/>
        <v>66.666666666666657</v>
      </c>
      <c r="P193" s="4">
        <f t="shared" si="37"/>
        <v>66.666666666666657</v>
      </c>
      <c r="Q193" s="5">
        <f t="shared" si="38"/>
        <v>0</v>
      </c>
      <c r="R193" s="4">
        <f>4*(('01_WHOQOL_Items'!K193 + '01_WHOQOL_Items'!L193 + '01_WHOQOL_Items'!O193 + '01_WHOQOL_Items'!P193 + '01_WHOQOL_Items'!Q193 + '01_WHOQOL_Items'!Z193 + '01_WHOQOL_Items'!AA193 + '01_WHOQOL_Items'!AB193)/8)</f>
        <v>14.5</v>
      </c>
      <c r="S193" s="4">
        <f>4*(('01_WHOQOL_Items'!AK193 + '01_WHOQOL_Items'!AL193 + '01_WHOQOL_Items'!AO193 + '01_WHOQOL_Items'!AP193 + '01_WHOQOL_Items'!AQ193 + '01_WHOQOL_Items'!AZ193 + '01_WHOQOL_Items'!BA193 + '01_WHOQOL_Items'!BB193)/8)</f>
        <v>18</v>
      </c>
      <c r="T193" s="4">
        <f t="shared" si="39"/>
        <v>65.625</v>
      </c>
      <c r="U193" s="4">
        <f t="shared" si="40"/>
        <v>87.5</v>
      </c>
      <c r="V193" s="5">
        <f t="shared" si="41"/>
        <v>0.33333333333333331</v>
      </c>
      <c r="W193" s="4">
        <f t="shared" si="42"/>
        <v>59.114583333333329</v>
      </c>
      <c r="X193" s="4">
        <f t="shared" si="43"/>
        <v>72.470238095238102</v>
      </c>
      <c r="Y193" s="5">
        <f t="shared" si="44"/>
        <v>0.22592825676526138</v>
      </c>
      <c r="Z193" s="1">
        <f>'01_WHOQOL_Items'!D193</f>
        <v>3</v>
      </c>
      <c r="AA193" s="1">
        <f>'01_WHOQOL_Items'!AD193</f>
        <v>4</v>
      </c>
      <c r="AB193" s="1">
        <f>'01_WHOQOL_Items'!E193</f>
        <v>4</v>
      </c>
      <c r="AC193" s="1">
        <f>'01_WHOQOL_Items'!AE193</f>
        <v>4</v>
      </c>
    </row>
    <row r="194" spans="1:29">
      <c r="A194" s="1" t="str">
        <f>'01_WHOQOL_Items'!A194</f>
        <v>EXP-193</v>
      </c>
      <c r="B194" s="1" t="str">
        <f>'01_WHOQOL_Items'!B194</f>
        <v>Experimental</v>
      </c>
      <c r="C194" s="4">
        <f>4*(((6-'01_WHOQOL_Items'!F194) + (6-'01_WHOQOL_Items'!G194) + '01_WHOQOL_Items'!M194 + '01_WHOQOL_Items'!R194 + '01_WHOQOL_Items'!S194 + '01_WHOQOL_Items'!T194 + '01_WHOQOL_Items'!U194)/7)</f>
        <v>10.857142857142858</v>
      </c>
      <c r="D194" s="4">
        <f>4*(((6-'01_WHOQOL_Items'!AF194) + (6-'01_WHOQOL_Items'!AG194) + '01_WHOQOL_Items'!AM194 + '01_WHOQOL_Items'!AR194 + '01_WHOQOL_Items'!AS194 + '01_WHOQOL_Items'!AT194 + '01_WHOQOL_Items'!AU194)/7)</f>
        <v>11.428571428571429</v>
      </c>
      <c r="E194" s="4">
        <f t="shared" ref="E194:E257" si="45">(C194-4)*100/16</f>
        <v>42.857142857142861</v>
      </c>
      <c r="F194" s="4">
        <f t="shared" ref="F194:F257" si="46">(D194-4)*100/16</f>
        <v>46.428571428571431</v>
      </c>
      <c r="G194" s="5">
        <f t="shared" ref="G194:G257" si="47">IFERROR((F194-E194)/E194,"")</f>
        <v>8.3333333333333273E-2</v>
      </c>
      <c r="H194" s="4">
        <f>4*(('01_WHOQOL_Items'!H194 + '01_WHOQOL_Items'!I194 + '01_WHOQOL_Items'!J194 + '01_WHOQOL_Items'!N194 + '01_WHOQOL_Items'!V194 + (6-'01_WHOQOL_Items'!AC194))/6)</f>
        <v>10.666666666666666</v>
      </c>
      <c r="I194" s="4">
        <f>4*(('01_WHOQOL_Items'!AH194 + '01_WHOQOL_Items'!AI194 + '01_WHOQOL_Items'!AJ194 + '01_WHOQOL_Items'!AN194 + '01_WHOQOL_Items'!AV194 + (6-'01_WHOQOL_Items'!BC194))/6)</f>
        <v>14.666666666666666</v>
      </c>
      <c r="J194" s="4">
        <f t="shared" ref="J194:J257" si="48">(H194-4)*100/16</f>
        <v>41.666666666666664</v>
      </c>
      <c r="K194" s="4">
        <f t="shared" ref="K194:K257" si="49">(I194-4)*100/16</f>
        <v>66.666666666666657</v>
      </c>
      <c r="L194" s="5">
        <f t="shared" ref="L194:L257" si="50">IFERROR((K194-J194)/J194,"")</f>
        <v>0.59999999999999987</v>
      </c>
      <c r="M194" s="4">
        <f>4*(('01_WHOQOL_Items'!W194 + '01_WHOQOL_Items'!X194 + '01_WHOQOL_Items'!Y194)/3)</f>
        <v>12</v>
      </c>
      <c r="N194" s="4">
        <f>4*(('01_WHOQOL_Items'!AW194 + '01_WHOQOL_Items'!AX194 + '01_WHOQOL_Items'!AY194)/3)</f>
        <v>14.666666666666666</v>
      </c>
      <c r="O194" s="4">
        <f t="shared" ref="O194:O257" si="51">(M194-4)*100/16</f>
        <v>50</v>
      </c>
      <c r="P194" s="4">
        <f t="shared" ref="P194:P257" si="52">(N194-4)*100/16</f>
        <v>66.666666666666657</v>
      </c>
      <c r="Q194" s="5">
        <f t="shared" ref="Q194:Q257" si="53">IFERROR((P194-O194)/O194,"")</f>
        <v>0.33333333333333315</v>
      </c>
      <c r="R194" s="4">
        <f>4*(('01_WHOQOL_Items'!K194 + '01_WHOQOL_Items'!L194 + '01_WHOQOL_Items'!O194 + '01_WHOQOL_Items'!P194 + '01_WHOQOL_Items'!Q194 + '01_WHOQOL_Items'!Z194 + '01_WHOQOL_Items'!AA194 + '01_WHOQOL_Items'!AB194)/8)</f>
        <v>13</v>
      </c>
      <c r="S194" s="4">
        <f>4*(('01_WHOQOL_Items'!AK194 + '01_WHOQOL_Items'!AL194 + '01_WHOQOL_Items'!AO194 + '01_WHOQOL_Items'!AP194 + '01_WHOQOL_Items'!AQ194 + '01_WHOQOL_Items'!AZ194 + '01_WHOQOL_Items'!BA194 + '01_WHOQOL_Items'!BB194)/8)</f>
        <v>15</v>
      </c>
      <c r="T194" s="4">
        <f t="shared" ref="T194:T257" si="54">(R194-4)*100/16</f>
        <v>56.25</v>
      </c>
      <c r="U194" s="4">
        <f t="shared" ref="U194:U257" si="55">(S194-4)*100/16</f>
        <v>68.75</v>
      </c>
      <c r="V194" s="5">
        <f t="shared" ref="V194:V257" si="56">IFERROR((U194-T194)/T194,"")</f>
        <v>0.22222222222222221</v>
      </c>
      <c r="W194" s="4">
        <f t="shared" ref="W194:W257" si="57">AVERAGE(E194,J194,O194,T194)</f>
        <v>47.69345238095238</v>
      </c>
      <c r="X194" s="4">
        <f t="shared" ref="X194:X257" si="58">AVERAGE(F194,K194,P194,U194)</f>
        <v>62.12797619047619</v>
      </c>
      <c r="Y194" s="5">
        <f t="shared" ref="Y194:Y257" si="59">IFERROR((X194-W194)/W194,"")</f>
        <v>0.30265210608424337</v>
      </c>
      <c r="Z194" s="1">
        <f>'01_WHOQOL_Items'!D194</f>
        <v>2</v>
      </c>
      <c r="AA194" s="1">
        <f>'01_WHOQOL_Items'!AD194</f>
        <v>3</v>
      </c>
      <c r="AB194" s="1">
        <f>'01_WHOQOL_Items'!E194</f>
        <v>3</v>
      </c>
      <c r="AC194" s="1">
        <f>'01_WHOQOL_Items'!AE194</f>
        <v>2</v>
      </c>
    </row>
    <row r="195" spans="1:29">
      <c r="A195" s="1" t="str">
        <f>'01_WHOQOL_Items'!A195</f>
        <v>EXP-194</v>
      </c>
      <c r="B195" s="1" t="str">
        <f>'01_WHOQOL_Items'!B195</f>
        <v>Experimental</v>
      </c>
      <c r="C195" s="4">
        <f>4*(((6-'01_WHOQOL_Items'!F195) + (6-'01_WHOQOL_Items'!G195) + '01_WHOQOL_Items'!M195 + '01_WHOQOL_Items'!R195 + '01_WHOQOL_Items'!S195 + '01_WHOQOL_Items'!T195 + '01_WHOQOL_Items'!U195)/7)</f>
        <v>14.857142857142858</v>
      </c>
      <c r="D195" s="4">
        <f>4*(((6-'01_WHOQOL_Items'!AF195) + (6-'01_WHOQOL_Items'!AG195) + '01_WHOQOL_Items'!AM195 + '01_WHOQOL_Items'!AR195 + '01_WHOQOL_Items'!AS195 + '01_WHOQOL_Items'!AT195 + '01_WHOQOL_Items'!AU195)/7)</f>
        <v>16.571428571428573</v>
      </c>
      <c r="E195" s="4">
        <f t="shared" si="45"/>
        <v>67.857142857142861</v>
      </c>
      <c r="F195" s="4">
        <f t="shared" si="46"/>
        <v>78.571428571428584</v>
      </c>
      <c r="G195" s="5">
        <f t="shared" si="47"/>
        <v>0.15789473684210537</v>
      </c>
      <c r="H195" s="4">
        <f>4*(('01_WHOQOL_Items'!H195 + '01_WHOQOL_Items'!I195 + '01_WHOQOL_Items'!J195 + '01_WHOQOL_Items'!N195 + '01_WHOQOL_Items'!V195 + (6-'01_WHOQOL_Items'!AC195))/6)</f>
        <v>8</v>
      </c>
      <c r="I195" s="4">
        <f>4*(('01_WHOQOL_Items'!AH195 + '01_WHOQOL_Items'!AI195 + '01_WHOQOL_Items'!AJ195 + '01_WHOQOL_Items'!AN195 + '01_WHOQOL_Items'!AV195 + (6-'01_WHOQOL_Items'!BC195))/6)</f>
        <v>11.333333333333334</v>
      </c>
      <c r="J195" s="4">
        <f t="shared" si="48"/>
        <v>25</v>
      </c>
      <c r="K195" s="4">
        <f t="shared" si="49"/>
        <v>45.833333333333336</v>
      </c>
      <c r="L195" s="5">
        <f t="shared" si="50"/>
        <v>0.83333333333333348</v>
      </c>
      <c r="M195" s="4">
        <f>4*(('01_WHOQOL_Items'!W195 + '01_WHOQOL_Items'!X195 + '01_WHOQOL_Items'!Y195)/3)</f>
        <v>12</v>
      </c>
      <c r="N195" s="4">
        <f>4*(('01_WHOQOL_Items'!AW195 + '01_WHOQOL_Items'!AX195 + '01_WHOQOL_Items'!AY195)/3)</f>
        <v>14.666666666666666</v>
      </c>
      <c r="O195" s="4">
        <f t="shared" si="51"/>
        <v>50</v>
      </c>
      <c r="P195" s="4">
        <f t="shared" si="52"/>
        <v>66.666666666666657</v>
      </c>
      <c r="Q195" s="5">
        <f t="shared" si="53"/>
        <v>0.33333333333333315</v>
      </c>
      <c r="R195" s="4">
        <f>4*(('01_WHOQOL_Items'!K195 + '01_WHOQOL_Items'!L195 + '01_WHOQOL_Items'!O195 + '01_WHOQOL_Items'!P195 + '01_WHOQOL_Items'!Q195 + '01_WHOQOL_Items'!Z195 + '01_WHOQOL_Items'!AA195 + '01_WHOQOL_Items'!AB195)/8)</f>
        <v>10.5</v>
      </c>
      <c r="S195" s="4">
        <f>4*(('01_WHOQOL_Items'!AK195 + '01_WHOQOL_Items'!AL195 + '01_WHOQOL_Items'!AO195 + '01_WHOQOL_Items'!AP195 + '01_WHOQOL_Items'!AQ195 + '01_WHOQOL_Items'!AZ195 + '01_WHOQOL_Items'!BA195 + '01_WHOQOL_Items'!BB195)/8)</f>
        <v>11</v>
      </c>
      <c r="T195" s="4">
        <f t="shared" si="54"/>
        <v>40.625</v>
      </c>
      <c r="U195" s="4">
        <f t="shared" si="55"/>
        <v>43.75</v>
      </c>
      <c r="V195" s="5">
        <f t="shared" si="56"/>
        <v>7.6923076923076927E-2</v>
      </c>
      <c r="W195" s="4">
        <f t="shared" si="57"/>
        <v>45.870535714285715</v>
      </c>
      <c r="X195" s="4">
        <f t="shared" si="58"/>
        <v>58.705357142857146</v>
      </c>
      <c r="Y195" s="5">
        <f t="shared" si="59"/>
        <v>0.27980535279805357</v>
      </c>
      <c r="Z195" s="1">
        <f>'01_WHOQOL_Items'!D195</f>
        <v>3</v>
      </c>
      <c r="AA195" s="1">
        <f>'01_WHOQOL_Items'!AD195</f>
        <v>3</v>
      </c>
      <c r="AB195" s="1">
        <f>'01_WHOQOL_Items'!E195</f>
        <v>4</v>
      </c>
      <c r="AC195" s="1">
        <f>'01_WHOQOL_Items'!AE195</f>
        <v>5</v>
      </c>
    </row>
    <row r="196" spans="1:29">
      <c r="A196" s="1" t="str">
        <f>'01_WHOQOL_Items'!A196</f>
        <v>EXP-195</v>
      </c>
      <c r="B196" s="1" t="str">
        <f>'01_WHOQOL_Items'!B196</f>
        <v>Experimental</v>
      </c>
      <c r="C196" s="4">
        <f>4*(((6-'01_WHOQOL_Items'!F196) + (6-'01_WHOQOL_Items'!G196) + '01_WHOQOL_Items'!M196 + '01_WHOQOL_Items'!R196 + '01_WHOQOL_Items'!S196 + '01_WHOQOL_Items'!T196 + '01_WHOQOL_Items'!U196)/7)</f>
        <v>13.142857142857142</v>
      </c>
      <c r="D196" s="4">
        <f>4*(((6-'01_WHOQOL_Items'!AF196) + (6-'01_WHOQOL_Items'!AG196) + '01_WHOQOL_Items'!AM196 + '01_WHOQOL_Items'!AR196 + '01_WHOQOL_Items'!AS196 + '01_WHOQOL_Items'!AT196 + '01_WHOQOL_Items'!AU196)/7)</f>
        <v>11.428571428571429</v>
      </c>
      <c r="E196" s="4">
        <f t="shared" si="45"/>
        <v>57.142857142857139</v>
      </c>
      <c r="F196" s="4">
        <f t="shared" si="46"/>
        <v>46.428571428571431</v>
      </c>
      <c r="G196" s="5">
        <f t="shared" si="47"/>
        <v>-0.18749999999999992</v>
      </c>
      <c r="H196" s="4">
        <f>4*(('01_WHOQOL_Items'!H196 + '01_WHOQOL_Items'!I196 + '01_WHOQOL_Items'!J196 + '01_WHOQOL_Items'!N196 + '01_WHOQOL_Items'!V196 + (6-'01_WHOQOL_Items'!AC196))/6)</f>
        <v>12</v>
      </c>
      <c r="I196" s="4">
        <f>4*(('01_WHOQOL_Items'!AH196 + '01_WHOQOL_Items'!AI196 + '01_WHOQOL_Items'!AJ196 + '01_WHOQOL_Items'!AN196 + '01_WHOQOL_Items'!AV196 + (6-'01_WHOQOL_Items'!BC196))/6)</f>
        <v>15.333333333333334</v>
      </c>
      <c r="J196" s="4">
        <f t="shared" si="48"/>
        <v>50</v>
      </c>
      <c r="K196" s="4">
        <f t="shared" si="49"/>
        <v>70.833333333333343</v>
      </c>
      <c r="L196" s="5">
        <f t="shared" si="50"/>
        <v>0.41666666666666685</v>
      </c>
      <c r="M196" s="4">
        <f>4*(('01_WHOQOL_Items'!W196 + '01_WHOQOL_Items'!X196 + '01_WHOQOL_Items'!Y196)/3)</f>
        <v>12</v>
      </c>
      <c r="N196" s="4">
        <f>4*(('01_WHOQOL_Items'!AW196 + '01_WHOQOL_Items'!AX196 + '01_WHOQOL_Items'!AY196)/3)</f>
        <v>14.666666666666666</v>
      </c>
      <c r="O196" s="4">
        <f t="shared" si="51"/>
        <v>50</v>
      </c>
      <c r="P196" s="4">
        <f t="shared" si="52"/>
        <v>66.666666666666657</v>
      </c>
      <c r="Q196" s="5">
        <f t="shared" si="53"/>
        <v>0.33333333333333315</v>
      </c>
      <c r="R196" s="4">
        <f>4*(('01_WHOQOL_Items'!K196 + '01_WHOQOL_Items'!L196 + '01_WHOQOL_Items'!O196 + '01_WHOQOL_Items'!P196 + '01_WHOQOL_Items'!Q196 + '01_WHOQOL_Items'!Z196 + '01_WHOQOL_Items'!AA196 + '01_WHOQOL_Items'!AB196)/8)</f>
        <v>13</v>
      </c>
      <c r="S196" s="4">
        <f>4*(('01_WHOQOL_Items'!AK196 + '01_WHOQOL_Items'!AL196 + '01_WHOQOL_Items'!AO196 + '01_WHOQOL_Items'!AP196 + '01_WHOQOL_Items'!AQ196 + '01_WHOQOL_Items'!AZ196 + '01_WHOQOL_Items'!BA196 + '01_WHOQOL_Items'!BB196)/8)</f>
        <v>14</v>
      </c>
      <c r="T196" s="4">
        <f t="shared" si="54"/>
        <v>56.25</v>
      </c>
      <c r="U196" s="4">
        <f t="shared" si="55"/>
        <v>62.5</v>
      </c>
      <c r="V196" s="5">
        <f t="shared" si="56"/>
        <v>0.1111111111111111</v>
      </c>
      <c r="W196" s="4">
        <f t="shared" si="57"/>
        <v>53.348214285714285</v>
      </c>
      <c r="X196" s="4">
        <f t="shared" si="58"/>
        <v>61.607142857142861</v>
      </c>
      <c r="Y196" s="5">
        <f t="shared" si="59"/>
        <v>0.15481171548117165</v>
      </c>
      <c r="Z196" s="1">
        <f>'01_WHOQOL_Items'!D196</f>
        <v>3</v>
      </c>
      <c r="AA196" s="1">
        <f>'01_WHOQOL_Items'!AD196</f>
        <v>3</v>
      </c>
      <c r="AB196" s="1">
        <f>'01_WHOQOL_Items'!E196</f>
        <v>3</v>
      </c>
      <c r="AC196" s="1">
        <f>'01_WHOQOL_Items'!AE196</f>
        <v>4</v>
      </c>
    </row>
    <row r="197" spans="1:29">
      <c r="A197" s="1" t="str">
        <f>'01_WHOQOL_Items'!A197</f>
        <v>EXP-196</v>
      </c>
      <c r="B197" s="1" t="str">
        <f>'01_WHOQOL_Items'!B197</f>
        <v>Experimental</v>
      </c>
      <c r="C197" s="4">
        <f>4*(((6-'01_WHOQOL_Items'!F197) + (6-'01_WHOQOL_Items'!G197) + '01_WHOQOL_Items'!M197 + '01_WHOQOL_Items'!R197 + '01_WHOQOL_Items'!S197 + '01_WHOQOL_Items'!T197 + '01_WHOQOL_Items'!U197)/7)</f>
        <v>12</v>
      </c>
      <c r="D197" s="4">
        <f>4*(((6-'01_WHOQOL_Items'!AF197) + (6-'01_WHOQOL_Items'!AG197) + '01_WHOQOL_Items'!AM197 + '01_WHOQOL_Items'!AR197 + '01_WHOQOL_Items'!AS197 + '01_WHOQOL_Items'!AT197 + '01_WHOQOL_Items'!AU197)/7)</f>
        <v>13.714285714285714</v>
      </c>
      <c r="E197" s="4">
        <f t="shared" si="45"/>
        <v>50</v>
      </c>
      <c r="F197" s="4">
        <f t="shared" si="46"/>
        <v>60.714285714285708</v>
      </c>
      <c r="G197" s="5">
        <f t="shared" si="47"/>
        <v>0.21428571428571416</v>
      </c>
      <c r="H197" s="4">
        <f>4*(('01_WHOQOL_Items'!H197 + '01_WHOQOL_Items'!I197 + '01_WHOQOL_Items'!J197 + '01_WHOQOL_Items'!N197 + '01_WHOQOL_Items'!V197 + (6-'01_WHOQOL_Items'!AC197))/6)</f>
        <v>10.666666666666666</v>
      </c>
      <c r="I197" s="4">
        <f>4*(('01_WHOQOL_Items'!AH197 + '01_WHOQOL_Items'!AI197 + '01_WHOQOL_Items'!AJ197 + '01_WHOQOL_Items'!AN197 + '01_WHOQOL_Items'!AV197 + (6-'01_WHOQOL_Items'!BC197))/6)</f>
        <v>13.333333333333334</v>
      </c>
      <c r="J197" s="4">
        <f t="shared" si="48"/>
        <v>41.666666666666664</v>
      </c>
      <c r="K197" s="4">
        <f t="shared" si="49"/>
        <v>58.333333333333336</v>
      </c>
      <c r="L197" s="5">
        <f t="shared" si="50"/>
        <v>0.40000000000000013</v>
      </c>
      <c r="M197" s="4">
        <f>4*(('01_WHOQOL_Items'!W197 + '01_WHOQOL_Items'!X197 + '01_WHOQOL_Items'!Y197)/3)</f>
        <v>14.666666666666666</v>
      </c>
      <c r="N197" s="4">
        <f>4*(('01_WHOQOL_Items'!AW197 + '01_WHOQOL_Items'!AX197 + '01_WHOQOL_Items'!AY197)/3)</f>
        <v>13.333333333333334</v>
      </c>
      <c r="O197" s="4">
        <f t="shared" si="51"/>
        <v>66.666666666666657</v>
      </c>
      <c r="P197" s="4">
        <f t="shared" si="52"/>
        <v>58.333333333333336</v>
      </c>
      <c r="Q197" s="5">
        <f t="shared" si="53"/>
        <v>-0.12499999999999983</v>
      </c>
      <c r="R197" s="4">
        <f>4*(('01_WHOQOL_Items'!K197 + '01_WHOQOL_Items'!L197 + '01_WHOQOL_Items'!O197 + '01_WHOQOL_Items'!P197 + '01_WHOQOL_Items'!Q197 + '01_WHOQOL_Items'!Z197 + '01_WHOQOL_Items'!AA197 + '01_WHOQOL_Items'!AB197)/8)</f>
        <v>7.5</v>
      </c>
      <c r="S197" s="4">
        <f>4*(('01_WHOQOL_Items'!AK197 + '01_WHOQOL_Items'!AL197 + '01_WHOQOL_Items'!AO197 + '01_WHOQOL_Items'!AP197 + '01_WHOQOL_Items'!AQ197 + '01_WHOQOL_Items'!AZ197 + '01_WHOQOL_Items'!BA197 + '01_WHOQOL_Items'!BB197)/8)</f>
        <v>9.5</v>
      </c>
      <c r="T197" s="4">
        <f t="shared" si="54"/>
        <v>21.875</v>
      </c>
      <c r="U197" s="4">
        <f t="shared" si="55"/>
        <v>34.375</v>
      </c>
      <c r="V197" s="5">
        <f t="shared" si="56"/>
        <v>0.5714285714285714</v>
      </c>
      <c r="W197" s="4">
        <f t="shared" si="57"/>
        <v>45.052083333333329</v>
      </c>
      <c r="X197" s="4">
        <f t="shared" si="58"/>
        <v>52.938988095238095</v>
      </c>
      <c r="Y197" s="5">
        <f t="shared" si="59"/>
        <v>0.17506193228736594</v>
      </c>
      <c r="Z197" s="1">
        <f>'01_WHOQOL_Items'!D197</f>
        <v>4</v>
      </c>
      <c r="AA197" s="1">
        <f>'01_WHOQOL_Items'!AD197</f>
        <v>3</v>
      </c>
      <c r="AB197" s="1">
        <f>'01_WHOQOL_Items'!E197</f>
        <v>3</v>
      </c>
      <c r="AC197" s="1">
        <f>'01_WHOQOL_Items'!AE197</f>
        <v>3</v>
      </c>
    </row>
    <row r="198" spans="1:29">
      <c r="A198" s="1" t="str">
        <f>'01_WHOQOL_Items'!A198</f>
        <v>EXP-197</v>
      </c>
      <c r="B198" s="1" t="str">
        <f>'01_WHOQOL_Items'!B198</f>
        <v>Experimental</v>
      </c>
      <c r="C198" s="4">
        <f>4*(((6-'01_WHOQOL_Items'!F198) + (6-'01_WHOQOL_Items'!G198) + '01_WHOQOL_Items'!M198 + '01_WHOQOL_Items'!R198 + '01_WHOQOL_Items'!S198 + '01_WHOQOL_Items'!T198 + '01_WHOQOL_Items'!U198)/7)</f>
        <v>13.714285714285714</v>
      </c>
      <c r="D198" s="4">
        <f>4*(((6-'01_WHOQOL_Items'!AF198) + (6-'01_WHOQOL_Items'!AG198) + '01_WHOQOL_Items'!AM198 + '01_WHOQOL_Items'!AR198 + '01_WHOQOL_Items'!AS198 + '01_WHOQOL_Items'!AT198 + '01_WHOQOL_Items'!AU198)/7)</f>
        <v>14.285714285714286</v>
      </c>
      <c r="E198" s="4">
        <f t="shared" si="45"/>
        <v>60.714285714285708</v>
      </c>
      <c r="F198" s="4">
        <f t="shared" si="46"/>
        <v>64.285714285714292</v>
      </c>
      <c r="G198" s="5">
        <f t="shared" si="47"/>
        <v>5.8823529411764913E-2</v>
      </c>
      <c r="H198" s="4">
        <f>4*(('01_WHOQOL_Items'!H198 + '01_WHOQOL_Items'!I198 + '01_WHOQOL_Items'!J198 + '01_WHOQOL_Items'!N198 + '01_WHOQOL_Items'!V198 + (6-'01_WHOQOL_Items'!AC198))/6)</f>
        <v>10</v>
      </c>
      <c r="I198" s="4">
        <f>4*(('01_WHOQOL_Items'!AH198 + '01_WHOQOL_Items'!AI198 + '01_WHOQOL_Items'!AJ198 + '01_WHOQOL_Items'!AN198 + '01_WHOQOL_Items'!AV198 + (6-'01_WHOQOL_Items'!BC198))/6)</f>
        <v>14</v>
      </c>
      <c r="J198" s="4">
        <f t="shared" si="48"/>
        <v>37.5</v>
      </c>
      <c r="K198" s="4">
        <f t="shared" si="49"/>
        <v>62.5</v>
      </c>
      <c r="L198" s="5">
        <f t="shared" si="50"/>
        <v>0.66666666666666663</v>
      </c>
      <c r="M198" s="4">
        <f>4*(('01_WHOQOL_Items'!W198 + '01_WHOQOL_Items'!X198 + '01_WHOQOL_Items'!Y198)/3)</f>
        <v>12</v>
      </c>
      <c r="N198" s="4">
        <f>4*(('01_WHOQOL_Items'!AW198 + '01_WHOQOL_Items'!AX198 + '01_WHOQOL_Items'!AY198)/3)</f>
        <v>17.333333333333332</v>
      </c>
      <c r="O198" s="4">
        <f t="shared" si="51"/>
        <v>50</v>
      </c>
      <c r="P198" s="4">
        <f t="shared" si="52"/>
        <v>83.333333333333329</v>
      </c>
      <c r="Q198" s="5">
        <f t="shared" si="53"/>
        <v>0.66666666666666652</v>
      </c>
      <c r="R198" s="4">
        <f>4*(('01_WHOQOL_Items'!K198 + '01_WHOQOL_Items'!L198 + '01_WHOQOL_Items'!O198 + '01_WHOQOL_Items'!P198 + '01_WHOQOL_Items'!Q198 + '01_WHOQOL_Items'!Z198 + '01_WHOQOL_Items'!AA198 + '01_WHOQOL_Items'!AB198)/8)</f>
        <v>12.5</v>
      </c>
      <c r="S198" s="4">
        <f>4*(('01_WHOQOL_Items'!AK198 + '01_WHOQOL_Items'!AL198 + '01_WHOQOL_Items'!AO198 + '01_WHOQOL_Items'!AP198 + '01_WHOQOL_Items'!AQ198 + '01_WHOQOL_Items'!AZ198 + '01_WHOQOL_Items'!BA198 + '01_WHOQOL_Items'!BB198)/8)</f>
        <v>13</v>
      </c>
      <c r="T198" s="4">
        <f t="shared" si="54"/>
        <v>53.125</v>
      </c>
      <c r="U198" s="4">
        <f t="shared" si="55"/>
        <v>56.25</v>
      </c>
      <c r="V198" s="5">
        <f t="shared" si="56"/>
        <v>5.8823529411764705E-2</v>
      </c>
      <c r="W198" s="4">
        <f t="shared" si="57"/>
        <v>50.334821428571431</v>
      </c>
      <c r="X198" s="4">
        <f t="shared" si="58"/>
        <v>66.592261904761898</v>
      </c>
      <c r="Y198" s="5">
        <f t="shared" si="59"/>
        <v>0.32298595713229838</v>
      </c>
      <c r="Z198" s="1">
        <f>'01_WHOQOL_Items'!D198</f>
        <v>3</v>
      </c>
      <c r="AA198" s="1">
        <f>'01_WHOQOL_Items'!AD198</f>
        <v>4</v>
      </c>
      <c r="AB198" s="1">
        <f>'01_WHOQOL_Items'!E198</f>
        <v>4</v>
      </c>
      <c r="AC198" s="1">
        <f>'01_WHOQOL_Items'!AE198</f>
        <v>5</v>
      </c>
    </row>
    <row r="199" spans="1:29">
      <c r="A199" s="1" t="str">
        <f>'01_WHOQOL_Items'!A199</f>
        <v>EXP-198</v>
      </c>
      <c r="B199" s="1" t="str">
        <f>'01_WHOQOL_Items'!B199</f>
        <v>Experimental</v>
      </c>
      <c r="C199" s="4">
        <f>4*(((6-'01_WHOQOL_Items'!F199) + (6-'01_WHOQOL_Items'!G199) + '01_WHOQOL_Items'!M199 + '01_WHOQOL_Items'!R199 + '01_WHOQOL_Items'!S199 + '01_WHOQOL_Items'!T199 + '01_WHOQOL_Items'!U199)/7)</f>
        <v>13.714285714285714</v>
      </c>
      <c r="D199" s="4">
        <f>4*(((6-'01_WHOQOL_Items'!AF199) + (6-'01_WHOQOL_Items'!AG199) + '01_WHOQOL_Items'!AM199 + '01_WHOQOL_Items'!AR199 + '01_WHOQOL_Items'!AS199 + '01_WHOQOL_Items'!AT199 + '01_WHOQOL_Items'!AU199)/7)</f>
        <v>12</v>
      </c>
      <c r="E199" s="4">
        <f t="shared" si="45"/>
        <v>60.714285714285708</v>
      </c>
      <c r="F199" s="4">
        <f t="shared" si="46"/>
        <v>50</v>
      </c>
      <c r="G199" s="5">
        <f t="shared" si="47"/>
        <v>-0.17647058823529405</v>
      </c>
      <c r="H199" s="4">
        <f>4*(('01_WHOQOL_Items'!H199 + '01_WHOQOL_Items'!I199 + '01_WHOQOL_Items'!J199 + '01_WHOQOL_Items'!N199 + '01_WHOQOL_Items'!V199 + (6-'01_WHOQOL_Items'!AC199))/6)</f>
        <v>13.333333333333334</v>
      </c>
      <c r="I199" s="4">
        <f>4*(('01_WHOQOL_Items'!AH199 + '01_WHOQOL_Items'!AI199 + '01_WHOQOL_Items'!AJ199 + '01_WHOQOL_Items'!AN199 + '01_WHOQOL_Items'!AV199 + (6-'01_WHOQOL_Items'!BC199))/6)</f>
        <v>12</v>
      </c>
      <c r="J199" s="4">
        <f t="shared" si="48"/>
        <v>58.333333333333336</v>
      </c>
      <c r="K199" s="4">
        <f t="shared" si="49"/>
        <v>50</v>
      </c>
      <c r="L199" s="5">
        <f t="shared" si="50"/>
        <v>-0.1428571428571429</v>
      </c>
      <c r="M199" s="4">
        <f>4*(('01_WHOQOL_Items'!W199 + '01_WHOQOL_Items'!X199 + '01_WHOQOL_Items'!Y199)/3)</f>
        <v>9.3333333333333339</v>
      </c>
      <c r="N199" s="4">
        <f>4*(('01_WHOQOL_Items'!AW199 + '01_WHOQOL_Items'!AX199 + '01_WHOQOL_Items'!AY199)/3)</f>
        <v>10.666666666666666</v>
      </c>
      <c r="O199" s="4">
        <f t="shared" si="51"/>
        <v>33.333333333333336</v>
      </c>
      <c r="P199" s="4">
        <f t="shared" si="52"/>
        <v>41.666666666666664</v>
      </c>
      <c r="Q199" s="5">
        <f t="shared" si="53"/>
        <v>0.24999999999999983</v>
      </c>
      <c r="R199" s="4">
        <f>4*(('01_WHOQOL_Items'!K199 + '01_WHOQOL_Items'!L199 + '01_WHOQOL_Items'!O199 + '01_WHOQOL_Items'!P199 + '01_WHOQOL_Items'!Q199 + '01_WHOQOL_Items'!Z199 + '01_WHOQOL_Items'!AA199 + '01_WHOQOL_Items'!AB199)/8)</f>
        <v>11</v>
      </c>
      <c r="S199" s="4">
        <f>4*(('01_WHOQOL_Items'!AK199 + '01_WHOQOL_Items'!AL199 + '01_WHOQOL_Items'!AO199 + '01_WHOQOL_Items'!AP199 + '01_WHOQOL_Items'!AQ199 + '01_WHOQOL_Items'!AZ199 + '01_WHOQOL_Items'!BA199 + '01_WHOQOL_Items'!BB199)/8)</f>
        <v>12</v>
      </c>
      <c r="T199" s="4">
        <f t="shared" si="54"/>
        <v>43.75</v>
      </c>
      <c r="U199" s="4">
        <f t="shared" si="55"/>
        <v>50</v>
      </c>
      <c r="V199" s="5">
        <f t="shared" si="56"/>
        <v>0.14285714285714285</v>
      </c>
      <c r="W199" s="4">
        <f t="shared" si="57"/>
        <v>49.032738095238095</v>
      </c>
      <c r="X199" s="4">
        <f t="shared" si="58"/>
        <v>47.916666666666664</v>
      </c>
      <c r="Y199" s="5">
        <f t="shared" si="59"/>
        <v>-2.276176024279215E-2</v>
      </c>
      <c r="Z199" s="1">
        <f>'01_WHOQOL_Items'!D199</f>
        <v>3</v>
      </c>
      <c r="AA199" s="1">
        <f>'01_WHOQOL_Items'!AD199</f>
        <v>3</v>
      </c>
      <c r="AB199" s="1">
        <f>'01_WHOQOL_Items'!E199</f>
        <v>3</v>
      </c>
      <c r="AC199" s="1">
        <f>'01_WHOQOL_Items'!AE199</f>
        <v>3</v>
      </c>
    </row>
    <row r="200" spans="1:29">
      <c r="A200" s="1" t="str">
        <f>'01_WHOQOL_Items'!A200</f>
        <v>EXP-199</v>
      </c>
      <c r="B200" s="1" t="str">
        <f>'01_WHOQOL_Items'!B200</f>
        <v>Experimental</v>
      </c>
      <c r="C200" s="4">
        <f>4*(((6-'01_WHOQOL_Items'!F200) + (6-'01_WHOQOL_Items'!G200) + '01_WHOQOL_Items'!M200 + '01_WHOQOL_Items'!R200 + '01_WHOQOL_Items'!S200 + '01_WHOQOL_Items'!T200 + '01_WHOQOL_Items'!U200)/7)</f>
        <v>11.428571428571429</v>
      </c>
      <c r="D200" s="4">
        <f>4*(((6-'01_WHOQOL_Items'!AF200) + (6-'01_WHOQOL_Items'!AG200) + '01_WHOQOL_Items'!AM200 + '01_WHOQOL_Items'!AR200 + '01_WHOQOL_Items'!AS200 + '01_WHOQOL_Items'!AT200 + '01_WHOQOL_Items'!AU200)/7)</f>
        <v>10.857142857142858</v>
      </c>
      <c r="E200" s="4">
        <f t="shared" si="45"/>
        <v>46.428571428571431</v>
      </c>
      <c r="F200" s="4">
        <f t="shared" si="46"/>
        <v>42.857142857142861</v>
      </c>
      <c r="G200" s="5">
        <f t="shared" si="47"/>
        <v>-7.6923076923076872E-2</v>
      </c>
      <c r="H200" s="4">
        <f>4*(('01_WHOQOL_Items'!H200 + '01_WHOQOL_Items'!I200 + '01_WHOQOL_Items'!J200 + '01_WHOQOL_Items'!N200 + '01_WHOQOL_Items'!V200 + (6-'01_WHOQOL_Items'!AC200))/6)</f>
        <v>10.666666666666666</v>
      </c>
      <c r="I200" s="4">
        <f>4*(('01_WHOQOL_Items'!AH200 + '01_WHOQOL_Items'!AI200 + '01_WHOQOL_Items'!AJ200 + '01_WHOQOL_Items'!AN200 + '01_WHOQOL_Items'!AV200 + (6-'01_WHOQOL_Items'!BC200))/6)</f>
        <v>11.333333333333334</v>
      </c>
      <c r="J200" s="4">
        <f t="shared" si="48"/>
        <v>41.666666666666664</v>
      </c>
      <c r="K200" s="4">
        <f t="shared" si="49"/>
        <v>45.833333333333336</v>
      </c>
      <c r="L200" s="5">
        <f t="shared" si="50"/>
        <v>0.10000000000000012</v>
      </c>
      <c r="M200" s="4">
        <f>4*(('01_WHOQOL_Items'!W200 + '01_WHOQOL_Items'!X200 + '01_WHOQOL_Items'!Y200)/3)</f>
        <v>13.333333333333334</v>
      </c>
      <c r="N200" s="4">
        <f>4*(('01_WHOQOL_Items'!AW200 + '01_WHOQOL_Items'!AX200 + '01_WHOQOL_Items'!AY200)/3)</f>
        <v>16</v>
      </c>
      <c r="O200" s="4">
        <f t="shared" si="51"/>
        <v>58.333333333333336</v>
      </c>
      <c r="P200" s="4">
        <f t="shared" si="52"/>
        <v>75</v>
      </c>
      <c r="Q200" s="5">
        <f t="shared" si="53"/>
        <v>0.28571428571428564</v>
      </c>
      <c r="R200" s="4">
        <f>4*(('01_WHOQOL_Items'!K200 + '01_WHOQOL_Items'!L200 + '01_WHOQOL_Items'!O200 + '01_WHOQOL_Items'!P200 + '01_WHOQOL_Items'!Q200 + '01_WHOQOL_Items'!Z200 + '01_WHOQOL_Items'!AA200 + '01_WHOQOL_Items'!AB200)/8)</f>
        <v>13.5</v>
      </c>
      <c r="S200" s="4">
        <f>4*(('01_WHOQOL_Items'!AK200 + '01_WHOQOL_Items'!AL200 + '01_WHOQOL_Items'!AO200 + '01_WHOQOL_Items'!AP200 + '01_WHOQOL_Items'!AQ200 + '01_WHOQOL_Items'!AZ200 + '01_WHOQOL_Items'!BA200 + '01_WHOQOL_Items'!BB200)/8)</f>
        <v>12.5</v>
      </c>
      <c r="T200" s="4">
        <f t="shared" si="54"/>
        <v>59.375</v>
      </c>
      <c r="U200" s="4">
        <f t="shared" si="55"/>
        <v>53.125</v>
      </c>
      <c r="V200" s="5">
        <f t="shared" si="56"/>
        <v>-0.10526315789473684</v>
      </c>
      <c r="W200" s="4">
        <f t="shared" si="57"/>
        <v>51.450892857142861</v>
      </c>
      <c r="X200" s="4">
        <f t="shared" si="58"/>
        <v>54.203869047619051</v>
      </c>
      <c r="Y200" s="5">
        <f t="shared" si="59"/>
        <v>5.3506869125090367E-2</v>
      </c>
      <c r="Z200" s="1">
        <f>'01_WHOQOL_Items'!D200</f>
        <v>3</v>
      </c>
      <c r="AA200" s="1">
        <f>'01_WHOQOL_Items'!AD200</f>
        <v>4</v>
      </c>
      <c r="AB200" s="1">
        <f>'01_WHOQOL_Items'!E200</f>
        <v>3</v>
      </c>
      <c r="AC200" s="1">
        <f>'01_WHOQOL_Items'!AE200</f>
        <v>3</v>
      </c>
    </row>
    <row r="201" spans="1:29">
      <c r="A201" s="1" t="str">
        <f>'01_WHOQOL_Items'!A201</f>
        <v>EXP-200</v>
      </c>
      <c r="B201" s="1" t="str">
        <f>'01_WHOQOL_Items'!B201</f>
        <v>Experimental</v>
      </c>
      <c r="C201" s="4">
        <f>4*(((6-'01_WHOQOL_Items'!F201) + (6-'01_WHOQOL_Items'!G201) + '01_WHOQOL_Items'!M201 + '01_WHOQOL_Items'!R201 + '01_WHOQOL_Items'!S201 + '01_WHOQOL_Items'!T201 + '01_WHOQOL_Items'!U201)/7)</f>
        <v>10.857142857142858</v>
      </c>
      <c r="D201" s="4">
        <f>4*(((6-'01_WHOQOL_Items'!AF201) + (6-'01_WHOQOL_Items'!AG201) + '01_WHOQOL_Items'!AM201 + '01_WHOQOL_Items'!AR201 + '01_WHOQOL_Items'!AS201 + '01_WHOQOL_Items'!AT201 + '01_WHOQOL_Items'!AU201)/7)</f>
        <v>13.142857142857142</v>
      </c>
      <c r="E201" s="4">
        <f t="shared" si="45"/>
        <v>42.857142857142861</v>
      </c>
      <c r="F201" s="4">
        <f t="shared" si="46"/>
        <v>57.142857142857139</v>
      </c>
      <c r="G201" s="5">
        <f t="shared" si="47"/>
        <v>0.33333333333333309</v>
      </c>
      <c r="H201" s="4">
        <f>4*(('01_WHOQOL_Items'!H201 + '01_WHOQOL_Items'!I201 + '01_WHOQOL_Items'!J201 + '01_WHOQOL_Items'!N201 + '01_WHOQOL_Items'!V201 + (6-'01_WHOQOL_Items'!AC201))/6)</f>
        <v>11.333333333333334</v>
      </c>
      <c r="I201" s="4">
        <f>4*(('01_WHOQOL_Items'!AH201 + '01_WHOQOL_Items'!AI201 + '01_WHOQOL_Items'!AJ201 + '01_WHOQOL_Items'!AN201 + '01_WHOQOL_Items'!AV201 + (6-'01_WHOQOL_Items'!BC201))/6)</f>
        <v>14.666666666666666</v>
      </c>
      <c r="J201" s="4">
        <f t="shared" si="48"/>
        <v>45.833333333333336</v>
      </c>
      <c r="K201" s="4">
        <f t="shared" si="49"/>
        <v>66.666666666666657</v>
      </c>
      <c r="L201" s="5">
        <f t="shared" si="50"/>
        <v>0.45454545454545425</v>
      </c>
      <c r="M201" s="4">
        <f>4*(('01_WHOQOL_Items'!W201 + '01_WHOQOL_Items'!X201 + '01_WHOQOL_Items'!Y201)/3)</f>
        <v>14.666666666666666</v>
      </c>
      <c r="N201" s="4">
        <f>4*(('01_WHOQOL_Items'!AW201 + '01_WHOQOL_Items'!AX201 + '01_WHOQOL_Items'!AY201)/3)</f>
        <v>12</v>
      </c>
      <c r="O201" s="4">
        <f t="shared" si="51"/>
        <v>66.666666666666657</v>
      </c>
      <c r="P201" s="4">
        <f t="shared" si="52"/>
        <v>50</v>
      </c>
      <c r="Q201" s="5">
        <f t="shared" si="53"/>
        <v>-0.24999999999999989</v>
      </c>
      <c r="R201" s="4">
        <f>4*(('01_WHOQOL_Items'!K201 + '01_WHOQOL_Items'!L201 + '01_WHOQOL_Items'!O201 + '01_WHOQOL_Items'!P201 + '01_WHOQOL_Items'!Q201 + '01_WHOQOL_Items'!Z201 + '01_WHOQOL_Items'!AA201 + '01_WHOQOL_Items'!AB201)/8)</f>
        <v>10.5</v>
      </c>
      <c r="S201" s="4">
        <f>4*(('01_WHOQOL_Items'!AK201 + '01_WHOQOL_Items'!AL201 + '01_WHOQOL_Items'!AO201 + '01_WHOQOL_Items'!AP201 + '01_WHOQOL_Items'!AQ201 + '01_WHOQOL_Items'!AZ201 + '01_WHOQOL_Items'!BA201 + '01_WHOQOL_Items'!BB201)/8)</f>
        <v>13.5</v>
      </c>
      <c r="T201" s="4">
        <f t="shared" si="54"/>
        <v>40.625</v>
      </c>
      <c r="U201" s="4">
        <f t="shared" si="55"/>
        <v>59.375</v>
      </c>
      <c r="V201" s="5">
        <f t="shared" si="56"/>
        <v>0.46153846153846156</v>
      </c>
      <c r="W201" s="4">
        <f t="shared" si="57"/>
        <v>48.995535714285715</v>
      </c>
      <c r="X201" s="4">
        <f t="shared" si="58"/>
        <v>58.296130952380949</v>
      </c>
      <c r="Y201" s="5">
        <f t="shared" si="59"/>
        <v>0.18982536066818517</v>
      </c>
      <c r="Z201" s="1">
        <f>'01_WHOQOL_Items'!D201</f>
        <v>3</v>
      </c>
      <c r="AA201" s="1">
        <f>'01_WHOQOL_Items'!AD201</f>
        <v>3</v>
      </c>
      <c r="AB201" s="1">
        <f>'01_WHOQOL_Items'!E201</f>
        <v>3</v>
      </c>
      <c r="AC201" s="1">
        <f>'01_WHOQOL_Items'!AE201</f>
        <v>3</v>
      </c>
    </row>
    <row r="202" spans="1:29">
      <c r="A202" s="1" t="str">
        <f>'01_WHOQOL_Items'!A202</f>
        <v>EXP-201</v>
      </c>
      <c r="B202" s="1" t="str">
        <f>'01_WHOQOL_Items'!B202</f>
        <v>Experimental</v>
      </c>
      <c r="C202" s="4">
        <f>4*(((6-'01_WHOQOL_Items'!F202) + (6-'01_WHOQOL_Items'!G202) + '01_WHOQOL_Items'!M202 + '01_WHOQOL_Items'!R202 + '01_WHOQOL_Items'!S202 + '01_WHOQOL_Items'!T202 + '01_WHOQOL_Items'!U202)/7)</f>
        <v>10.857142857142858</v>
      </c>
      <c r="D202" s="4">
        <f>4*(((6-'01_WHOQOL_Items'!AF202) + (6-'01_WHOQOL_Items'!AG202) + '01_WHOQOL_Items'!AM202 + '01_WHOQOL_Items'!AR202 + '01_WHOQOL_Items'!AS202 + '01_WHOQOL_Items'!AT202 + '01_WHOQOL_Items'!AU202)/7)</f>
        <v>11.428571428571429</v>
      </c>
      <c r="E202" s="4">
        <f t="shared" si="45"/>
        <v>42.857142857142861</v>
      </c>
      <c r="F202" s="4">
        <f t="shared" si="46"/>
        <v>46.428571428571431</v>
      </c>
      <c r="G202" s="5">
        <f t="shared" si="47"/>
        <v>8.3333333333333273E-2</v>
      </c>
      <c r="H202" s="4">
        <f>4*(('01_WHOQOL_Items'!H202 + '01_WHOQOL_Items'!I202 + '01_WHOQOL_Items'!J202 + '01_WHOQOL_Items'!N202 + '01_WHOQOL_Items'!V202 + (6-'01_WHOQOL_Items'!AC202))/6)</f>
        <v>12.666666666666666</v>
      </c>
      <c r="I202" s="4">
        <f>4*(('01_WHOQOL_Items'!AH202 + '01_WHOQOL_Items'!AI202 + '01_WHOQOL_Items'!AJ202 + '01_WHOQOL_Items'!AN202 + '01_WHOQOL_Items'!AV202 + (6-'01_WHOQOL_Items'!BC202))/6)</f>
        <v>15.333333333333334</v>
      </c>
      <c r="J202" s="4">
        <f t="shared" si="48"/>
        <v>54.166666666666664</v>
      </c>
      <c r="K202" s="4">
        <f t="shared" si="49"/>
        <v>70.833333333333343</v>
      </c>
      <c r="L202" s="5">
        <f t="shared" si="50"/>
        <v>0.30769230769230793</v>
      </c>
      <c r="M202" s="4">
        <f>4*(('01_WHOQOL_Items'!W202 + '01_WHOQOL_Items'!X202 + '01_WHOQOL_Items'!Y202)/3)</f>
        <v>9.3333333333333339</v>
      </c>
      <c r="N202" s="4">
        <f>4*(('01_WHOQOL_Items'!AW202 + '01_WHOQOL_Items'!AX202 + '01_WHOQOL_Items'!AY202)/3)</f>
        <v>14.666666666666666</v>
      </c>
      <c r="O202" s="4">
        <f t="shared" si="51"/>
        <v>33.333333333333336</v>
      </c>
      <c r="P202" s="4">
        <f t="shared" si="52"/>
        <v>66.666666666666657</v>
      </c>
      <c r="Q202" s="5">
        <f t="shared" si="53"/>
        <v>0.99999999999999956</v>
      </c>
      <c r="R202" s="4">
        <f>4*(('01_WHOQOL_Items'!K202 + '01_WHOQOL_Items'!L202 + '01_WHOQOL_Items'!O202 + '01_WHOQOL_Items'!P202 + '01_WHOQOL_Items'!Q202 + '01_WHOQOL_Items'!Z202 + '01_WHOQOL_Items'!AA202 + '01_WHOQOL_Items'!AB202)/8)</f>
        <v>13.5</v>
      </c>
      <c r="S202" s="4">
        <f>4*(('01_WHOQOL_Items'!AK202 + '01_WHOQOL_Items'!AL202 + '01_WHOQOL_Items'!AO202 + '01_WHOQOL_Items'!AP202 + '01_WHOQOL_Items'!AQ202 + '01_WHOQOL_Items'!AZ202 + '01_WHOQOL_Items'!BA202 + '01_WHOQOL_Items'!BB202)/8)</f>
        <v>14</v>
      </c>
      <c r="T202" s="4">
        <f t="shared" si="54"/>
        <v>59.375</v>
      </c>
      <c r="U202" s="4">
        <f t="shared" si="55"/>
        <v>62.5</v>
      </c>
      <c r="V202" s="5">
        <f t="shared" si="56"/>
        <v>5.2631578947368418E-2</v>
      </c>
      <c r="W202" s="4">
        <f t="shared" si="57"/>
        <v>47.433035714285715</v>
      </c>
      <c r="X202" s="4">
        <f t="shared" si="58"/>
        <v>61.607142857142861</v>
      </c>
      <c r="Y202" s="5">
        <f t="shared" si="59"/>
        <v>0.29882352941176477</v>
      </c>
      <c r="Z202" s="1">
        <f>'01_WHOQOL_Items'!D202</f>
        <v>4</v>
      </c>
      <c r="AA202" s="1">
        <f>'01_WHOQOL_Items'!AD202</f>
        <v>4</v>
      </c>
      <c r="AB202" s="1">
        <f>'01_WHOQOL_Items'!E202</f>
        <v>3</v>
      </c>
      <c r="AC202" s="1">
        <f>'01_WHOQOL_Items'!AE202</f>
        <v>3</v>
      </c>
    </row>
    <row r="203" spans="1:29">
      <c r="A203" s="1" t="str">
        <f>'01_WHOQOL_Items'!A203</f>
        <v>EXP-202</v>
      </c>
      <c r="B203" s="1" t="str">
        <f>'01_WHOQOL_Items'!B203</f>
        <v>Experimental</v>
      </c>
      <c r="C203" s="4">
        <f>4*(((6-'01_WHOQOL_Items'!F203) + (6-'01_WHOQOL_Items'!G203) + '01_WHOQOL_Items'!M203 + '01_WHOQOL_Items'!R203 + '01_WHOQOL_Items'!S203 + '01_WHOQOL_Items'!T203 + '01_WHOQOL_Items'!U203)/7)</f>
        <v>16</v>
      </c>
      <c r="D203" s="4">
        <f>4*(((6-'01_WHOQOL_Items'!AF203) + (6-'01_WHOQOL_Items'!AG203) + '01_WHOQOL_Items'!AM203 + '01_WHOQOL_Items'!AR203 + '01_WHOQOL_Items'!AS203 + '01_WHOQOL_Items'!AT203 + '01_WHOQOL_Items'!AU203)/7)</f>
        <v>14.857142857142858</v>
      </c>
      <c r="E203" s="4">
        <f t="shared" si="45"/>
        <v>75</v>
      </c>
      <c r="F203" s="4">
        <f t="shared" si="46"/>
        <v>67.857142857142861</v>
      </c>
      <c r="G203" s="5">
        <f t="shared" si="47"/>
        <v>-9.5238095238095177E-2</v>
      </c>
      <c r="H203" s="4">
        <f>4*(('01_WHOQOL_Items'!H203 + '01_WHOQOL_Items'!I203 + '01_WHOQOL_Items'!J203 + '01_WHOQOL_Items'!N203 + '01_WHOQOL_Items'!V203 + (6-'01_WHOQOL_Items'!AC203))/6)</f>
        <v>12</v>
      </c>
      <c r="I203" s="4">
        <f>4*(('01_WHOQOL_Items'!AH203 + '01_WHOQOL_Items'!AI203 + '01_WHOQOL_Items'!AJ203 + '01_WHOQOL_Items'!AN203 + '01_WHOQOL_Items'!AV203 + (6-'01_WHOQOL_Items'!BC203))/6)</f>
        <v>13.333333333333334</v>
      </c>
      <c r="J203" s="4">
        <f t="shared" si="48"/>
        <v>50</v>
      </c>
      <c r="K203" s="4">
        <f t="shared" si="49"/>
        <v>58.333333333333336</v>
      </c>
      <c r="L203" s="5">
        <f t="shared" si="50"/>
        <v>0.16666666666666671</v>
      </c>
      <c r="M203" s="4">
        <f>4*(('01_WHOQOL_Items'!W203 + '01_WHOQOL_Items'!X203 + '01_WHOQOL_Items'!Y203)/3)</f>
        <v>13.333333333333334</v>
      </c>
      <c r="N203" s="4">
        <f>4*(('01_WHOQOL_Items'!AW203 + '01_WHOQOL_Items'!AX203 + '01_WHOQOL_Items'!AY203)/3)</f>
        <v>16</v>
      </c>
      <c r="O203" s="4">
        <f t="shared" si="51"/>
        <v>58.333333333333336</v>
      </c>
      <c r="P203" s="4">
        <f t="shared" si="52"/>
        <v>75</v>
      </c>
      <c r="Q203" s="5">
        <f t="shared" si="53"/>
        <v>0.28571428571428564</v>
      </c>
      <c r="R203" s="4">
        <f>4*(('01_WHOQOL_Items'!K203 + '01_WHOQOL_Items'!L203 + '01_WHOQOL_Items'!O203 + '01_WHOQOL_Items'!P203 + '01_WHOQOL_Items'!Q203 + '01_WHOQOL_Items'!Z203 + '01_WHOQOL_Items'!AA203 + '01_WHOQOL_Items'!AB203)/8)</f>
        <v>11.5</v>
      </c>
      <c r="S203" s="4">
        <f>4*(('01_WHOQOL_Items'!AK203 + '01_WHOQOL_Items'!AL203 + '01_WHOQOL_Items'!AO203 + '01_WHOQOL_Items'!AP203 + '01_WHOQOL_Items'!AQ203 + '01_WHOQOL_Items'!AZ203 + '01_WHOQOL_Items'!BA203 + '01_WHOQOL_Items'!BB203)/8)</f>
        <v>12</v>
      </c>
      <c r="T203" s="4">
        <f t="shared" si="54"/>
        <v>46.875</v>
      </c>
      <c r="U203" s="4">
        <f t="shared" si="55"/>
        <v>50</v>
      </c>
      <c r="V203" s="5">
        <f t="shared" si="56"/>
        <v>6.6666666666666666E-2</v>
      </c>
      <c r="W203" s="4">
        <f t="shared" si="57"/>
        <v>57.552083333333336</v>
      </c>
      <c r="X203" s="4">
        <f t="shared" si="58"/>
        <v>62.797619047619051</v>
      </c>
      <c r="Y203" s="5">
        <f t="shared" si="59"/>
        <v>9.1144149967679389E-2</v>
      </c>
      <c r="Z203" s="1">
        <f>'01_WHOQOL_Items'!D203</f>
        <v>3</v>
      </c>
      <c r="AA203" s="1">
        <f>'01_WHOQOL_Items'!AD203</f>
        <v>4</v>
      </c>
      <c r="AB203" s="1">
        <f>'01_WHOQOL_Items'!E203</f>
        <v>4</v>
      </c>
      <c r="AC203" s="1">
        <f>'01_WHOQOL_Items'!AE203</f>
        <v>4</v>
      </c>
    </row>
    <row r="204" spans="1:29">
      <c r="A204" s="1" t="str">
        <f>'01_WHOQOL_Items'!A204</f>
        <v>EXP-203</v>
      </c>
      <c r="B204" s="1" t="str">
        <f>'01_WHOQOL_Items'!B204</f>
        <v>Experimental</v>
      </c>
      <c r="C204" s="4">
        <f>4*(((6-'01_WHOQOL_Items'!F204) + (6-'01_WHOQOL_Items'!G204) + '01_WHOQOL_Items'!M204 + '01_WHOQOL_Items'!R204 + '01_WHOQOL_Items'!S204 + '01_WHOQOL_Items'!T204 + '01_WHOQOL_Items'!U204)/7)</f>
        <v>9.1428571428571423</v>
      </c>
      <c r="D204" s="4">
        <f>4*(((6-'01_WHOQOL_Items'!AF204) + (6-'01_WHOQOL_Items'!AG204) + '01_WHOQOL_Items'!AM204 + '01_WHOQOL_Items'!AR204 + '01_WHOQOL_Items'!AS204 + '01_WHOQOL_Items'!AT204 + '01_WHOQOL_Items'!AU204)/7)</f>
        <v>9.7142857142857135</v>
      </c>
      <c r="E204" s="4">
        <f t="shared" si="45"/>
        <v>32.142857142857139</v>
      </c>
      <c r="F204" s="4">
        <f t="shared" si="46"/>
        <v>35.714285714285708</v>
      </c>
      <c r="G204" s="5">
        <f t="shared" si="47"/>
        <v>0.11111111111111106</v>
      </c>
      <c r="H204" s="4">
        <f>4*(('01_WHOQOL_Items'!H204 + '01_WHOQOL_Items'!I204 + '01_WHOQOL_Items'!J204 + '01_WHOQOL_Items'!N204 + '01_WHOQOL_Items'!V204 + (6-'01_WHOQOL_Items'!AC204))/6)</f>
        <v>8.6666666666666661</v>
      </c>
      <c r="I204" s="4">
        <f>4*(('01_WHOQOL_Items'!AH204 + '01_WHOQOL_Items'!AI204 + '01_WHOQOL_Items'!AJ204 + '01_WHOQOL_Items'!AN204 + '01_WHOQOL_Items'!AV204 + (6-'01_WHOQOL_Items'!BC204))/6)</f>
        <v>10.666666666666666</v>
      </c>
      <c r="J204" s="4">
        <f t="shared" si="48"/>
        <v>29.166666666666664</v>
      </c>
      <c r="K204" s="4">
        <f t="shared" si="49"/>
        <v>41.666666666666664</v>
      </c>
      <c r="L204" s="5">
        <f t="shared" si="50"/>
        <v>0.4285714285714286</v>
      </c>
      <c r="M204" s="4">
        <f>4*(('01_WHOQOL_Items'!W204 + '01_WHOQOL_Items'!X204 + '01_WHOQOL_Items'!Y204)/3)</f>
        <v>12</v>
      </c>
      <c r="N204" s="4">
        <f>4*(('01_WHOQOL_Items'!AW204 + '01_WHOQOL_Items'!AX204 + '01_WHOQOL_Items'!AY204)/3)</f>
        <v>14.666666666666666</v>
      </c>
      <c r="O204" s="4">
        <f t="shared" si="51"/>
        <v>50</v>
      </c>
      <c r="P204" s="4">
        <f t="shared" si="52"/>
        <v>66.666666666666657</v>
      </c>
      <c r="Q204" s="5">
        <f t="shared" si="53"/>
        <v>0.33333333333333315</v>
      </c>
      <c r="R204" s="4">
        <f>4*(('01_WHOQOL_Items'!K204 + '01_WHOQOL_Items'!L204 + '01_WHOQOL_Items'!O204 + '01_WHOQOL_Items'!P204 + '01_WHOQOL_Items'!Q204 + '01_WHOQOL_Items'!Z204 + '01_WHOQOL_Items'!AA204 + '01_WHOQOL_Items'!AB204)/8)</f>
        <v>12</v>
      </c>
      <c r="S204" s="4">
        <f>4*(('01_WHOQOL_Items'!AK204 + '01_WHOQOL_Items'!AL204 + '01_WHOQOL_Items'!AO204 + '01_WHOQOL_Items'!AP204 + '01_WHOQOL_Items'!AQ204 + '01_WHOQOL_Items'!AZ204 + '01_WHOQOL_Items'!BA204 + '01_WHOQOL_Items'!BB204)/8)</f>
        <v>14</v>
      </c>
      <c r="T204" s="4">
        <f t="shared" si="54"/>
        <v>50</v>
      </c>
      <c r="U204" s="4">
        <f t="shared" si="55"/>
        <v>62.5</v>
      </c>
      <c r="V204" s="5">
        <f t="shared" si="56"/>
        <v>0.25</v>
      </c>
      <c r="W204" s="4">
        <f t="shared" si="57"/>
        <v>40.327380952380949</v>
      </c>
      <c r="X204" s="4">
        <f t="shared" si="58"/>
        <v>51.636904761904759</v>
      </c>
      <c r="Y204" s="5">
        <f t="shared" si="59"/>
        <v>0.28044280442804431</v>
      </c>
      <c r="Z204" s="1">
        <f>'01_WHOQOL_Items'!D204</f>
        <v>2</v>
      </c>
      <c r="AA204" s="1">
        <f>'01_WHOQOL_Items'!AD204</f>
        <v>3</v>
      </c>
      <c r="AB204" s="1">
        <f>'01_WHOQOL_Items'!E204</f>
        <v>2</v>
      </c>
      <c r="AC204" s="1">
        <f>'01_WHOQOL_Items'!AE204</f>
        <v>3</v>
      </c>
    </row>
    <row r="205" spans="1:29">
      <c r="A205" s="1" t="str">
        <f>'01_WHOQOL_Items'!A205</f>
        <v>EXP-204</v>
      </c>
      <c r="B205" s="1" t="str">
        <f>'01_WHOQOL_Items'!B205</f>
        <v>Experimental</v>
      </c>
      <c r="C205" s="4">
        <f>4*(((6-'01_WHOQOL_Items'!F205) + (6-'01_WHOQOL_Items'!G205) + '01_WHOQOL_Items'!M205 + '01_WHOQOL_Items'!R205 + '01_WHOQOL_Items'!S205 + '01_WHOQOL_Items'!T205 + '01_WHOQOL_Items'!U205)/7)</f>
        <v>10.285714285714286</v>
      </c>
      <c r="D205" s="4">
        <f>4*(((6-'01_WHOQOL_Items'!AF205) + (6-'01_WHOQOL_Items'!AG205) + '01_WHOQOL_Items'!AM205 + '01_WHOQOL_Items'!AR205 + '01_WHOQOL_Items'!AS205 + '01_WHOQOL_Items'!AT205 + '01_WHOQOL_Items'!AU205)/7)</f>
        <v>13.142857142857142</v>
      </c>
      <c r="E205" s="4">
        <f t="shared" si="45"/>
        <v>39.285714285714292</v>
      </c>
      <c r="F205" s="4">
        <f t="shared" si="46"/>
        <v>57.142857142857139</v>
      </c>
      <c r="G205" s="5">
        <f t="shared" si="47"/>
        <v>0.4545454545454542</v>
      </c>
      <c r="H205" s="4">
        <f>4*(('01_WHOQOL_Items'!H205 + '01_WHOQOL_Items'!I205 + '01_WHOQOL_Items'!J205 + '01_WHOQOL_Items'!N205 + '01_WHOQOL_Items'!V205 + (6-'01_WHOQOL_Items'!AC205))/6)</f>
        <v>12.666666666666666</v>
      </c>
      <c r="I205" s="4">
        <f>4*(('01_WHOQOL_Items'!AH205 + '01_WHOQOL_Items'!AI205 + '01_WHOQOL_Items'!AJ205 + '01_WHOQOL_Items'!AN205 + '01_WHOQOL_Items'!AV205 + (6-'01_WHOQOL_Items'!BC205))/6)</f>
        <v>18</v>
      </c>
      <c r="J205" s="4">
        <f t="shared" si="48"/>
        <v>54.166666666666664</v>
      </c>
      <c r="K205" s="4">
        <f t="shared" si="49"/>
        <v>87.5</v>
      </c>
      <c r="L205" s="5">
        <f t="shared" si="50"/>
        <v>0.61538461538461542</v>
      </c>
      <c r="M205" s="4">
        <f>4*(('01_WHOQOL_Items'!W205 + '01_WHOQOL_Items'!X205 + '01_WHOQOL_Items'!Y205)/3)</f>
        <v>10.666666666666666</v>
      </c>
      <c r="N205" s="4">
        <f>4*(('01_WHOQOL_Items'!AW205 + '01_WHOQOL_Items'!AX205 + '01_WHOQOL_Items'!AY205)/3)</f>
        <v>14.666666666666666</v>
      </c>
      <c r="O205" s="4">
        <f t="shared" si="51"/>
        <v>41.666666666666664</v>
      </c>
      <c r="P205" s="4">
        <f t="shared" si="52"/>
        <v>66.666666666666657</v>
      </c>
      <c r="Q205" s="5">
        <f t="shared" si="53"/>
        <v>0.59999999999999987</v>
      </c>
      <c r="R205" s="4">
        <f>4*(('01_WHOQOL_Items'!K205 + '01_WHOQOL_Items'!L205 + '01_WHOQOL_Items'!O205 + '01_WHOQOL_Items'!P205 + '01_WHOQOL_Items'!Q205 + '01_WHOQOL_Items'!Z205 + '01_WHOQOL_Items'!AA205 + '01_WHOQOL_Items'!AB205)/8)</f>
        <v>9.5</v>
      </c>
      <c r="S205" s="4">
        <f>4*(('01_WHOQOL_Items'!AK205 + '01_WHOQOL_Items'!AL205 + '01_WHOQOL_Items'!AO205 + '01_WHOQOL_Items'!AP205 + '01_WHOQOL_Items'!AQ205 + '01_WHOQOL_Items'!AZ205 + '01_WHOQOL_Items'!BA205 + '01_WHOQOL_Items'!BB205)/8)</f>
        <v>12</v>
      </c>
      <c r="T205" s="4">
        <f t="shared" si="54"/>
        <v>34.375</v>
      </c>
      <c r="U205" s="4">
        <f t="shared" si="55"/>
        <v>50</v>
      </c>
      <c r="V205" s="5">
        <f t="shared" si="56"/>
        <v>0.45454545454545453</v>
      </c>
      <c r="W205" s="4">
        <f t="shared" si="57"/>
        <v>42.373511904761905</v>
      </c>
      <c r="X205" s="4">
        <f t="shared" si="58"/>
        <v>65.327380952380949</v>
      </c>
      <c r="Y205" s="5">
        <f t="shared" si="59"/>
        <v>0.54170324846356444</v>
      </c>
      <c r="Z205" s="1">
        <f>'01_WHOQOL_Items'!D205</f>
        <v>3</v>
      </c>
      <c r="AA205" s="1">
        <f>'01_WHOQOL_Items'!AD205</f>
        <v>3</v>
      </c>
      <c r="AB205" s="1">
        <f>'01_WHOQOL_Items'!E205</f>
        <v>2</v>
      </c>
      <c r="AC205" s="1">
        <f>'01_WHOQOL_Items'!AE205</f>
        <v>3</v>
      </c>
    </row>
    <row r="206" spans="1:29">
      <c r="A206" s="1" t="str">
        <f>'01_WHOQOL_Items'!A206</f>
        <v>EXP-205</v>
      </c>
      <c r="B206" s="1" t="str">
        <f>'01_WHOQOL_Items'!B206</f>
        <v>Experimental</v>
      </c>
      <c r="C206" s="4">
        <f>4*(((6-'01_WHOQOL_Items'!F206) + (6-'01_WHOQOL_Items'!G206) + '01_WHOQOL_Items'!M206 + '01_WHOQOL_Items'!R206 + '01_WHOQOL_Items'!S206 + '01_WHOQOL_Items'!T206 + '01_WHOQOL_Items'!U206)/7)</f>
        <v>16</v>
      </c>
      <c r="D206" s="4">
        <f>4*(((6-'01_WHOQOL_Items'!AF206) + (6-'01_WHOQOL_Items'!AG206) + '01_WHOQOL_Items'!AM206 + '01_WHOQOL_Items'!AR206 + '01_WHOQOL_Items'!AS206 + '01_WHOQOL_Items'!AT206 + '01_WHOQOL_Items'!AU206)/7)</f>
        <v>18.285714285714285</v>
      </c>
      <c r="E206" s="4">
        <f t="shared" si="45"/>
        <v>75</v>
      </c>
      <c r="F206" s="4">
        <f t="shared" si="46"/>
        <v>89.285714285714278</v>
      </c>
      <c r="G206" s="5">
        <f t="shared" si="47"/>
        <v>0.19047619047619035</v>
      </c>
      <c r="H206" s="4">
        <f>4*(('01_WHOQOL_Items'!H206 + '01_WHOQOL_Items'!I206 + '01_WHOQOL_Items'!J206 + '01_WHOQOL_Items'!N206 + '01_WHOQOL_Items'!V206 + (6-'01_WHOQOL_Items'!AC206))/6)</f>
        <v>12</v>
      </c>
      <c r="I206" s="4">
        <f>4*(('01_WHOQOL_Items'!AH206 + '01_WHOQOL_Items'!AI206 + '01_WHOQOL_Items'!AJ206 + '01_WHOQOL_Items'!AN206 + '01_WHOQOL_Items'!AV206 + (6-'01_WHOQOL_Items'!BC206))/6)</f>
        <v>12.666666666666666</v>
      </c>
      <c r="J206" s="4">
        <f t="shared" si="48"/>
        <v>50</v>
      </c>
      <c r="K206" s="4">
        <f t="shared" si="49"/>
        <v>54.166666666666664</v>
      </c>
      <c r="L206" s="5">
        <f t="shared" si="50"/>
        <v>8.3333333333333287E-2</v>
      </c>
      <c r="M206" s="4">
        <f>4*(('01_WHOQOL_Items'!W206 + '01_WHOQOL_Items'!X206 + '01_WHOQOL_Items'!Y206)/3)</f>
        <v>10.666666666666666</v>
      </c>
      <c r="N206" s="4">
        <f>4*(('01_WHOQOL_Items'!AW206 + '01_WHOQOL_Items'!AX206 + '01_WHOQOL_Items'!AY206)/3)</f>
        <v>13.333333333333334</v>
      </c>
      <c r="O206" s="4">
        <f t="shared" si="51"/>
        <v>41.666666666666664</v>
      </c>
      <c r="P206" s="4">
        <f t="shared" si="52"/>
        <v>58.333333333333336</v>
      </c>
      <c r="Q206" s="5">
        <f t="shared" si="53"/>
        <v>0.40000000000000013</v>
      </c>
      <c r="R206" s="4">
        <f>4*(('01_WHOQOL_Items'!K206 + '01_WHOQOL_Items'!L206 + '01_WHOQOL_Items'!O206 + '01_WHOQOL_Items'!P206 + '01_WHOQOL_Items'!Q206 + '01_WHOQOL_Items'!Z206 + '01_WHOQOL_Items'!AA206 + '01_WHOQOL_Items'!AB206)/8)</f>
        <v>11.5</v>
      </c>
      <c r="S206" s="4">
        <f>4*(('01_WHOQOL_Items'!AK206 + '01_WHOQOL_Items'!AL206 + '01_WHOQOL_Items'!AO206 + '01_WHOQOL_Items'!AP206 + '01_WHOQOL_Items'!AQ206 + '01_WHOQOL_Items'!AZ206 + '01_WHOQOL_Items'!BA206 + '01_WHOQOL_Items'!BB206)/8)</f>
        <v>9.5</v>
      </c>
      <c r="T206" s="4">
        <f t="shared" si="54"/>
        <v>46.875</v>
      </c>
      <c r="U206" s="4">
        <f t="shared" si="55"/>
        <v>34.375</v>
      </c>
      <c r="V206" s="5">
        <f t="shared" si="56"/>
        <v>-0.26666666666666666</v>
      </c>
      <c r="W206" s="4">
        <f t="shared" si="57"/>
        <v>53.385416666666664</v>
      </c>
      <c r="X206" s="4">
        <f t="shared" si="58"/>
        <v>59.040178571428569</v>
      </c>
      <c r="Y206" s="5">
        <f t="shared" si="59"/>
        <v>0.1059233449477352</v>
      </c>
      <c r="Z206" s="1">
        <f>'01_WHOQOL_Items'!D206</f>
        <v>3</v>
      </c>
      <c r="AA206" s="1">
        <f>'01_WHOQOL_Items'!AD206</f>
        <v>4</v>
      </c>
      <c r="AB206" s="1">
        <f>'01_WHOQOL_Items'!E206</f>
        <v>4</v>
      </c>
      <c r="AC206" s="1">
        <f>'01_WHOQOL_Items'!AE206</f>
        <v>5</v>
      </c>
    </row>
    <row r="207" spans="1:29">
      <c r="A207" s="1" t="str">
        <f>'01_WHOQOL_Items'!A207</f>
        <v>EXP-206</v>
      </c>
      <c r="B207" s="1" t="str">
        <f>'01_WHOQOL_Items'!B207</f>
        <v>Experimental</v>
      </c>
      <c r="C207" s="4">
        <f>4*(((6-'01_WHOQOL_Items'!F207) + (6-'01_WHOQOL_Items'!G207) + '01_WHOQOL_Items'!M207 + '01_WHOQOL_Items'!R207 + '01_WHOQOL_Items'!S207 + '01_WHOQOL_Items'!T207 + '01_WHOQOL_Items'!U207)/7)</f>
        <v>12</v>
      </c>
      <c r="D207" s="4">
        <f>4*(((6-'01_WHOQOL_Items'!AF207) + (6-'01_WHOQOL_Items'!AG207) + '01_WHOQOL_Items'!AM207 + '01_WHOQOL_Items'!AR207 + '01_WHOQOL_Items'!AS207 + '01_WHOQOL_Items'!AT207 + '01_WHOQOL_Items'!AU207)/7)</f>
        <v>14.285714285714286</v>
      </c>
      <c r="E207" s="4">
        <f t="shared" si="45"/>
        <v>50</v>
      </c>
      <c r="F207" s="4">
        <f t="shared" si="46"/>
        <v>64.285714285714292</v>
      </c>
      <c r="G207" s="5">
        <f t="shared" si="47"/>
        <v>0.28571428571428581</v>
      </c>
      <c r="H207" s="4">
        <f>4*(('01_WHOQOL_Items'!H207 + '01_WHOQOL_Items'!I207 + '01_WHOQOL_Items'!J207 + '01_WHOQOL_Items'!N207 + '01_WHOQOL_Items'!V207 + (6-'01_WHOQOL_Items'!AC207))/6)</f>
        <v>12</v>
      </c>
      <c r="I207" s="4">
        <f>4*(('01_WHOQOL_Items'!AH207 + '01_WHOQOL_Items'!AI207 + '01_WHOQOL_Items'!AJ207 + '01_WHOQOL_Items'!AN207 + '01_WHOQOL_Items'!AV207 + (6-'01_WHOQOL_Items'!BC207))/6)</f>
        <v>16</v>
      </c>
      <c r="J207" s="4">
        <f t="shared" si="48"/>
        <v>50</v>
      </c>
      <c r="K207" s="4">
        <f t="shared" si="49"/>
        <v>75</v>
      </c>
      <c r="L207" s="5">
        <f t="shared" si="50"/>
        <v>0.5</v>
      </c>
      <c r="M207" s="4">
        <f>4*(('01_WHOQOL_Items'!W207 + '01_WHOQOL_Items'!X207 + '01_WHOQOL_Items'!Y207)/3)</f>
        <v>12</v>
      </c>
      <c r="N207" s="4">
        <f>4*(('01_WHOQOL_Items'!AW207 + '01_WHOQOL_Items'!AX207 + '01_WHOQOL_Items'!AY207)/3)</f>
        <v>12</v>
      </c>
      <c r="O207" s="4">
        <f t="shared" si="51"/>
        <v>50</v>
      </c>
      <c r="P207" s="4">
        <f t="shared" si="52"/>
        <v>50</v>
      </c>
      <c r="Q207" s="5">
        <f t="shared" si="53"/>
        <v>0</v>
      </c>
      <c r="R207" s="4">
        <f>4*(('01_WHOQOL_Items'!K207 + '01_WHOQOL_Items'!L207 + '01_WHOQOL_Items'!O207 + '01_WHOQOL_Items'!P207 + '01_WHOQOL_Items'!Q207 + '01_WHOQOL_Items'!Z207 + '01_WHOQOL_Items'!AA207 + '01_WHOQOL_Items'!AB207)/8)</f>
        <v>16</v>
      </c>
      <c r="S207" s="4">
        <f>4*(('01_WHOQOL_Items'!AK207 + '01_WHOQOL_Items'!AL207 + '01_WHOQOL_Items'!AO207 + '01_WHOQOL_Items'!AP207 + '01_WHOQOL_Items'!AQ207 + '01_WHOQOL_Items'!AZ207 + '01_WHOQOL_Items'!BA207 + '01_WHOQOL_Items'!BB207)/8)</f>
        <v>18</v>
      </c>
      <c r="T207" s="4">
        <f t="shared" si="54"/>
        <v>75</v>
      </c>
      <c r="U207" s="4">
        <f t="shared" si="55"/>
        <v>87.5</v>
      </c>
      <c r="V207" s="5">
        <f t="shared" si="56"/>
        <v>0.16666666666666666</v>
      </c>
      <c r="W207" s="4">
        <f t="shared" si="57"/>
        <v>56.25</v>
      </c>
      <c r="X207" s="4">
        <f t="shared" si="58"/>
        <v>69.196428571428569</v>
      </c>
      <c r="Y207" s="5">
        <f t="shared" si="59"/>
        <v>0.23015873015873012</v>
      </c>
      <c r="Z207" s="1">
        <f>'01_WHOQOL_Items'!D207</f>
        <v>4</v>
      </c>
      <c r="AA207" s="1">
        <f>'01_WHOQOL_Items'!AD207</f>
        <v>4</v>
      </c>
      <c r="AB207" s="1">
        <f>'01_WHOQOL_Items'!E207</f>
        <v>3</v>
      </c>
      <c r="AC207" s="1">
        <f>'01_WHOQOL_Items'!AE207</f>
        <v>3</v>
      </c>
    </row>
    <row r="208" spans="1:29">
      <c r="A208" s="1" t="str">
        <f>'01_WHOQOL_Items'!A208</f>
        <v>EXP-207</v>
      </c>
      <c r="B208" s="1" t="str">
        <f>'01_WHOQOL_Items'!B208</f>
        <v>Experimental</v>
      </c>
      <c r="C208" s="4">
        <f>4*(((6-'01_WHOQOL_Items'!F208) + (6-'01_WHOQOL_Items'!G208) + '01_WHOQOL_Items'!M208 + '01_WHOQOL_Items'!R208 + '01_WHOQOL_Items'!S208 + '01_WHOQOL_Items'!T208 + '01_WHOQOL_Items'!U208)/7)</f>
        <v>14.285714285714286</v>
      </c>
      <c r="D208" s="4">
        <f>4*(((6-'01_WHOQOL_Items'!AF208) + (6-'01_WHOQOL_Items'!AG208) + '01_WHOQOL_Items'!AM208 + '01_WHOQOL_Items'!AR208 + '01_WHOQOL_Items'!AS208 + '01_WHOQOL_Items'!AT208 + '01_WHOQOL_Items'!AU208)/7)</f>
        <v>15.428571428571429</v>
      </c>
      <c r="E208" s="4">
        <f t="shared" si="45"/>
        <v>64.285714285714292</v>
      </c>
      <c r="F208" s="4">
        <f t="shared" si="46"/>
        <v>71.428571428571431</v>
      </c>
      <c r="G208" s="5">
        <f t="shared" si="47"/>
        <v>0.11111111111111104</v>
      </c>
      <c r="H208" s="4">
        <f>4*(('01_WHOQOL_Items'!H208 + '01_WHOQOL_Items'!I208 + '01_WHOQOL_Items'!J208 + '01_WHOQOL_Items'!N208 + '01_WHOQOL_Items'!V208 + (6-'01_WHOQOL_Items'!AC208))/6)</f>
        <v>13.333333333333334</v>
      </c>
      <c r="I208" s="4">
        <f>4*(('01_WHOQOL_Items'!AH208 + '01_WHOQOL_Items'!AI208 + '01_WHOQOL_Items'!AJ208 + '01_WHOQOL_Items'!AN208 + '01_WHOQOL_Items'!AV208 + (6-'01_WHOQOL_Items'!BC208))/6)</f>
        <v>14.666666666666666</v>
      </c>
      <c r="J208" s="4">
        <f t="shared" si="48"/>
        <v>58.333333333333336</v>
      </c>
      <c r="K208" s="4">
        <f t="shared" si="49"/>
        <v>66.666666666666657</v>
      </c>
      <c r="L208" s="5">
        <f t="shared" si="50"/>
        <v>0.14285714285714265</v>
      </c>
      <c r="M208" s="4">
        <f>4*(('01_WHOQOL_Items'!W208 + '01_WHOQOL_Items'!X208 + '01_WHOQOL_Items'!Y208)/3)</f>
        <v>9.3333333333333339</v>
      </c>
      <c r="N208" s="4">
        <f>4*(('01_WHOQOL_Items'!AW208 + '01_WHOQOL_Items'!AX208 + '01_WHOQOL_Items'!AY208)/3)</f>
        <v>13.333333333333334</v>
      </c>
      <c r="O208" s="4">
        <f t="shared" si="51"/>
        <v>33.333333333333336</v>
      </c>
      <c r="P208" s="4">
        <f t="shared" si="52"/>
        <v>58.333333333333336</v>
      </c>
      <c r="Q208" s="5">
        <f t="shared" si="53"/>
        <v>0.75</v>
      </c>
      <c r="R208" s="4">
        <f>4*(('01_WHOQOL_Items'!K208 + '01_WHOQOL_Items'!L208 + '01_WHOQOL_Items'!O208 + '01_WHOQOL_Items'!P208 + '01_WHOQOL_Items'!Q208 + '01_WHOQOL_Items'!Z208 + '01_WHOQOL_Items'!AA208 + '01_WHOQOL_Items'!AB208)/8)</f>
        <v>12.5</v>
      </c>
      <c r="S208" s="4">
        <f>4*(('01_WHOQOL_Items'!AK208 + '01_WHOQOL_Items'!AL208 + '01_WHOQOL_Items'!AO208 + '01_WHOQOL_Items'!AP208 + '01_WHOQOL_Items'!AQ208 + '01_WHOQOL_Items'!AZ208 + '01_WHOQOL_Items'!BA208 + '01_WHOQOL_Items'!BB208)/8)</f>
        <v>13</v>
      </c>
      <c r="T208" s="4">
        <f t="shared" si="54"/>
        <v>53.125</v>
      </c>
      <c r="U208" s="4">
        <f t="shared" si="55"/>
        <v>56.25</v>
      </c>
      <c r="V208" s="5">
        <f t="shared" si="56"/>
        <v>5.8823529411764705E-2</v>
      </c>
      <c r="W208" s="4">
        <f t="shared" si="57"/>
        <v>52.269345238095241</v>
      </c>
      <c r="X208" s="4">
        <f t="shared" si="58"/>
        <v>63.169642857142854</v>
      </c>
      <c r="Y208" s="5">
        <f t="shared" si="59"/>
        <v>0.20854092526690379</v>
      </c>
      <c r="Z208" s="1">
        <f>'01_WHOQOL_Items'!D208</f>
        <v>4</v>
      </c>
      <c r="AA208" s="1">
        <f>'01_WHOQOL_Items'!AD208</f>
        <v>3</v>
      </c>
      <c r="AB208" s="1">
        <f>'01_WHOQOL_Items'!E208</f>
        <v>3</v>
      </c>
      <c r="AC208" s="1">
        <f>'01_WHOQOL_Items'!AE208</f>
        <v>4</v>
      </c>
    </row>
    <row r="209" spans="1:29">
      <c r="A209" s="1" t="str">
        <f>'01_WHOQOL_Items'!A209</f>
        <v>EXP-208</v>
      </c>
      <c r="B209" s="1" t="str">
        <f>'01_WHOQOL_Items'!B209</f>
        <v>Experimental</v>
      </c>
      <c r="C209" s="4">
        <f>4*(((6-'01_WHOQOL_Items'!F209) + (6-'01_WHOQOL_Items'!G209) + '01_WHOQOL_Items'!M209 + '01_WHOQOL_Items'!R209 + '01_WHOQOL_Items'!S209 + '01_WHOQOL_Items'!T209 + '01_WHOQOL_Items'!U209)/7)</f>
        <v>10.857142857142858</v>
      </c>
      <c r="D209" s="4">
        <f>4*(((6-'01_WHOQOL_Items'!AF209) + (6-'01_WHOQOL_Items'!AG209) + '01_WHOQOL_Items'!AM209 + '01_WHOQOL_Items'!AR209 + '01_WHOQOL_Items'!AS209 + '01_WHOQOL_Items'!AT209 + '01_WHOQOL_Items'!AU209)/7)</f>
        <v>12</v>
      </c>
      <c r="E209" s="4">
        <f t="shared" si="45"/>
        <v>42.857142857142861</v>
      </c>
      <c r="F209" s="4">
        <f t="shared" si="46"/>
        <v>50</v>
      </c>
      <c r="G209" s="5">
        <f t="shared" si="47"/>
        <v>0.16666666666666655</v>
      </c>
      <c r="H209" s="4">
        <f>4*(('01_WHOQOL_Items'!H209 + '01_WHOQOL_Items'!I209 + '01_WHOQOL_Items'!J209 + '01_WHOQOL_Items'!N209 + '01_WHOQOL_Items'!V209 + (6-'01_WHOQOL_Items'!AC209))/6)</f>
        <v>12.666666666666666</v>
      </c>
      <c r="I209" s="4">
        <f>4*(('01_WHOQOL_Items'!AH209 + '01_WHOQOL_Items'!AI209 + '01_WHOQOL_Items'!AJ209 + '01_WHOQOL_Items'!AN209 + '01_WHOQOL_Items'!AV209 + (6-'01_WHOQOL_Items'!BC209))/6)</f>
        <v>14</v>
      </c>
      <c r="J209" s="4">
        <f t="shared" si="48"/>
        <v>54.166666666666664</v>
      </c>
      <c r="K209" s="4">
        <f t="shared" si="49"/>
        <v>62.5</v>
      </c>
      <c r="L209" s="5">
        <f t="shared" si="50"/>
        <v>0.15384615384615391</v>
      </c>
      <c r="M209" s="4">
        <f>4*(('01_WHOQOL_Items'!W209 + '01_WHOQOL_Items'!X209 + '01_WHOQOL_Items'!Y209)/3)</f>
        <v>13.333333333333334</v>
      </c>
      <c r="N209" s="4">
        <f>4*(('01_WHOQOL_Items'!AW209 + '01_WHOQOL_Items'!AX209 + '01_WHOQOL_Items'!AY209)/3)</f>
        <v>13.333333333333334</v>
      </c>
      <c r="O209" s="4">
        <f t="shared" si="51"/>
        <v>58.333333333333336</v>
      </c>
      <c r="P209" s="4">
        <f t="shared" si="52"/>
        <v>58.333333333333336</v>
      </c>
      <c r="Q209" s="5">
        <f t="shared" si="53"/>
        <v>0</v>
      </c>
      <c r="R209" s="4">
        <f>4*(('01_WHOQOL_Items'!K209 + '01_WHOQOL_Items'!L209 + '01_WHOQOL_Items'!O209 + '01_WHOQOL_Items'!P209 + '01_WHOQOL_Items'!Q209 + '01_WHOQOL_Items'!Z209 + '01_WHOQOL_Items'!AA209 + '01_WHOQOL_Items'!AB209)/8)</f>
        <v>13</v>
      </c>
      <c r="S209" s="4">
        <f>4*(('01_WHOQOL_Items'!AK209 + '01_WHOQOL_Items'!AL209 + '01_WHOQOL_Items'!AO209 + '01_WHOQOL_Items'!AP209 + '01_WHOQOL_Items'!AQ209 + '01_WHOQOL_Items'!AZ209 + '01_WHOQOL_Items'!BA209 + '01_WHOQOL_Items'!BB209)/8)</f>
        <v>14.5</v>
      </c>
      <c r="T209" s="4">
        <f t="shared" si="54"/>
        <v>56.25</v>
      </c>
      <c r="U209" s="4">
        <f t="shared" si="55"/>
        <v>65.625</v>
      </c>
      <c r="V209" s="5">
        <f t="shared" si="56"/>
        <v>0.16666666666666666</v>
      </c>
      <c r="W209" s="4">
        <f t="shared" si="57"/>
        <v>52.901785714285715</v>
      </c>
      <c r="X209" s="4">
        <f t="shared" si="58"/>
        <v>59.114583333333336</v>
      </c>
      <c r="Y209" s="5">
        <f t="shared" si="59"/>
        <v>0.11744022503516177</v>
      </c>
      <c r="Z209" s="1">
        <f>'01_WHOQOL_Items'!D209</f>
        <v>4</v>
      </c>
      <c r="AA209" s="1">
        <f>'01_WHOQOL_Items'!AD209</f>
        <v>3</v>
      </c>
      <c r="AB209" s="1">
        <f>'01_WHOQOL_Items'!E209</f>
        <v>3</v>
      </c>
      <c r="AC209" s="1">
        <f>'01_WHOQOL_Items'!AE209</f>
        <v>3</v>
      </c>
    </row>
    <row r="210" spans="1:29">
      <c r="A210" s="1" t="str">
        <f>'01_WHOQOL_Items'!A210</f>
        <v>EXP-209</v>
      </c>
      <c r="B210" s="1" t="str">
        <f>'01_WHOQOL_Items'!B210</f>
        <v>Experimental</v>
      </c>
      <c r="C210" s="4">
        <f>4*(((6-'01_WHOQOL_Items'!F210) + (6-'01_WHOQOL_Items'!G210) + '01_WHOQOL_Items'!M210 + '01_WHOQOL_Items'!R210 + '01_WHOQOL_Items'!S210 + '01_WHOQOL_Items'!T210 + '01_WHOQOL_Items'!U210)/7)</f>
        <v>13.714285714285714</v>
      </c>
      <c r="D210" s="4">
        <f>4*(((6-'01_WHOQOL_Items'!AF210) + (6-'01_WHOQOL_Items'!AG210) + '01_WHOQOL_Items'!AM210 + '01_WHOQOL_Items'!AR210 + '01_WHOQOL_Items'!AS210 + '01_WHOQOL_Items'!AT210 + '01_WHOQOL_Items'!AU210)/7)</f>
        <v>14.285714285714286</v>
      </c>
      <c r="E210" s="4">
        <f t="shared" si="45"/>
        <v>60.714285714285708</v>
      </c>
      <c r="F210" s="4">
        <f t="shared" si="46"/>
        <v>64.285714285714292</v>
      </c>
      <c r="G210" s="5">
        <f t="shared" si="47"/>
        <v>5.8823529411764913E-2</v>
      </c>
      <c r="H210" s="4">
        <f>4*(('01_WHOQOL_Items'!H210 + '01_WHOQOL_Items'!I210 + '01_WHOQOL_Items'!J210 + '01_WHOQOL_Items'!N210 + '01_WHOQOL_Items'!V210 + (6-'01_WHOQOL_Items'!AC210))/6)</f>
        <v>13.333333333333334</v>
      </c>
      <c r="I210" s="4">
        <f>4*(('01_WHOQOL_Items'!AH210 + '01_WHOQOL_Items'!AI210 + '01_WHOQOL_Items'!AJ210 + '01_WHOQOL_Items'!AN210 + '01_WHOQOL_Items'!AV210 + (6-'01_WHOQOL_Items'!BC210))/6)</f>
        <v>16</v>
      </c>
      <c r="J210" s="4">
        <f t="shared" si="48"/>
        <v>58.333333333333336</v>
      </c>
      <c r="K210" s="4">
        <f t="shared" si="49"/>
        <v>75</v>
      </c>
      <c r="L210" s="5">
        <f t="shared" si="50"/>
        <v>0.28571428571428564</v>
      </c>
      <c r="M210" s="4">
        <f>4*(('01_WHOQOL_Items'!W210 + '01_WHOQOL_Items'!X210 + '01_WHOQOL_Items'!Y210)/3)</f>
        <v>12</v>
      </c>
      <c r="N210" s="4">
        <f>4*(('01_WHOQOL_Items'!AW210 + '01_WHOQOL_Items'!AX210 + '01_WHOQOL_Items'!AY210)/3)</f>
        <v>10.666666666666666</v>
      </c>
      <c r="O210" s="4">
        <f t="shared" si="51"/>
        <v>50</v>
      </c>
      <c r="P210" s="4">
        <f t="shared" si="52"/>
        <v>41.666666666666664</v>
      </c>
      <c r="Q210" s="5">
        <f t="shared" si="53"/>
        <v>-0.16666666666666671</v>
      </c>
      <c r="R210" s="4">
        <f>4*(('01_WHOQOL_Items'!K210 + '01_WHOQOL_Items'!L210 + '01_WHOQOL_Items'!O210 + '01_WHOQOL_Items'!P210 + '01_WHOQOL_Items'!Q210 + '01_WHOQOL_Items'!Z210 + '01_WHOQOL_Items'!AA210 + '01_WHOQOL_Items'!AB210)/8)</f>
        <v>11</v>
      </c>
      <c r="S210" s="4">
        <f>4*(('01_WHOQOL_Items'!AK210 + '01_WHOQOL_Items'!AL210 + '01_WHOQOL_Items'!AO210 + '01_WHOQOL_Items'!AP210 + '01_WHOQOL_Items'!AQ210 + '01_WHOQOL_Items'!AZ210 + '01_WHOQOL_Items'!BA210 + '01_WHOQOL_Items'!BB210)/8)</f>
        <v>13</v>
      </c>
      <c r="T210" s="4">
        <f t="shared" si="54"/>
        <v>43.75</v>
      </c>
      <c r="U210" s="4">
        <f t="shared" si="55"/>
        <v>56.25</v>
      </c>
      <c r="V210" s="5">
        <f t="shared" si="56"/>
        <v>0.2857142857142857</v>
      </c>
      <c r="W210" s="4">
        <f t="shared" si="57"/>
        <v>53.199404761904759</v>
      </c>
      <c r="X210" s="4">
        <f t="shared" si="58"/>
        <v>59.300595238095234</v>
      </c>
      <c r="Y210" s="5">
        <f t="shared" si="59"/>
        <v>0.11468531468531466</v>
      </c>
      <c r="Z210" s="1">
        <f>'01_WHOQOL_Items'!D210</f>
        <v>3</v>
      </c>
      <c r="AA210" s="1">
        <f>'01_WHOQOL_Items'!AD210</f>
        <v>4</v>
      </c>
      <c r="AB210" s="1">
        <f>'01_WHOQOL_Items'!E210</f>
        <v>4</v>
      </c>
      <c r="AC210" s="1">
        <f>'01_WHOQOL_Items'!AE210</f>
        <v>4</v>
      </c>
    </row>
    <row r="211" spans="1:29">
      <c r="A211" s="1" t="str">
        <f>'01_WHOQOL_Items'!A211</f>
        <v>EXP-210</v>
      </c>
      <c r="B211" s="1" t="str">
        <f>'01_WHOQOL_Items'!B211</f>
        <v>Experimental</v>
      </c>
      <c r="C211" s="4">
        <f>4*(((6-'01_WHOQOL_Items'!F211) + (6-'01_WHOQOL_Items'!G211) + '01_WHOQOL_Items'!M211 + '01_WHOQOL_Items'!R211 + '01_WHOQOL_Items'!S211 + '01_WHOQOL_Items'!T211 + '01_WHOQOL_Items'!U211)/7)</f>
        <v>15.428571428571429</v>
      </c>
      <c r="D211" s="4">
        <f>4*(((6-'01_WHOQOL_Items'!AF211) + (6-'01_WHOQOL_Items'!AG211) + '01_WHOQOL_Items'!AM211 + '01_WHOQOL_Items'!AR211 + '01_WHOQOL_Items'!AS211 + '01_WHOQOL_Items'!AT211 + '01_WHOQOL_Items'!AU211)/7)</f>
        <v>17.142857142857142</v>
      </c>
      <c r="E211" s="4">
        <f t="shared" si="45"/>
        <v>71.428571428571431</v>
      </c>
      <c r="F211" s="4">
        <f t="shared" si="46"/>
        <v>82.142857142857139</v>
      </c>
      <c r="G211" s="5">
        <f t="shared" si="47"/>
        <v>0.14999999999999991</v>
      </c>
      <c r="H211" s="4">
        <f>4*(('01_WHOQOL_Items'!H211 + '01_WHOQOL_Items'!I211 + '01_WHOQOL_Items'!J211 + '01_WHOQOL_Items'!N211 + '01_WHOQOL_Items'!V211 + (6-'01_WHOQOL_Items'!AC211))/6)</f>
        <v>14</v>
      </c>
      <c r="I211" s="4">
        <f>4*(('01_WHOQOL_Items'!AH211 + '01_WHOQOL_Items'!AI211 + '01_WHOQOL_Items'!AJ211 + '01_WHOQOL_Items'!AN211 + '01_WHOQOL_Items'!AV211 + (6-'01_WHOQOL_Items'!BC211))/6)</f>
        <v>18</v>
      </c>
      <c r="J211" s="4">
        <f t="shared" si="48"/>
        <v>62.5</v>
      </c>
      <c r="K211" s="4">
        <f t="shared" si="49"/>
        <v>87.5</v>
      </c>
      <c r="L211" s="5">
        <f t="shared" si="50"/>
        <v>0.4</v>
      </c>
      <c r="M211" s="4">
        <f>4*(('01_WHOQOL_Items'!W211 + '01_WHOQOL_Items'!X211 + '01_WHOQOL_Items'!Y211)/3)</f>
        <v>10.666666666666666</v>
      </c>
      <c r="N211" s="4">
        <f>4*(('01_WHOQOL_Items'!AW211 + '01_WHOQOL_Items'!AX211 + '01_WHOQOL_Items'!AY211)/3)</f>
        <v>13.333333333333334</v>
      </c>
      <c r="O211" s="4">
        <f t="shared" si="51"/>
        <v>41.666666666666664</v>
      </c>
      <c r="P211" s="4">
        <f t="shared" si="52"/>
        <v>58.333333333333336</v>
      </c>
      <c r="Q211" s="5">
        <f t="shared" si="53"/>
        <v>0.40000000000000013</v>
      </c>
      <c r="R211" s="4">
        <f>4*(('01_WHOQOL_Items'!K211 + '01_WHOQOL_Items'!L211 + '01_WHOQOL_Items'!O211 + '01_WHOQOL_Items'!P211 + '01_WHOQOL_Items'!Q211 + '01_WHOQOL_Items'!Z211 + '01_WHOQOL_Items'!AA211 + '01_WHOQOL_Items'!AB211)/8)</f>
        <v>12</v>
      </c>
      <c r="S211" s="4">
        <f>4*(('01_WHOQOL_Items'!AK211 + '01_WHOQOL_Items'!AL211 + '01_WHOQOL_Items'!AO211 + '01_WHOQOL_Items'!AP211 + '01_WHOQOL_Items'!AQ211 + '01_WHOQOL_Items'!AZ211 + '01_WHOQOL_Items'!BA211 + '01_WHOQOL_Items'!BB211)/8)</f>
        <v>15.5</v>
      </c>
      <c r="T211" s="4">
        <f t="shared" si="54"/>
        <v>50</v>
      </c>
      <c r="U211" s="4">
        <f t="shared" si="55"/>
        <v>71.875</v>
      </c>
      <c r="V211" s="5">
        <f t="shared" si="56"/>
        <v>0.4375</v>
      </c>
      <c r="W211" s="4">
        <f t="shared" si="57"/>
        <v>56.398809523809526</v>
      </c>
      <c r="X211" s="4">
        <f t="shared" si="58"/>
        <v>74.96279761904762</v>
      </c>
      <c r="Y211" s="5">
        <f t="shared" si="59"/>
        <v>0.329155672823219</v>
      </c>
      <c r="Z211" s="1">
        <f>'01_WHOQOL_Items'!D211</f>
        <v>3</v>
      </c>
      <c r="AA211" s="1">
        <f>'01_WHOQOL_Items'!AD211</f>
        <v>4</v>
      </c>
      <c r="AB211" s="1">
        <f>'01_WHOQOL_Items'!E211</f>
        <v>3</v>
      </c>
      <c r="AC211" s="1">
        <f>'01_WHOQOL_Items'!AE211</f>
        <v>4</v>
      </c>
    </row>
    <row r="212" spans="1:29">
      <c r="A212" s="1" t="str">
        <f>'01_WHOQOL_Items'!A212</f>
        <v>EXP-211</v>
      </c>
      <c r="B212" s="1" t="str">
        <f>'01_WHOQOL_Items'!B212</f>
        <v>Experimental</v>
      </c>
      <c r="C212" s="4">
        <f>4*(((6-'01_WHOQOL_Items'!F212) + (6-'01_WHOQOL_Items'!G212) + '01_WHOQOL_Items'!M212 + '01_WHOQOL_Items'!R212 + '01_WHOQOL_Items'!S212 + '01_WHOQOL_Items'!T212 + '01_WHOQOL_Items'!U212)/7)</f>
        <v>12</v>
      </c>
      <c r="D212" s="4">
        <f>4*(((6-'01_WHOQOL_Items'!AF212) + (6-'01_WHOQOL_Items'!AG212) + '01_WHOQOL_Items'!AM212 + '01_WHOQOL_Items'!AR212 + '01_WHOQOL_Items'!AS212 + '01_WHOQOL_Items'!AT212 + '01_WHOQOL_Items'!AU212)/7)</f>
        <v>14.285714285714286</v>
      </c>
      <c r="E212" s="4">
        <f t="shared" si="45"/>
        <v>50</v>
      </c>
      <c r="F212" s="4">
        <f t="shared" si="46"/>
        <v>64.285714285714292</v>
      </c>
      <c r="G212" s="5">
        <f t="shared" si="47"/>
        <v>0.28571428571428581</v>
      </c>
      <c r="H212" s="4">
        <f>4*(('01_WHOQOL_Items'!H212 + '01_WHOQOL_Items'!I212 + '01_WHOQOL_Items'!J212 + '01_WHOQOL_Items'!N212 + '01_WHOQOL_Items'!V212 + (6-'01_WHOQOL_Items'!AC212))/6)</f>
        <v>14</v>
      </c>
      <c r="I212" s="4">
        <f>4*(('01_WHOQOL_Items'!AH212 + '01_WHOQOL_Items'!AI212 + '01_WHOQOL_Items'!AJ212 + '01_WHOQOL_Items'!AN212 + '01_WHOQOL_Items'!AV212 + (6-'01_WHOQOL_Items'!BC212))/6)</f>
        <v>14.666666666666666</v>
      </c>
      <c r="J212" s="4">
        <f t="shared" si="48"/>
        <v>62.5</v>
      </c>
      <c r="K212" s="4">
        <f t="shared" si="49"/>
        <v>66.666666666666657</v>
      </c>
      <c r="L212" s="5">
        <f t="shared" si="50"/>
        <v>6.6666666666666513E-2</v>
      </c>
      <c r="M212" s="4">
        <f>4*(('01_WHOQOL_Items'!W212 + '01_WHOQOL_Items'!X212 + '01_WHOQOL_Items'!Y212)/3)</f>
        <v>6.666666666666667</v>
      </c>
      <c r="N212" s="4">
        <f>4*(('01_WHOQOL_Items'!AW212 + '01_WHOQOL_Items'!AX212 + '01_WHOQOL_Items'!AY212)/3)</f>
        <v>13.333333333333334</v>
      </c>
      <c r="O212" s="4">
        <f t="shared" si="51"/>
        <v>16.666666666666668</v>
      </c>
      <c r="P212" s="4">
        <f t="shared" si="52"/>
        <v>58.333333333333336</v>
      </c>
      <c r="Q212" s="5">
        <f t="shared" si="53"/>
        <v>2.5</v>
      </c>
      <c r="R212" s="4">
        <f>4*(('01_WHOQOL_Items'!K212 + '01_WHOQOL_Items'!L212 + '01_WHOQOL_Items'!O212 + '01_WHOQOL_Items'!P212 + '01_WHOQOL_Items'!Q212 + '01_WHOQOL_Items'!Z212 + '01_WHOQOL_Items'!AA212 + '01_WHOQOL_Items'!AB212)/8)</f>
        <v>16.5</v>
      </c>
      <c r="S212" s="4">
        <f>4*(('01_WHOQOL_Items'!AK212 + '01_WHOQOL_Items'!AL212 + '01_WHOQOL_Items'!AO212 + '01_WHOQOL_Items'!AP212 + '01_WHOQOL_Items'!AQ212 + '01_WHOQOL_Items'!AZ212 + '01_WHOQOL_Items'!BA212 + '01_WHOQOL_Items'!BB212)/8)</f>
        <v>14.5</v>
      </c>
      <c r="T212" s="4">
        <f t="shared" si="54"/>
        <v>78.125</v>
      </c>
      <c r="U212" s="4">
        <f t="shared" si="55"/>
        <v>65.625</v>
      </c>
      <c r="V212" s="5">
        <f t="shared" si="56"/>
        <v>-0.16</v>
      </c>
      <c r="W212" s="4">
        <f t="shared" si="57"/>
        <v>51.822916666666664</v>
      </c>
      <c r="X212" s="4">
        <f t="shared" si="58"/>
        <v>63.727678571428577</v>
      </c>
      <c r="Y212" s="5">
        <f t="shared" si="59"/>
        <v>0.22972002871500374</v>
      </c>
      <c r="Z212" s="1">
        <f>'01_WHOQOL_Items'!D212</f>
        <v>3</v>
      </c>
      <c r="AA212" s="1">
        <f>'01_WHOQOL_Items'!AD212</f>
        <v>3</v>
      </c>
      <c r="AB212" s="1">
        <f>'01_WHOQOL_Items'!E212</f>
        <v>3</v>
      </c>
      <c r="AC212" s="1">
        <f>'01_WHOQOL_Items'!AE212</f>
        <v>4</v>
      </c>
    </row>
    <row r="213" spans="1:29">
      <c r="A213" s="1" t="str">
        <f>'01_WHOQOL_Items'!A213</f>
        <v>EXP-212</v>
      </c>
      <c r="B213" s="1" t="str">
        <f>'01_WHOQOL_Items'!B213</f>
        <v>Experimental</v>
      </c>
      <c r="C213" s="4">
        <f>4*(((6-'01_WHOQOL_Items'!F213) + (6-'01_WHOQOL_Items'!G213) + '01_WHOQOL_Items'!M213 + '01_WHOQOL_Items'!R213 + '01_WHOQOL_Items'!S213 + '01_WHOQOL_Items'!T213 + '01_WHOQOL_Items'!U213)/7)</f>
        <v>14.857142857142858</v>
      </c>
      <c r="D213" s="4">
        <f>4*(((6-'01_WHOQOL_Items'!AF213) + (6-'01_WHOQOL_Items'!AG213) + '01_WHOQOL_Items'!AM213 + '01_WHOQOL_Items'!AR213 + '01_WHOQOL_Items'!AS213 + '01_WHOQOL_Items'!AT213 + '01_WHOQOL_Items'!AU213)/7)</f>
        <v>16.571428571428573</v>
      </c>
      <c r="E213" s="4">
        <f t="shared" si="45"/>
        <v>67.857142857142861</v>
      </c>
      <c r="F213" s="4">
        <f t="shared" si="46"/>
        <v>78.571428571428584</v>
      </c>
      <c r="G213" s="5">
        <f t="shared" si="47"/>
        <v>0.15789473684210537</v>
      </c>
      <c r="H213" s="4">
        <f>4*(('01_WHOQOL_Items'!H213 + '01_WHOQOL_Items'!I213 + '01_WHOQOL_Items'!J213 + '01_WHOQOL_Items'!N213 + '01_WHOQOL_Items'!V213 + (6-'01_WHOQOL_Items'!AC213))/6)</f>
        <v>11.333333333333334</v>
      </c>
      <c r="I213" s="4">
        <f>4*(('01_WHOQOL_Items'!AH213 + '01_WHOQOL_Items'!AI213 + '01_WHOQOL_Items'!AJ213 + '01_WHOQOL_Items'!AN213 + '01_WHOQOL_Items'!AV213 + (6-'01_WHOQOL_Items'!BC213))/6)</f>
        <v>14</v>
      </c>
      <c r="J213" s="4">
        <f t="shared" si="48"/>
        <v>45.833333333333336</v>
      </c>
      <c r="K213" s="4">
        <f t="shared" si="49"/>
        <v>62.5</v>
      </c>
      <c r="L213" s="5">
        <f t="shared" si="50"/>
        <v>0.36363636363636359</v>
      </c>
      <c r="M213" s="4">
        <f>4*(('01_WHOQOL_Items'!W213 + '01_WHOQOL_Items'!X213 + '01_WHOQOL_Items'!Y213)/3)</f>
        <v>12</v>
      </c>
      <c r="N213" s="4">
        <f>4*(('01_WHOQOL_Items'!AW213 + '01_WHOQOL_Items'!AX213 + '01_WHOQOL_Items'!AY213)/3)</f>
        <v>14.666666666666666</v>
      </c>
      <c r="O213" s="4">
        <f t="shared" si="51"/>
        <v>50</v>
      </c>
      <c r="P213" s="4">
        <f t="shared" si="52"/>
        <v>66.666666666666657</v>
      </c>
      <c r="Q213" s="5">
        <f t="shared" si="53"/>
        <v>0.33333333333333315</v>
      </c>
      <c r="R213" s="4">
        <f>4*(('01_WHOQOL_Items'!K213 + '01_WHOQOL_Items'!L213 + '01_WHOQOL_Items'!O213 + '01_WHOQOL_Items'!P213 + '01_WHOQOL_Items'!Q213 + '01_WHOQOL_Items'!Z213 + '01_WHOQOL_Items'!AA213 + '01_WHOQOL_Items'!AB213)/8)</f>
        <v>11</v>
      </c>
      <c r="S213" s="4">
        <f>4*(('01_WHOQOL_Items'!AK213 + '01_WHOQOL_Items'!AL213 + '01_WHOQOL_Items'!AO213 + '01_WHOQOL_Items'!AP213 + '01_WHOQOL_Items'!AQ213 + '01_WHOQOL_Items'!AZ213 + '01_WHOQOL_Items'!BA213 + '01_WHOQOL_Items'!BB213)/8)</f>
        <v>10</v>
      </c>
      <c r="T213" s="4">
        <f t="shared" si="54"/>
        <v>43.75</v>
      </c>
      <c r="U213" s="4">
        <f t="shared" si="55"/>
        <v>37.5</v>
      </c>
      <c r="V213" s="5">
        <f t="shared" si="56"/>
        <v>-0.14285714285714285</v>
      </c>
      <c r="W213" s="4">
        <f t="shared" si="57"/>
        <v>51.860119047619051</v>
      </c>
      <c r="X213" s="4">
        <f t="shared" si="58"/>
        <v>61.30952380952381</v>
      </c>
      <c r="Y213" s="5">
        <f t="shared" si="59"/>
        <v>0.18220946915351499</v>
      </c>
      <c r="Z213" s="1">
        <f>'01_WHOQOL_Items'!D213</f>
        <v>3</v>
      </c>
      <c r="AA213" s="1">
        <f>'01_WHOQOL_Items'!AD213</f>
        <v>3</v>
      </c>
      <c r="AB213" s="1">
        <f>'01_WHOQOL_Items'!E213</f>
        <v>4</v>
      </c>
      <c r="AC213" s="1">
        <f>'01_WHOQOL_Items'!AE213</f>
        <v>4</v>
      </c>
    </row>
    <row r="214" spans="1:29">
      <c r="A214" s="1" t="str">
        <f>'01_WHOQOL_Items'!A214</f>
        <v>EXP-213</v>
      </c>
      <c r="B214" s="1" t="str">
        <f>'01_WHOQOL_Items'!B214</f>
        <v>Experimental</v>
      </c>
      <c r="C214" s="4">
        <f>4*(((6-'01_WHOQOL_Items'!F214) + (6-'01_WHOQOL_Items'!G214) + '01_WHOQOL_Items'!M214 + '01_WHOQOL_Items'!R214 + '01_WHOQOL_Items'!S214 + '01_WHOQOL_Items'!T214 + '01_WHOQOL_Items'!U214)/7)</f>
        <v>14.285714285714286</v>
      </c>
      <c r="D214" s="4">
        <f>4*(((6-'01_WHOQOL_Items'!AF214) + (6-'01_WHOQOL_Items'!AG214) + '01_WHOQOL_Items'!AM214 + '01_WHOQOL_Items'!AR214 + '01_WHOQOL_Items'!AS214 + '01_WHOQOL_Items'!AT214 + '01_WHOQOL_Items'!AU214)/7)</f>
        <v>15.428571428571429</v>
      </c>
      <c r="E214" s="4">
        <f t="shared" si="45"/>
        <v>64.285714285714292</v>
      </c>
      <c r="F214" s="4">
        <f t="shared" si="46"/>
        <v>71.428571428571431</v>
      </c>
      <c r="G214" s="5">
        <f t="shared" si="47"/>
        <v>0.11111111111111104</v>
      </c>
      <c r="H214" s="4">
        <f>4*(('01_WHOQOL_Items'!H214 + '01_WHOQOL_Items'!I214 + '01_WHOQOL_Items'!J214 + '01_WHOQOL_Items'!N214 + '01_WHOQOL_Items'!V214 + (6-'01_WHOQOL_Items'!AC214))/6)</f>
        <v>12.666666666666666</v>
      </c>
      <c r="I214" s="4">
        <f>4*(('01_WHOQOL_Items'!AH214 + '01_WHOQOL_Items'!AI214 + '01_WHOQOL_Items'!AJ214 + '01_WHOQOL_Items'!AN214 + '01_WHOQOL_Items'!AV214 + (6-'01_WHOQOL_Items'!BC214))/6)</f>
        <v>14</v>
      </c>
      <c r="J214" s="4">
        <f t="shared" si="48"/>
        <v>54.166666666666664</v>
      </c>
      <c r="K214" s="4">
        <f t="shared" si="49"/>
        <v>62.5</v>
      </c>
      <c r="L214" s="5">
        <f t="shared" si="50"/>
        <v>0.15384615384615391</v>
      </c>
      <c r="M214" s="4">
        <f>4*(('01_WHOQOL_Items'!W214 + '01_WHOQOL_Items'!X214 + '01_WHOQOL_Items'!Y214)/3)</f>
        <v>8</v>
      </c>
      <c r="N214" s="4">
        <f>4*(('01_WHOQOL_Items'!AW214 + '01_WHOQOL_Items'!AX214 + '01_WHOQOL_Items'!AY214)/3)</f>
        <v>12</v>
      </c>
      <c r="O214" s="4">
        <f t="shared" si="51"/>
        <v>25</v>
      </c>
      <c r="P214" s="4">
        <f t="shared" si="52"/>
        <v>50</v>
      </c>
      <c r="Q214" s="5">
        <f t="shared" si="53"/>
        <v>1</v>
      </c>
      <c r="R214" s="4">
        <f>4*(('01_WHOQOL_Items'!K214 + '01_WHOQOL_Items'!L214 + '01_WHOQOL_Items'!O214 + '01_WHOQOL_Items'!P214 + '01_WHOQOL_Items'!Q214 + '01_WHOQOL_Items'!Z214 + '01_WHOQOL_Items'!AA214 + '01_WHOQOL_Items'!AB214)/8)</f>
        <v>12.5</v>
      </c>
      <c r="S214" s="4">
        <f>4*(('01_WHOQOL_Items'!AK214 + '01_WHOQOL_Items'!AL214 + '01_WHOQOL_Items'!AO214 + '01_WHOQOL_Items'!AP214 + '01_WHOQOL_Items'!AQ214 + '01_WHOQOL_Items'!AZ214 + '01_WHOQOL_Items'!BA214 + '01_WHOQOL_Items'!BB214)/8)</f>
        <v>12</v>
      </c>
      <c r="T214" s="4">
        <f t="shared" si="54"/>
        <v>53.125</v>
      </c>
      <c r="U214" s="4">
        <f t="shared" si="55"/>
        <v>50</v>
      </c>
      <c r="V214" s="5">
        <f t="shared" si="56"/>
        <v>-5.8823529411764705E-2</v>
      </c>
      <c r="W214" s="4">
        <f t="shared" si="57"/>
        <v>49.144345238095241</v>
      </c>
      <c r="X214" s="4">
        <f t="shared" si="58"/>
        <v>58.482142857142861</v>
      </c>
      <c r="Y214" s="5">
        <f t="shared" si="59"/>
        <v>0.1900075700227101</v>
      </c>
      <c r="Z214" s="1">
        <f>'01_WHOQOL_Items'!D214</f>
        <v>2</v>
      </c>
      <c r="AA214" s="1">
        <f>'01_WHOQOL_Items'!AD214</f>
        <v>4</v>
      </c>
      <c r="AB214" s="1">
        <f>'01_WHOQOL_Items'!E214</f>
        <v>4</v>
      </c>
      <c r="AC214" s="1">
        <f>'01_WHOQOL_Items'!AE214</f>
        <v>4</v>
      </c>
    </row>
    <row r="215" spans="1:29">
      <c r="A215" s="1" t="str">
        <f>'01_WHOQOL_Items'!A215</f>
        <v>EXP-214</v>
      </c>
      <c r="B215" s="1" t="str">
        <f>'01_WHOQOL_Items'!B215</f>
        <v>Experimental</v>
      </c>
      <c r="C215" s="4">
        <f>4*(((6-'01_WHOQOL_Items'!F215) + (6-'01_WHOQOL_Items'!G215) + '01_WHOQOL_Items'!M215 + '01_WHOQOL_Items'!R215 + '01_WHOQOL_Items'!S215 + '01_WHOQOL_Items'!T215 + '01_WHOQOL_Items'!U215)/7)</f>
        <v>12.571428571428571</v>
      </c>
      <c r="D215" s="4">
        <f>4*(((6-'01_WHOQOL_Items'!AF215) + (6-'01_WHOQOL_Items'!AG215) + '01_WHOQOL_Items'!AM215 + '01_WHOQOL_Items'!AR215 + '01_WHOQOL_Items'!AS215 + '01_WHOQOL_Items'!AT215 + '01_WHOQOL_Items'!AU215)/7)</f>
        <v>12.571428571428571</v>
      </c>
      <c r="E215" s="4">
        <f t="shared" si="45"/>
        <v>53.571428571428569</v>
      </c>
      <c r="F215" s="4">
        <f t="shared" si="46"/>
        <v>53.571428571428569</v>
      </c>
      <c r="G215" s="5">
        <f t="shared" si="47"/>
        <v>0</v>
      </c>
      <c r="H215" s="4">
        <f>4*(('01_WHOQOL_Items'!H215 + '01_WHOQOL_Items'!I215 + '01_WHOQOL_Items'!J215 + '01_WHOQOL_Items'!N215 + '01_WHOQOL_Items'!V215 + (6-'01_WHOQOL_Items'!AC215))/6)</f>
        <v>11.333333333333334</v>
      </c>
      <c r="I215" s="4">
        <f>4*(('01_WHOQOL_Items'!AH215 + '01_WHOQOL_Items'!AI215 + '01_WHOQOL_Items'!AJ215 + '01_WHOQOL_Items'!AN215 + '01_WHOQOL_Items'!AV215 + (6-'01_WHOQOL_Items'!BC215))/6)</f>
        <v>15.333333333333334</v>
      </c>
      <c r="J215" s="4">
        <f t="shared" si="48"/>
        <v>45.833333333333336</v>
      </c>
      <c r="K215" s="4">
        <f t="shared" si="49"/>
        <v>70.833333333333343</v>
      </c>
      <c r="L215" s="5">
        <f t="shared" si="50"/>
        <v>0.54545454545454564</v>
      </c>
      <c r="M215" s="4">
        <f>4*(('01_WHOQOL_Items'!W215 + '01_WHOQOL_Items'!X215 + '01_WHOQOL_Items'!Y215)/3)</f>
        <v>8</v>
      </c>
      <c r="N215" s="4">
        <f>4*(('01_WHOQOL_Items'!AW215 + '01_WHOQOL_Items'!AX215 + '01_WHOQOL_Items'!AY215)/3)</f>
        <v>13.333333333333334</v>
      </c>
      <c r="O215" s="4">
        <f t="shared" si="51"/>
        <v>25</v>
      </c>
      <c r="P215" s="4">
        <f t="shared" si="52"/>
        <v>58.333333333333336</v>
      </c>
      <c r="Q215" s="5">
        <f t="shared" si="53"/>
        <v>1.3333333333333335</v>
      </c>
      <c r="R215" s="4">
        <f>4*(('01_WHOQOL_Items'!K215 + '01_WHOQOL_Items'!L215 + '01_WHOQOL_Items'!O215 + '01_WHOQOL_Items'!P215 + '01_WHOQOL_Items'!Q215 + '01_WHOQOL_Items'!Z215 + '01_WHOQOL_Items'!AA215 + '01_WHOQOL_Items'!AB215)/8)</f>
        <v>13.5</v>
      </c>
      <c r="S215" s="4">
        <f>4*(('01_WHOQOL_Items'!AK215 + '01_WHOQOL_Items'!AL215 + '01_WHOQOL_Items'!AO215 + '01_WHOQOL_Items'!AP215 + '01_WHOQOL_Items'!AQ215 + '01_WHOQOL_Items'!AZ215 + '01_WHOQOL_Items'!BA215 + '01_WHOQOL_Items'!BB215)/8)</f>
        <v>16</v>
      </c>
      <c r="T215" s="4">
        <f t="shared" si="54"/>
        <v>59.375</v>
      </c>
      <c r="U215" s="4">
        <f t="shared" si="55"/>
        <v>75</v>
      </c>
      <c r="V215" s="5">
        <f t="shared" si="56"/>
        <v>0.26315789473684209</v>
      </c>
      <c r="W215" s="4">
        <f t="shared" si="57"/>
        <v>45.944940476190474</v>
      </c>
      <c r="X215" s="4">
        <f t="shared" si="58"/>
        <v>64.43452380952381</v>
      </c>
      <c r="Y215" s="5">
        <f t="shared" si="59"/>
        <v>0.40242914979757094</v>
      </c>
      <c r="Z215" s="1">
        <f>'01_WHOQOL_Items'!D215</f>
        <v>3</v>
      </c>
      <c r="AA215" s="1">
        <f>'01_WHOQOL_Items'!AD215</f>
        <v>3</v>
      </c>
      <c r="AB215" s="1">
        <f>'01_WHOQOL_Items'!E215</f>
        <v>4</v>
      </c>
      <c r="AC215" s="1">
        <f>'01_WHOQOL_Items'!AE215</f>
        <v>3</v>
      </c>
    </row>
    <row r="216" spans="1:29">
      <c r="A216" s="1" t="str">
        <f>'01_WHOQOL_Items'!A216</f>
        <v>EXP-215</v>
      </c>
      <c r="B216" s="1" t="str">
        <f>'01_WHOQOL_Items'!B216</f>
        <v>Experimental</v>
      </c>
      <c r="C216" s="4">
        <f>4*(((6-'01_WHOQOL_Items'!F216) + (6-'01_WHOQOL_Items'!G216) + '01_WHOQOL_Items'!M216 + '01_WHOQOL_Items'!R216 + '01_WHOQOL_Items'!S216 + '01_WHOQOL_Items'!T216 + '01_WHOQOL_Items'!U216)/7)</f>
        <v>15.428571428571429</v>
      </c>
      <c r="D216" s="4">
        <f>4*(((6-'01_WHOQOL_Items'!AF216) + (6-'01_WHOQOL_Items'!AG216) + '01_WHOQOL_Items'!AM216 + '01_WHOQOL_Items'!AR216 + '01_WHOQOL_Items'!AS216 + '01_WHOQOL_Items'!AT216 + '01_WHOQOL_Items'!AU216)/7)</f>
        <v>14.857142857142858</v>
      </c>
      <c r="E216" s="4">
        <f t="shared" si="45"/>
        <v>71.428571428571431</v>
      </c>
      <c r="F216" s="4">
        <f t="shared" si="46"/>
        <v>67.857142857142861</v>
      </c>
      <c r="G216" s="5">
        <f t="shared" si="47"/>
        <v>-4.9999999999999968E-2</v>
      </c>
      <c r="H216" s="4">
        <f>4*(('01_WHOQOL_Items'!H216 + '01_WHOQOL_Items'!I216 + '01_WHOQOL_Items'!J216 + '01_WHOQOL_Items'!N216 + '01_WHOQOL_Items'!V216 + (6-'01_WHOQOL_Items'!AC216))/6)</f>
        <v>12</v>
      </c>
      <c r="I216" s="4">
        <f>4*(('01_WHOQOL_Items'!AH216 + '01_WHOQOL_Items'!AI216 + '01_WHOQOL_Items'!AJ216 + '01_WHOQOL_Items'!AN216 + '01_WHOQOL_Items'!AV216 + (6-'01_WHOQOL_Items'!BC216))/6)</f>
        <v>13.333333333333334</v>
      </c>
      <c r="J216" s="4">
        <f t="shared" si="48"/>
        <v>50</v>
      </c>
      <c r="K216" s="4">
        <f t="shared" si="49"/>
        <v>58.333333333333336</v>
      </c>
      <c r="L216" s="5">
        <f t="shared" si="50"/>
        <v>0.16666666666666671</v>
      </c>
      <c r="M216" s="4">
        <f>4*(('01_WHOQOL_Items'!W216 + '01_WHOQOL_Items'!X216 + '01_WHOQOL_Items'!Y216)/3)</f>
        <v>13.333333333333334</v>
      </c>
      <c r="N216" s="4">
        <f>4*(('01_WHOQOL_Items'!AW216 + '01_WHOQOL_Items'!AX216 + '01_WHOQOL_Items'!AY216)/3)</f>
        <v>13.333333333333334</v>
      </c>
      <c r="O216" s="4">
        <f t="shared" si="51"/>
        <v>58.333333333333336</v>
      </c>
      <c r="P216" s="4">
        <f t="shared" si="52"/>
        <v>58.333333333333336</v>
      </c>
      <c r="Q216" s="5">
        <f t="shared" si="53"/>
        <v>0</v>
      </c>
      <c r="R216" s="4">
        <f>4*(('01_WHOQOL_Items'!K216 + '01_WHOQOL_Items'!L216 + '01_WHOQOL_Items'!O216 + '01_WHOQOL_Items'!P216 + '01_WHOQOL_Items'!Q216 + '01_WHOQOL_Items'!Z216 + '01_WHOQOL_Items'!AA216 + '01_WHOQOL_Items'!AB216)/8)</f>
        <v>13</v>
      </c>
      <c r="S216" s="4">
        <f>4*(('01_WHOQOL_Items'!AK216 + '01_WHOQOL_Items'!AL216 + '01_WHOQOL_Items'!AO216 + '01_WHOQOL_Items'!AP216 + '01_WHOQOL_Items'!AQ216 + '01_WHOQOL_Items'!AZ216 + '01_WHOQOL_Items'!BA216 + '01_WHOQOL_Items'!BB216)/8)</f>
        <v>15</v>
      </c>
      <c r="T216" s="4">
        <f t="shared" si="54"/>
        <v>56.25</v>
      </c>
      <c r="U216" s="4">
        <f t="shared" si="55"/>
        <v>68.75</v>
      </c>
      <c r="V216" s="5">
        <f t="shared" si="56"/>
        <v>0.22222222222222221</v>
      </c>
      <c r="W216" s="4">
        <f t="shared" si="57"/>
        <v>59.00297619047619</v>
      </c>
      <c r="X216" s="4">
        <f t="shared" si="58"/>
        <v>63.318452380952387</v>
      </c>
      <c r="Y216" s="5">
        <f t="shared" si="59"/>
        <v>7.3139974779319147E-2</v>
      </c>
      <c r="Z216" s="1">
        <f>'01_WHOQOL_Items'!D216</f>
        <v>3</v>
      </c>
      <c r="AA216" s="1">
        <f>'01_WHOQOL_Items'!AD216</f>
        <v>4</v>
      </c>
      <c r="AB216" s="1">
        <f>'01_WHOQOL_Items'!E216</f>
        <v>3</v>
      </c>
      <c r="AC216" s="1">
        <f>'01_WHOQOL_Items'!AE216</f>
        <v>4</v>
      </c>
    </row>
    <row r="217" spans="1:29">
      <c r="A217" s="1" t="str">
        <f>'01_WHOQOL_Items'!A217</f>
        <v>EXP-216</v>
      </c>
      <c r="B217" s="1" t="str">
        <f>'01_WHOQOL_Items'!B217</f>
        <v>Experimental</v>
      </c>
      <c r="C217" s="4">
        <f>4*(((6-'01_WHOQOL_Items'!F217) + (6-'01_WHOQOL_Items'!G217) + '01_WHOQOL_Items'!M217 + '01_WHOQOL_Items'!R217 + '01_WHOQOL_Items'!S217 + '01_WHOQOL_Items'!T217 + '01_WHOQOL_Items'!U217)/7)</f>
        <v>12.571428571428571</v>
      </c>
      <c r="D217" s="4">
        <f>4*(((6-'01_WHOQOL_Items'!AF217) + (6-'01_WHOQOL_Items'!AG217) + '01_WHOQOL_Items'!AM217 + '01_WHOQOL_Items'!AR217 + '01_WHOQOL_Items'!AS217 + '01_WHOQOL_Items'!AT217 + '01_WHOQOL_Items'!AU217)/7)</f>
        <v>13.142857142857142</v>
      </c>
      <c r="E217" s="4">
        <f t="shared" si="45"/>
        <v>53.571428571428569</v>
      </c>
      <c r="F217" s="4">
        <f t="shared" si="46"/>
        <v>57.142857142857139</v>
      </c>
      <c r="G217" s="5">
        <f t="shared" si="47"/>
        <v>6.6666666666666638E-2</v>
      </c>
      <c r="H217" s="4">
        <f>4*(('01_WHOQOL_Items'!H217 + '01_WHOQOL_Items'!I217 + '01_WHOQOL_Items'!J217 + '01_WHOQOL_Items'!N217 + '01_WHOQOL_Items'!V217 + (6-'01_WHOQOL_Items'!AC217))/6)</f>
        <v>12.666666666666666</v>
      </c>
      <c r="I217" s="4">
        <f>4*(('01_WHOQOL_Items'!AH217 + '01_WHOQOL_Items'!AI217 + '01_WHOQOL_Items'!AJ217 + '01_WHOQOL_Items'!AN217 + '01_WHOQOL_Items'!AV217 + (6-'01_WHOQOL_Items'!BC217))/6)</f>
        <v>14</v>
      </c>
      <c r="J217" s="4">
        <f t="shared" si="48"/>
        <v>54.166666666666664</v>
      </c>
      <c r="K217" s="4">
        <f t="shared" si="49"/>
        <v>62.5</v>
      </c>
      <c r="L217" s="5">
        <f t="shared" si="50"/>
        <v>0.15384615384615391</v>
      </c>
      <c r="M217" s="4">
        <f>4*(('01_WHOQOL_Items'!W217 + '01_WHOQOL_Items'!X217 + '01_WHOQOL_Items'!Y217)/3)</f>
        <v>12</v>
      </c>
      <c r="N217" s="4">
        <f>4*(('01_WHOQOL_Items'!AW217 + '01_WHOQOL_Items'!AX217 + '01_WHOQOL_Items'!AY217)/3)</f>
        <v>14.666666666666666</v>
      </c>
      <c r="O217" s="4">
        <f t="shared" si="51"/>
        <v>50</v>
      </c>
      <c r="P217" s="4">
        <f t="shared" si="52"/>
        <v>66.666666666666657</v>
      </c>
      <c r="Q217" s="5">
        <f t="shared" si="53"/>
        <v>0.33333333333333315</v>
      </c>
      <c r="R217" s="4">
        <f>4*(('01_WHOQOL_Items'!K217 + '01_WHOQOL_Items'!L217 + '01_WHOQOL_Items'!O217 + '01_WHOQOL_Items'!P217 + '01_WHOQOL_Items'!Q217 + '01_WHOQOL_Items'!Z217 + '01_WHOQOL_Items'!AA217 + '01_WHOQOL_Items'!AB217)/8)</f>
        <v>14.5</v>
      </c>
      <c r="S217" s="4">
        <f>4*(('01_WHOQOL_Items'!AK217 + '01_WHOQOL_Items'!AL217 + '01_WHOQOL_Items'!AO217 + '01_WHOQOL_Items'!AP217 + '01_WHOQOL_Items'!AQ217 + '01_WHOQOL_Items'!AZ217 + '01_WHOQOL_Items'!BA217 + '01_WHOQOL_Items'!BB217)/8)</f>
        <v>12</v>
      </c>
      <c r="T217" s="4">
        <f t="shared" si="54"/>
        <v>65.625</v>
      </c>
      <c r="U217" s="4">
        <f t="shared" si="55"/>
        <v>50</v>
      </c>
      <c r="V217" s="5">
        <f t="shared" si="56"/>
        <v>-0.23809523809523808</v>
      </c>
      <c r="W217" s="4">
        <f t="shared" si="57"/>
        <v>55.84077380952381</v>
      </c>
      <c r="X217" s="4">
        <f t="shared" si="58"/>
        <v>59.077380952380949</v>
      </c>
      <c r="Y217" s="5">
        <f t="shared" si="59"/>
        <v>5.7961359093937299E-2</v>
      </c>
      <c r="Z217" s="1">
        <f>'01_WHOQOL_Items'!D217</f>
        <v>3</v>
      </c>
      <c r="AA217" s="1">
        <f>'01_WHOQOL_Items'!AD217</f>
        <v>3</v>
      </c>
      <c r="AB217" s="1">
        <f>'01_WHOQOL_Items'!E217</f>
        <v>3</v>
      </c>
      <c r="AC217" s="1">
        <f>'01_WHOQOL_Items'!AE217</f>
        <v>4</v>
      </c>
    </row>
    <row r="218" spans="1:29">
      <c r="A218" s="1" t="str">
        <f>'01_WHOQOL_Items'!A218</f>
        <v>EXP-217</v>
      </c>
      <c r="B218" s="1" t="str">
        <f>'01_WHOQOL_Items'!B218</f>
        <v>Experimental</v>
      </c>
      <c r="C218" s="4">
        <f>4*(((6-'01_WHOQOL_Items'!F218) + (6-'01_WHOQOL_Items'!G218) + '01_WHOQOL_Items'!M218 + '01_WHOQOL_Items'!R218 + '01_WHOQOL_Items'!S218 + '01_WHOQOL_Items'!T218 + '01_WHOQOL_Items'!U218)/7)</f>
        <v>16.571428571428573</v>
      </c>
      <c r="D218" s="4">
        <f>4*(((6-'01_WHOQOL_Items'!AF218) + (6-'01_WHOQOL_Items'!AG218) + '01_WHOQOL_Items'!AM218 + '01_WHOQOL_Items'!AR218 + '01_WHOQOL_Items'!AS218 + '01_WHOQOL_Items'!AT218 + '01_WHOQOL_Items'!AU218)/7)</f>
        <v>17.142857142857142</v>
      </c>
      <c r="E218" s="4">
        <f t="shared" si="45"/>
        <v>78.571428571428584</v>
      </c>
      <c r="F218" s="4">
        <f t="shared" si="46"/>
        <v>82.142857142857139</v>
      </c>
      <c r="G218" s="5">
        <f t="shared" si="47"/>
        <v>4.5454545454545241E-2</v>
      </c>
      <c r="H218" s="4">
        <f>4*(('01_WHOQOL_Items'!H218 + '01_WHOQOL_Items'!I218 + '01_WHOQOL_Items'!J218 + '01_WHOQOL_Items'!N218 + '01_WHOQOL_Items'!V218 + (6-'01_WHOQOL_Items'!AC218))/6)</f>
        <v>11.333333333333334</v>
      </c>
      <c r="I218" s="4">
        <f>4*(('01_WHOQOL_Items'!AH218 + '01_WHOQOL_Items'!AI218 + '01_WHOQOL_Items'!AJ218 + '01_WHOQOL_Items'!AN218 + '01_WHOQOL_Items'!AV218 + (6-'01_WHOQOL_Items'!BC218))/6)</f>
        <v>13.333333333333334</v>
      </c>
      <c r="J218" s="4">
        <f t="shared" si="48"/>
        <v>45.833333333333336</v>
      </c>
      <c r="K218" s="4">
        <f t="shared" si="49"/>
        <v>58.333333333333336</v>
      </c>
      <c r="L218" s="5">
        <f t="shared" si="50"/>
        <v>0.27272727272727271</v>
      </c>
      <c r="M218" s="4">
        <f>4*(('01_WHOQOL_Items'!W218 + '01_WHOQOL_Items'!X218 + '01_WHOQOL_Items'!Y218)/3)</f>
        <v>12</v>
      </c>
      <c r="N218" s="4">
        <f>4*(('01_WHOQOL_Items'!AW218 + '01_WHOQOL_Items'!AX218 + '01_WHOQOL_Items'!AY218)/3)</f>
        <v>14.666666666666666</v>
      </c>
      <c r="O218" s="4">
        <f t="shared" si="51"/>
        <v>50</v>
      </c>
      <c r="P218" s="4">
        <f t="shared" si="52"/>
        <v>66.666666666666657</v>
      </c>
      <c r="Q218" s="5">
        <f t="shared" si="53"/>
        <v>0.33333333333333315</v>
      </c>
      <c r="R218" s="4">
        <f>4*(('01_WHOQOL_Items'!K218 + '01_WHOQOL_Items'!L218 + '01_WHOQOL_Items'!O218 + '01_WHOQOL_Items'!P218 + '01_WHOQOL_Items'!Q218 + '01_WHOQOL_Items'!Z218 + '01_WHOQOL_Items'!AA218 + '01_WHOQOL_Items'!AB218)/8)</f>
        <v>13.5</v>
      </c>
      <c r="S218" s="4">
        <f>4*(('01_WHOQOL_Items'!AK218 + '01_WHOQOL_Items'!AL218 + '01_WHOQOL_Items'!AO218 + '01_WHOQOL_Items'!AP218 + '01_WHOQOL_Items'!AQ218 + '01_WHOQOL_Items'!AZ218 + '01_WHOQOL_Items'!BA218 + '01_WHOQOL_Items'!BB218)/8)</f>
        <v>13</v>
      </c>
      <c r="T218" s="4">
        <f t="shared" si="54"/>
        <v>59.375</v>
      </c>
      <c r="U218" s="4">
        <f t="shared" si="55"/>
        <v>56.25</v>
      </c>
      <c r="V218" s="5">
        <f t="shared" si="56"/>
        <v>-5.2631578947368418E-2</v>
      </c>
      <c r="W218" s="4">
        <f t="shared" si="57"/>
        <v>58.444940476190482</v>
      </c>
      <c r="X218" s="4">
        <f t="shared" si="58"/>
        <v>65.848214285714278</v>
      </c>
      <c r="Y218" s="5">
        <f t="shared" si="59"/>
        <v>0.12667091024824928</v>
      </c>
      <c r="Z218" s="1">
        <f>'01_WHOQOL_Items'!D218</f>
        <v>3</v>
      </c>
      <c r="AA218" s="1">
        <f>'01_WHOQOL_Items'!AD218</f>
        <v>4</v>
      </c>
      <c r="AB218" s="1">
        <f>'01_WHOQOL_Items'!E218</f>
        <v>4</v>
      </c>
      <c r="AC218" s="1">
        <f>'01_WHOQOL_Items'!AE218</f>
        <v>4</v>
      </c>
    </row>
    <row r="219" spans="1:29">
      <c r="A219" s="1" t="str">
        <f>'01_WHOQOL_Items'!A219</f>
        <v>EXP-218</v>
      </c>
      <c r="B219" s="1" t="str">
        <f>'01_WHOQOL_Items'!B219</f>
        <v>Experimental</v>
      </c>
      <c r="C219" s="4">
        <f>4*(((6-'01_WHOQOL_Items'!F219) + (6-'01_WHOQOL_Items'!G219) + '01_WHOQOL_Items'!M219 + '01_WHOQOL_Items'!R219 + '01_WHOQOL_Items'!S219 + '01_WHOQOL_Items'!T219 + '01_WHOQOL_Items'!U219)/7)</f>
        <v>12</v>
      </c>
      <c r="D219" s="4">
        <f>4*(((6-'01_WHOQOL_Items'!AF219) + (6-'01_WHOQOL_Items'!AG219) + '01_WHOQOL_Items'!AM219 + '01_WHOQOL_Items'!AR219 + '01_WHOQOL_Items'!AS219 + '01_WHOQOL_Items'!AT219 + '01_WHOQOL_Items'!AU219)/7)</f>
        <v>14.285714285714286</v>
      </c>
      <c r="E219" s="4">
        <f t="shared" si="45"/>
        <v>50</v>
      </c>
      <c r="F219" s="4">
        <f t="shared" si="46"/>
        <v>64.285714285714292</v>
      </c>
      <c r="G219" s="5">
        <f t="shared" si="47"/>
        <v>0.28571428571428581</v>
      </c>
      <c r="H219" s="4">
        <f>4*(('01_WHOQOL_Items'!H219 + '01_WHOQOL_Items'!I219 + '01_WHOQOL_Items'!J219 + '01_WHOQOL_Items'!N219 + '01_WHOQOL_Items'!V219 + (6-'01_WHOQOL_Items'!AC219))/6)</f>
        <v>8.6666666666666661</v>
      </c>
      <c r="I219" s="4">
        <f>4*(('01_WHOQOL_Items'!AH219 + '01_WHOQOL_Items'!AI219 + '01_WHOQOL_Items'!AJ219 + '01_WHOQOL_Items'!AN219 + '01_WHOQOL_Items'!AV219 + (6-'01_WHOQOL_Items'!BC219))/6)</f>
        <v>12</v>
      </c>
      <c r="J219" s="4">
        <f t="shared" si="48"/>
        <v>29.166666666666664</v>
      </c>
      <c r="K219" s="4">
        <f t="shared" si="49"/>
        <v>50</v>
      </c>
      <c r="L219" s="5">
        <f t="shared" si="50"/>
        <v>0.71428571428571441</v>
      </c>
      <c r="M219" s="4">
        <f>4*(('01_WHOQOL_Items'!W219 + '01_WHOQOL_Items'!X219 + '01_WHOQOL_Items'!Y219)/3)</f>
        <v>12</v>
      </c>
      <c r="N219" s="4">
        <f>4*(('01_WHOQOL_Items'!AW219 + '01_WHOQOL_Items'!AX219 + '01_WHOQOL_Items'!AY219)/3)</f>
        <v>14.666666666666666</v>
      </c>
      <c r="O219" s="4">
        <f t="shared" si="51"/>
        <v>50</v>
      </c>
      <c r="P219" s="4">
        <f t="shared" si="52"/>
        <v>66.666666666666657</v>
      </c>
      <c r="Q219" s="5">
        <f t="shared" si="53"/>
        <v>0.33333333333333315</v>
      </c>
      <c r="R219" s="4">
        <f>4*(('01_WHOQOL_Items'!K219 + '01_WHOQOL_Items'!L219 + '01_WHOQOL_Items'!O219 + '01_WHOQOL_Items'!P219 + '01_WHOQOL_Items'!Q219 + '01_WHOQOL_Items'!Z219 + '01_WHOQOL_Items'!AA219 + '01_WHOQOL_Items'!AB219)/8)</f>
        <v>13.5</v>
      </c>
      <c r="S219" s="4">
        <f>4*(('01_WHOQOL_Items'!AK219 + '01_WHOQOL_Items'!AL219 + '01_WHOQOL_Items'!AO219 + '01_WHOQOL_Items'!AP219 + '01_WHOQOL_Items'!AQ219 + '01_WHOQOL_Items'!AZ219 + '01_WHOQOL_Items'!BA219 + '01_WHOQOL_Items'!BB219)/8)</f>
        <v>16</v>
      </c>
      <c r="T219" s="4">
        <f t="shared" si="54"/>
        <v>59.375</v>
      </c>
      <c r="U219" s="4">
        <f t="shared" si="55"/>
        <v>75</v>
      </c>
      <c r="V219" s="5">
        <f t="shared" si="56"/>
        <v>0.26315789473684209</v>
      </c>
      <c r="W219" s="4">
        <f t="shared" si="57"/>
        <v>47.135416666666664</v>
      </c>
      <c r="X219" s="4">
        <f t="shared" si="58"/>
        <v>63.988095238095241</v>
      </c>
      <c r="Y219" s="5">
        <f t="shared" si="59"/>
        <v>0.35753749013417535</v>
      </c>
      <c r="Z219" s="1">
        <f>'01_WHOQOL_Items'!D219</f>
        <v>4</v>
      </c>
      <c r="AA219" s="1">
        <f>'01_WHOQOL_Items'!AD219</f>
        <v>4</v>
      </c>
      <c r="AB219" s="1">
        <f>'01_WHOQOL_Items'!E219</f>
        <v>3</v>
      </c>
      <c r="AC219" s="1">
        <f>'01_WHOQOL_Items'!AE219</f>
        <v>4</v>
      </c>
    </row>
    <row r="220" spans="1:29">
      <c r="A220" s="1" t="str">
        <f>'01_WHOQOL_Items'!A220</f>
        <v>EXP-219</v>
      </c>
      <c r="B220" s="1" t="str">
        <f>'01_WHOQOL_Items'!B220</f>
        <v>Experimental</v>
      </c>
      <c r="C220" s="4">
        <f>4*(((6-'01_WHOQOL_Items'!F220) + (6-'01_WHOQOL_Items'!G220) + '01_WHOQOL_Items'!M220 + '01_WHOQOL_Items'!R220 + '01_WHOQOL_Items'!S220 + '01_WHOQOL_Items'!T220 + '01_WHOQOL_Items'!U220)/7)</f>
        <v>10.285714285714286</v>
      </c>
      <c r="D220" s="4">
        <f>4*(((6-'01_WHOQOL_Items'!AF220) + (6-'01_WHOQOL_Items'!AG220) + '01_WHOQOL_Items'!AM220 + '01_WHOQOL_Items'!AR220 + '01_WHOQOL_Items'!AS220 + '01_WHOQOL_Items'!AT220 + '01_WHOQOL_Items'!AU220)/7)</f>
        <v>12</v>
      </c>
      <c r="E220" s="4">
        <f t="shared" si="45"/>
        <v>39.285714285714292</v>
      </c>
      <c r="F220" s="4">
        <f t="shared" si="46"/>
        <v>50</v>
      </c>
      <c r="G220" s="5">
        <f t="shared" si="47"/>
        <v>0.27272727272727254</v>
      </c>
      <c r="H220" s="4">
        <f>4*(('01_WHOQOL_Items'!H220 + '01_WHOQOL_Items'!I220 + '01_WHOQOL_Items'!J220 + '01_WHOQOL_Items'!N220 + '01_WHOQOL_Items'!V220 + (6-'01_WHOQOL_Items'!AC220))/6)</f>
        <v>10</v>
      </c>
      <c r="I220" s="4">
        <f>4*(('01_WHOQOL_Items'!AH220 + '01_WHOQOL_Items'!AI220 + '01_WHOQOL_Items'!AJ220 + '01_WHOQOL_Items'!AN220 + '01_WHOQOL_Items'!AV220 + (6-'01_WHOQOL_Items'!BC220))/6)</f>
        <v>12</v>
      </c>
      <c r="J220" s="4">
        <f t="shared" si="48"/>
        <v>37.5</v>
      </c>
      <c r="K220" s="4">
        <f t="shared" si="49"/>
        <v>50</v>
      </c>
      <c r="L220" s="5">
        <f t="shared" si="50"/>
        <v>0.33333333333333331</v>
      </c>
      <c r="M220" s="4">
        <f>4*(('01_WHOQOL_Items'!W220 + '01_WHOQOL_Items'!X220 + '01_WHOQOL_Items'!Y220)/3)</f>
        <v>10.666666666666666</v>
      </c>
      <c r="N220" s="4">
        <f>4*(('01_WHOQOL_Items'!AW220 + '01_WHOQOL_Items'!AX220 + '01_WHOQOL_Items'!AY220)/3)</f>
        <v>10.666666666666666</v>
      </c>
      <c r="O220" s="4">
        <f t="shared" si="51"/>
        <v>41.666666666666664</v>
      </c>
      <c r="P220" s="4">
        <f t="shared" si="52"/>
        <v>41.666666666666664</v>
      </c>
      <c r="Q220" s="5">
        <f t="shared" si="53"/>
        <v>0</v>
      </c>
      <c r="R220" s="4">
        <f>4*(('01_WHOQOL_Items'!K220 + '01_WHOQOL_Items'!L220 + '01_WHOQOL_Items'!O220 + '01_WHOQOL_Items'!P220 + '01_WHOQOL_Items'!Q220 + '01_WHOQOL_Items'!Z220 + '01_WHOQOL_Items'!AA220 + '01_WHOQOL_Items'!AB220)/8)</f>
        <v>11</v>
      </c>
      <c r="S220" s="4">
        <f>4*(('01_WHOQOL_Items'!AK220 + '01_WHOQOL_Items'!AL220 + '01_WHOQOL_Items'!AO220 + '01_WHOQOL_Items'!AP220 + '01_WHOQOL_Items'!AQ220 + '01_WHOQOL_Items'!AZ220 + '01_WHOQOL_Items'!BA220 + '01_WHOQOL_Items'!BB220)/8)</f>
        <v>12.5</v>
      </c>
      <c r="T220" s="4">
        <f t="shared" si="54"/>
        <v>43.75</v>
      </c>
      <c r="U220" s="4">
        <f t="shared" si="55"/>
        <v>53.125</v>
      </c>
      <c r="V220" s="5">
        <f t="shared" si="56"/>
        <v>0.21428571428571427</v>
      </c>
      <c r="W220" s="4">
        <f t="shared" si="57"/>
        <v>40.550595238095241</v>
      </c>
      <c r="X220" s="4">
        <f t="shared" si="58"/>
        <v>48.697916666666664</v>
      </c>
      <c r="Y220" s="5">
        <f t="shared" si="59"/>
        <v>0.20091743119266042</v>
      </c>
      <c r="Z220" s="1">
        <f>'01_WHOQOL_Items'!D220</f>
        <v>2</v>
      </c>
      <c r="AA220" s="1">
        <f>'01_WHOQOL_Items'!AD220</f>
        <v>3</v>
      </c>
      <c r="AB220" s="1">
        <f>'01_WHOQOL_Items'!E220</f>
        <v>3</v>
      </c>
      <c r="AC220" s="1">
        <f>'01_WHOQOL_Items'!AE220</f>
        <v>4</v>
      </c>
    </row>
    <row r="221" spans="1:29">
      <c r="A221" s="1" t="str">
        <f>'01_WHOQOL_Items'!A221</f>
        <v>EXP-220</v>
      </c>
      <c r="B221" s="1" t="str">
        <f>'01_WHOQOL_Items'!B221</f>
        <v>Experimental</v>
      </c>
      <c r="C221" s="4">
        <f>4*(((6-'01_WHOQOL_Items'!F221) + (6-'01_WHOQOL_Items'!G221) + '01_WHOQOL_Items'!M221 + '01_WHOQOL_Items'!R221 + '01_WHOQOL_Items'!S221 + '01_WHOQOL_Items'!T221 + '01_WHOQOL_Items'!U221)/7)</f>
        <v>13.142857142857142</v>
      </c>
      <c r="D221" s="4">
        <f>4*(((6-'01_WHOQOL_Items'!AF221) + (6-'01_WHOQOL_Items'!AG221) + '01_WHOQOL_Items'!AM221 + '01_WHOQOL_Items'!AR221 + '01_WHOQOL_Items'!AS221 + '01_WHOQOL_Items'!AT221 + '01_WHOQOL_Items'!AU221)/7)</f>
        <v>13.142857142857142</v>
      </c>
      <c r="E221" s="4">
        <f t="shared" si="45"/>
        <v>57.142857142857139</v>
      </c>
      <c r="F221" s="4">
        <f t="shared" si="46"/>
        <v>57.142857142857139</v>
      </c>
      <c r="G221" s="5">
        <f t="shared" si="47"/>
        <v>0</v>
      </c>
      <c r="H221" s="4">
        <f>4*(('01_WHOQOL_Items'!H221 + '01_WHOQOL_Items'!I221 + '01_WHOQOL_Items'!J221 + '01_WHOQOL_Items'!N221 + '01_WHOQOL_Items'!V221 + (6-'01_WHOQOL_Items'!AC221))/6)</f>
        <v>10</v>
      </c>
      <c r="I221" s="4">
        <f>4*(('01_WHOQOL_Items'!AH221 + '01_WHOQOL_Items'!AI221 + '01_WHOQOL_Items'!AJ221 + '01_WHOQOL_Items'!AN221 + '01_WHOQOL_Items'!AV221 + (6-'01_WHOQOL_Items'!BC221))/6)</f>
        <v>11.333333333333334</v>
      </c>
      <c r="J221" s="4">
        <f t="shared" si="48"/>
        <v>37.5</v>
      </c>
      <c r="K221" s="4">
        <f t="shared" si="49"/>
        <v>45.833333333333336</v>
      </c>
      <c r="L221" s="5">
        <f t="shared" si="50"/>
        <v>0.22222222222222229</v>
      </c>
      <c r="M221" s="4">
        <f>4*(('01_WHOQOL_Items'!W221 + '01_WHOQOL_Items'!X221 + '01_WHOQOL_Items'!Y221)/3)</f>
        <v>13.333333333333334</v>
      </c>
      <c r="N221" s="4">
        <f>4*(('01_WHOQOL_Items'!AW221 + '01_WHOQOL_Items'!AX221 + '01_WHOQOL_Items'!AY221)/3)</f>
        <v>16</v>
      </c>
      <c r="O221" s="4">
        <f t="shared" si="51"/>
        <v>58.333333333333336</v>
      </c>
      <c r="P221" s="4">
        <f t="shared" si="52"/>
        <v>75</v>
      </c>
      <c r="Q221" s="5">
        <f t="shared" si="53"/>
        <v>0.28571428571428564</v>
      </c>
      <c r="R221" s="4">
        <f>4*(('01_WHOQOL_Items'!K221 + '01_WHOQOL_Items'!L221 + '01_WHOQOL_Items'!O221 + '01_WHOQOL_Items'!P221 + '01_WHOQOL_Items'!Q221 + '01_WHOQOL_Items'!Z221 + '01_WHOQOL_Items'!AA221 + '01_WHOQOL_Items'!AB221)/8)</f>
        <v>10.5</v>
      </c>
      <c r="S221" s="4">
        <f>4*(('01_WHOQOL_Items'!AK221 + '01_WHOQOL_Items'!AL221 + '01_WHOQOL_Items'!AO221 + '01_WHOQOL_Items'!AP221 + '01_WHOQOL_Items'!AQ221 + '01_WHOQOL_Items'!AZ221 + '01_WHOQOL_Items'!BA221 + '01_WHOQOL_Items'!BB221)/8)</f>
        <v>10.5</v>
      </c>
      <c r="T221" s="4">
        <f t="shared" si="54"/>
        <v>40.625</v>
      </c>
      <c r="U221" s="4">
        <f t="shared" si="55"/>
        <v>40.625</v>
      </c>
      <c r="V221" s="5">
        <f t="shared" si="56"/>
        <v>0</v>
      </c>
      <c r="W221" s="4">
        <f t="shared" si="57"/>
        <v>48.40029761904762</v>
      </c>
      <c r="X221" s="4">
        <f t="shared" si="58"/>
        <v>54.65029761904762</v>
      </c>
      <c r="Y221" s="5">
        <f t="shared" si="59"/>
        <v>0.12913143735588009</v>
      </c>
      <c r="Z221" s="1">
        <f>'01_WHOQOL_Items'!D221</f>
        <v>3</v>
      </c>
      <c r="AA221" s="1">
        <f>'01_WHOQOL_Items'!AD221</f>
        <v>4</v>
      </c>
      <c r="AB221" s="1">
        <f>'01_WHOQOL_Items'!E221</f>
        <v>3</v>
      </c>
      <c r="AC221" s="1">
        <f>'01_WHOQOL_Items'!AE221</f>
        <v>3</v>
      </c>
    </row>
    <row r="222" spans="1:29">
      <c r="A222" s="1" t="str">
        <f>'01_WHOQOL_Items'!A222</f>
        <v>EXP-221</v>
      </c>
      <c r="B222" s="1" t="str">
        <f>'01_WHOQOL_Items'!B222</f>
        <v>Experimental</v>
      </c>
      <c r="C222" s="4">
        <f>4*(((6-'01_WHOQOL_Items'!F222) + (6-'01_WHOQOL_Items'!G222) + '01_WHOQOL_Items'!M222 + '01_WHOQOL_Items'!R222 + '01_WHOQOL_Items'!S222 + '01_WHOQOL_Items'!T222 + '01_WHOQOL_Items'!U222)/7)</f>
        <v>12.571428571428571</v>
      </c>
      <c r="D222" s="4">
        <f>4*(((6-'01_WHOQOL_Items'!AF222) + (6-'01_WHOQOL_Items'!AG222) + '01_WHOQOL_Items'!AM222 + '01_WHOQOL_Items'!AR222 + '01_WHOQOL_Items'!AS222 + '01_WHOQOL_Items'!AT222 + '01_WHOQOL_Items'!AU222)/7)</f>
        <v>13.714285714285714</v>
      </c>
      <c r="E222" s="4">
        <f t="shared" si="45"/>
        <v>53.571428571428569</v>
      </c>
      <c r="F222" s="4">
        <f t="shared" si="46"/>
        <v>60.714285714285708</v>
      </c>
      <c r="G222" s="5">
        <f t="shared" si="47"/>
        <v>0.13333333333333328</v>
      </c>
      <c r="H222" s="4">
        <f>4*(('01_WHOQOL_Items'!H222 + '01_WHOQOL_Items'!I222 + '01_WHOQOL_Items'!J222 + '01_WHOQOL_Items'!N222 + '01_WHOQOL_Items'!V222 + (6-'01_WHOQOL_Items'!AC222))/6)</f>
        <v>11.333333333333334</v>
      </c>
      <c r="I222" s="4">
        <f>4*(('01_WHOQOL_Items'!AH222 + '01_WHOQOL_Items'!AI222 + '01_WHOQOL_Items'!AJ222 + '01_WHOQOL_Items'!AN222 + '01_WHOQOL_Items'!AV222 + (6-'01_WHOQOL_Items'!BC222))/6)</f>
        <v>10.666666666666666</v>
      </c>
      <c r="J222" s="4">
        <f t="shared" si="48"/>
        <v>45.833333333333336</v>
      </c>
      <c r="K222" s="4">
        <f t="shared" si="49"/>
        <v>41.666666666666664</v>
      </c>
      <c r="L222" s="5">
        <f t="shared" si="50"/>
        <v>-9.0909090909091009E-2</v>
      </c>
      <c r="M222" s="4">
        <f>4*(('01_WHOQOL_Items'!W222 + '01_WHOQOL_Items'!X222 + '01_WHOQOL_Items'!Y222)/3)</f>
        <v>9.3333333333333339</v>
      </c>
      <c r="N222" s="4">
        <f>4*(('01_WHOQOL_Items'!AW222 + '01_WHOQOL_Items'!AX222 + '01_WHOQOL_Items'!AY222)/3)</f>
        <v>12</v>
      </c>
      <c r="O222" s="4">
        <f t="shared" si="51"/>
        <v>33.333333333333336</v>
      </c>
      <c r="P222" s="4">
        <f t="shared" si="52"/>
        <v>50</v>
      </c>
      <c r="Q222" s="5">
        <f t="shared" si="53"/>
        <v>0.49999999999999989</v>
      </c>
      <c r="R222" s="4">
        <f>4*(('01_WHOQOL_Items'!K222 + '01_WHOQOL_Items'!L222 + '01_WHOQOL_Items'!O222 + '01_WHOQOL_Items'!P222 + '01_WHOQOL_Items'!Q222 + '01_WHOQOL_Items'!Z222 + '01_WHOQOL_Items'!AA222 + '01_WHOQOL_Items'!AB222)/8)</f>
        <v>11.5</v>
      </c>
      <c r="S222" s="4">
        <f>4*(('01_WHOQOL_Items'!AK222 + '01_WHOQOL_Items'!AL222 + '01_WHOQOL_Items'!AO222 + '01_WHOQOL_Items'!AP222 + '01_WHOQOL_Items'!AQ222 + '01_WHOQOL_Items'!AZ222 + '01_WHOQOL_Items'!BA222 + '01_WHOQOL_Items'!BB222)/8)</f>
        <v>14</v>
      </c>
      <c r="T222" s="4">
        <f t="shared" si="54"/>
        <v>46.875</v>
      </c>
      <c r="U222" s="4">
        <f t="shared" si="55"/>
        <v>62.5</v>
      </c>
      <c r="V222" s="5">
        <f t="shared" si="56"/>
        <v>0.33333333333333331</v>
      </c>
      <c r="W222" s="4">
        <f t="shared" si="57"/>
        <v>44.90327380952381</v>
      </c>
      <c r="X222" s="4">
        <f t="shared" si="58"/>
        <v>53.720238095238095</v>
      </c>
      <c r="Y222" s="5">
        <f t="shared" si="59"/>
        <v>0.19635459817729906</v>
      </c>
      <c r="Z222" s="1">
        <f>'01_WHOQOL_Items'!D222</f>
        <v>2</v>
      </c>
      <c r="AA222" s="1">
        <f>'01_WHOQOL_Items'!AD222</f>
        <v>3</v>
      </c>
      <c r="AB222" s="1">
        <f>'01_WHOQOL_Items'!E222</f>
        <v>3</v>
      </c>
      <c r="AC222" s="1">
        <f>'01_WHOQOL_Items'!AE222</f>
        <v>4</v>
      </c>
    </row>
    <row r="223" spans="1:29">
      <c r="A223" s="1" t="str">
        <f>'01_WHOQOL_Items'!A223</f>
        <v>EXP-222</v>
      </c>
      <c r="B223" s="1" t="str">
        <f>'01_WHOQOL_Items'!B223</f>
        <v>Experimental</v>
      </c>
      <c r="C223" s="4">
        <f>4*(((6-'01_WHOQOL_Items'!F223) + (6-'01_WHOQOL_Items'!G223) + '01_WHOQOL_Items'!M223 + '01_WHOQOL_Items'!R223 + '01_WHOQOL_Items'!S223 + '01_WHOQOL_Items'!T223 + '01_WHOQOL_Items'!U223)/7)</f>
        <v>10.857142857142858</v>
      </c>
      <c r="D223" s="4">
        <f>4*(((6-'01_WHOQOL_Items'!AF223) + (6-'01_WHOQOL_Items'!AG223) + '01_WHOQOL_Items'!AM223 + '01_WHOQOL_Items'!AR223 + '01_WHOQOL_Items'!AS223 + '01_WHOQOL_Items'!AT223 + '01_WHOQOL_Items'!AU223)/7)</f>
        <v>13.714285714285714</v>
      </c>
      <c r="E223" s="4">
        <f t="shared" si="45"/>
        <v>42.857142857142861</v>
      </c>
      <c r="F223" s="4">
        <f t="shared" si="46"/>
        <v>60.714285714285708</v>
      </c>
      <c r="G223" s="5">
        <f t="shared" si="47"/>
        <v>0.41666666666666641</v>
      </c>
      <c r="H223" s="4">
        <f>4*(('01_WHOQOL_Items'!H223 + '01_WHOQOL_Items'!I223 + '01_WHOQOL_Items'!J223 + '01_WHOQOL_Items'!N223 + '01_WHOQOL_Items'!V223 + (6-'01_WHOQOL_Items'!AC223))/6)</f>
        <v>14.666666666666666</v>
      </c>
      <c r="I223" s="4">
        <f>4*(('01_WHOQOL_Items'!AH223 + '01_WHOQOL_Items'!AI223 + '01_WHOQOL_Items'!AJ223 + '01_WHOQOL_Items'!AN223 + '01_WHOQOL_Items'!AV223 + (6-'01_WHOQOL_Items'!BC223))/6)</f>
        <v>16.666666666666668</v>
      </c>
      <c r="J223" s="4">
        <f t="shared" si="48"/>
        <v>66.666666666666657</v>
      </c>
      <c r="K223" s="4">
        <f t="shared" si="49"/>
        <v>79.166666666666671</v>
      </c>
      <c r="L223" s="5">
        <f t="shared" si="50"/>
        <v>0.18750000000000025</v>
      </c>
      <c r="M223" s="4">
        <f>4*(('01_WHOQOL_Items'!W223 + '01_WHOQOL_Items'!X223 + '01_WHOQOL_Items'!Y223)/3)</f>
        <v>10.666666666666666</v>
      </c>
      <c r="N223" s="4">
        <f>4*(('01_WHOQOL_Items'!AW223 + '01_WHOQOL_Items'!AX223 + '01_WHOQOL_Items'!AY223)/3)</f>
        <v>12</v>
      </c>
      <c r="O223" s="4">
        <f t="shared" si="51"/>
        <v>41.666666666666664</v>
      </c>
      <c r="P223" s="4">
        <f t="shared" si="52"/>
        <v>50</v>
      </c>
      <c r="Q223" s="5">
        <f t="shared" si="53"/>
        <v>0.20000000000000007</v>
      </c>
      <c r="R223" s="4">
        <f>4*(('01_WHOQOL_Items'!K223 + '01_WHOQOL_Items'!L223 + '01_WHOQOL_Items'!O223 + '01_WHOQOL_Items'!P223 + '01_WHOQOL_Items'!Q223 + '01_WHOQOL_Items'!Z223 + '01_WHOQOL_Items'!AA223 + '01_WHOQOL_Items'!AB223)/8)</f>
        <v>12</v>
      </c>
      <c r="S223" s="4">
        <f>4*(('01_WHOQOL_Items'!AK223 + '01_WHOQOL_Items'!AL223 + '01_WHOQOL_Items'!AO223 + '01_WHOQOL_Items'!AP223 + '01_WHOQOL_Items'!AQ223 + '01_WHOQOL_Items'!AZ223 + '01_WHOQOL_Items'!BA223 + '01_WHOQOL_Items'!BB223)/8)</f>
        <v>12.5</v>
      </c>
      <c r="T223" s="4">
        <f t="shared" si="54"/>
        <v>50</v>
      </c>
      <c r="U223" s="4">
        <f t="shared" si="55"/>
        <v>53.125</v>
      </c>
      <c r="V223" s="5">
        <f t="shared" si="56"/>
        <v>6.25E-2</v>
      </c>
      <c r="W223" s="4">
        <f t="shared" si="57"/>
        <v>50.297619047619044</v>
      </c>
      <c r="X223" s="4">
        <f t="shared" si="58"/>
        <v>60.751488095238095</v>
      </c>
      <c r="Y223" s="5">
        <f t="shared" si="59"/>
        <v>0.20784023668639062</v>
      </c>
      <c r="Z223" s="1">
        <f>'01_WHOQOL_Items'!D223</f>
        <v>4</v>
      </c>
      <c r="AA223" s="1">
        <f>'01_WHOQOL_Items'!AD223</f>
        <v>4</v>
      </c>
      <c r="AB223" s="1">
        <f>'01_WHOQOL_Items'!E223</f>
        <v>3</v>
      </c>
      <c r="AC223" s="1">
        <f>'01_WHOQOL_Items'!AE223</f>
        <v>4</v>
      </c>
    </row>
    <row r="224" spans="1:29">
      <c r="A224" s="1" t="str">
        <f>'01_WHOQOL_Items'!A224</f>
        <v>EXP-223</v>
      </c>
      <c r="B224" s="1" t="str">
        <f>'01_WHOQOL_Items'!B224</f>
        <v>Experimental</v>
      </c>
      <c r="C224" s="4">
        <f>4*(((6-'01_WHOQOL_Items'!F224) + (6-'01_WHOQOL_Items'!G224) + '01_WHOQOL_Items'!M224 + '01_WHOQOL_Items'!R224 + '01_WHOQOL_Items'!S224 + '01_WHOQOL_Items'!T224 + '01_WHOQOL_Items'!U224)/7)</f>
        <v>13.142857142857142</v>
      </c>
      <c r="D224" s="4">
        <f>4*(((6-'01_WHOQOL_Items'!AF224) + (6-'01_WHOQOL_Items'!AG224) + '01_WHOQOL_Items'!AM224 + '01_WHOQOL_Items'!AR224 + '01_WHOQOL_Items'!AS224 + '01_WHOQOL_Items'!AT224 + '01_WHOQOL_Items'!AU224)/7)</f>
        <v>14.285714285714286</v>
      </c>
      <c r="E224" s="4">
        <f t="shared" si="45"/>
        <v>57.142857142857139</v>
      </c>
      <c r="F224" s="4">
        <f t="shared" si="46"/>
        <v>64.285714285714292</v>
      </c>
      <c r="G224" s="5">
        <f t="shared" si="47"/>
        <v>0.12500000000000019</v>
      </c>
      <c r="H224" s="4">
        <f>4*(('01_WHOQOL_Items'!H224 + '01_WHOQOL_Items'!I224 + '01_WHOQOL_Items'!J224 + '01_WHOQOL_Items'!N224 + '01_WHOQOL_Items'!V224 + (6-'01_WHOQOL_Items'!AC224))/6)</f>
        <v>9.3333333333333339</v>
      </c>
      <c r="I224" s="4">
        <f>4*(('01_WHOQOL_Items'!AH224 + '01_WHOQOL_Items'!AI224 + '01_WHOQOL_Items'!AJ224 + '01_WHOQOL_Items'!AN224 + '01_WHOQOL_Items'!AV224 + (6-'01_WHOQOL_Items'!BC224))/6)</f>
        <v>14.666666666666666</v>
      </c>
      <c r="J224" s="4">
        <f t="shared" si="48"/>
        <v>33.333333333333336</v>
      </c>
      <c r="K224" s="4">
        <f t="shared" si="49"/>
        <v>66.666666666666657</v>
      </c>
      <c r="L224" s="5">
        <f t="shared" si="50"/>
        <v>0.99999999999999956</v>
      </c>
      <c r="M224" s="4">
        <f>4*(('01_WHOQOL_Items'!W224 + '01_WHOQOL_Items'!X224 + '01_WHOQOL_Items'!Y224)/3)</f>
        <v>10.666666666666666</v>
      </c>
      <c r="N224" s="4">
        <f>4*(('01_WHOQOL_Items'!AW224 + '01_WHOQOL_Items'!AX224 + '01_WHOQOL_Items'!AY224)/3)</f>
        <v>9.3333333333333339</v>
      </c>
      <c r="O224" s="4">
        <f t="shared" si="51"/>
        <v>41.666666666666664</v>
      </c>
      <c r="P224" s="4">
        <f t="shared" si="52"/>
        <v>33.333333333333336</v>
      </c>
      <c r="Q224" s="5">
        <f t="shared" si="53"/>
        <v>-0.1999999999999999</v>
      </c>
      <c r="R224" s="4">
        <f>4*(('01_WHOQOL_Items'!K224 + '01_WHOQOL_Items'!L224 + '01_WHOQOL_Items'!O224 + '01_WHOQOL_Items'!P224 + '01_WHOQOL_Items'!Q224 + '01_WHOQOL_Items'!Z224 + '01_WHOQOL_Items'!AA224 + '01_WHOQOL_Items'!AB224)/8)</f>
        <v>14</v>
      </c>
      <c r="S224" s="4">
        <f>4*(('01_WHOQOL_Items'!AK224 + '01_WHOQOL_Items'!AL224 + '01_WHOQOL_Items'!AO224 + '01_WHOQOL_Items'!AP224 + '01_WHOQOL_Items'!AQ224 + '01_WHOQOL_Items'!AZ224 + '01_WHOQOL_Items'!BA224 + '01_WHOQOL_Items'!BB224)/8)</f>
        <v>16.5</v>
      </c>
      <c r="T224" s="4">
        <f t="shared" si="54"/>
        <v>62.5</v>
      </c>
      <c r="U224" s="4">
        <f t="shared" si="55"/>
        <v>78.125</v>
      </c>
      <c r="V224" s="5">
        <f t="shared" si="56"/>
        <v>0.25</v>
      </c>
      <c r="W224" s="4">
        <f t="shared" si="57"/>
        <v>48.660714285714285</v>
      </c>
      <c r="X224" s="4">
        <f t="shared" si="58"/>
        <v>60.602678571428577</v>
      </c>
      <c r="Y224" s="5">
        <f t="shared" si="59"/>
        <v>0.24541284403669739</v>
      </c>
      <c r="Z224" s="1">
        <f>'01_WHOQOL_Items'!D224</f>
        <v>3</v>
      </c>
      <c r="AA224" s="1">
        <f>'01_WHOQOL_Items'!AD224</f>
        <v>4</v>
      </c>
      <c r="AB224" s="1">
        <f>'01_WHOQOL_Items'!E224</f>
        <v>3</v>
      </c>
      <c r="AC224" s="1">
        <f>'01_WHOQOL_Items'!AE224</f>
        <v>3</v>
      </c>
    </row>
    <row r="225" spans="1:29">
      <c r="A225" s="1" t="str">
        <f>'01_WHOQOL_Items'!A225</f>
        <v>EXP-224</v>
      </c>
      <c r="B225" s="1" t="str">
        <f>'01_WHOQOL_Items'!B225</f>
        <v>Experimental</v>
      </c>
      <c r="C225" s="4">
        <f>4*(((6-'01_WHOQOL_Items'!F225) + (6-'01_WHOQOL_Items'!G225) + '01_WHOQOL_Items'!M225 + '01_WHOQOL_Items'!R225 + '01_WHOQOL_Items'!S225 + '01_WHOQOL_Items'!T225 + '01_WHOQOL_Items'!U225)/7)</f>
        <v>10.285714285714286</v>
      </c>
      <c r="D225" s="4">
        <f>4*(((6-'01_WHOQOL_Items'!AF225) + (6-'01_WHOQOL_Items'!AG225) + '01_WHOQOL_Items'!AM225 + '01_WHOQOL_Items'!AR225 + '01_WHOQOL_Items'!AS225 + '01_WHOQOL_Items'!AT225 + '01_WHOQOL_Items'!AU225)/7)</f>
        <v>9.1428571428571423</v>
      </c>
      <c r="E225" s="4">
        <f t="shared" si="45"/>
        <v>39.285714285714292</v>
      </c>
      <c r="F225" s="4">
        <f t="shared" si="46"/>
        <v>32.142857142857139</v>
      </c>
      <c r="G225" s="5">
        <f t="shared" si="47"/>
        <v>-0.18181818181818205</v>
      </c>
      <c r="H225" s="4">
        <f>4*(('01_WHOQOL_Items'!H225 + '01_WHOQOL_Items'!I225 + '01_WHOQOL_Items'!J225 + '01_WHOQOL_Items'!N225 + '01_WHOQOL_Items'!V225 + (6-'01_WHOQOL_Items'!AC225))/6)</f>
        <v>10.666666666666666</v>
      </c>
      <c r="I225" s="4">
        <f>4*(('01_WHOQOL_Items'!AH225 + '01_WHOQOL_Items'!AI225 + '01_WHOQOL_Items'!AJ225 + '01_WHOQOL_Items'!AN225 + '01_WHOQOL_Items'!AV225 + (6-'01_WHOQOL_Items'!BC225))/6)</f>
        <v>14.666666666666666</v>
      </c>
      <c r="J225" s="4">
        <f t="shared" si="48"/>
        <v>41.666666666666664</v>
      </c>
      <c r="K225" s="4">
        <f t="shared" si="49"/>
        <v>66.666666666666657</v>
      </c>
      <c r="L225" s="5">
        <f t="shared" si="50"/>
        <v>0.59999999999999987</v>
      </c>
      <c r="M225" s="4">
        <f>4*(('01_WHOQOL_Items'!W225 + '01_WHOQOL_Items'!X225 + '01_WHOQOL_Items'!Y225)/3)</f>
        <v>9.3333333333333339</v>
      </c>
      <c r="N225" s="4">
        <f>4*(('01_WHOQOL_Items'!AW225 + '01_WHOQOL_Items'!AX225 + '01_WHOQOL_Items'!AY225)/3)</f>
        <v>14.666666666666666</v>
      </c>
      <c r="O225" s="4">
        <f t="shared" si="51"/>
        <v>33.333333333333336</v>
      </c>
      <c r="P225" s="4">
        <f t="shared" si="52"/>
        <v>66.666666666666657</v>
      </c>
      <c r="Q225" s="5">
        <f t="shared" si="53"/>
        <v>0.99999999999999956</v>
      </c>
      <c r="R225" s="4">
        <f>4*(('01_WHOQOL_Items'!K225 + '01_WHOQOL_Items'!L225 + '01_WHOQOL_Items'!O225 + '01_WHOQOL_Items'!P225 + '01_WHOQOL_Items'!Q225 + '01_WHOQOL_Items'!Z225 + '01_WHOQOL_Items'!AA225 + '01_WHOQOL_Items'!AB225)/8)</f>
        <v>12</v>
      </c>
      <c r="S225" s="4">
        <f>4*(('01_WHOQOL_Items'!AK225 + '01_WHOQOL_Items'!AL225 + '01_WHOQOL_Items'!AO225 + '01_WHOQOL_Items'!AP225 + '01_WHOQOL_Items'!AQ225 + '01_WHOQOL_Items'!AZ225 + '01_WHOQOL_Items'!BA225 + '01_WHOQOL_Items'!BB225)/8)</f>
        <v>13</v>
      </c>
      <c r="T225" s="4">
        <f t="shared" si="54"/>
        <v>50</v>
      </c>
      <c r="U225" s="4">
        <f t="shared" si="55"/>
        <v>56.25</v>
      </c>
      <c r="V225" s="5">
        <f t="shared" si="56"/>
        <v>0.125</v>
      </c>
      <c r="W225" s="4">
        <f t="shared" si="57"/>
        <v>41.071428571428577</v>
      </c>
      <c r="X225" s="4">
        <f t="shared" si="58"/>
        <v>55.431547619047613</v>
      </c>
      <c r="Y225" s="5">
        <f t="shared" si="59"/>
        <v>0.34963768115942001</v>
      </c>
      <c r="Z225" s="1">
        <f>'01_WHOQOL_Items'!D225</f>
        <v>2</v>
      </c>
      <c r="AA225" s="1">
        <f>'01_WHOQOL_Items'!AD225</f>
        <v>4</v>
      </c>
      <c r="AB225" s="1">
        <f>'01_WHOQOL_Items'!E225</f>
        <v>3</v>
      </c>
      <c r="AC225" s="1">
        <f>'01_WHOQOL_Items'!AE225</f>
        <v>2</v>
      </c>
    </row>
    <row r="226" spans="1:29">
      <c r="A226" s="1" t="str">
        <f>'01_WHOQOL_Items'!A226</f>
        <v>EXP-225</v>
      </c>
      <c r="B226" s="1" t="str">
        <f>'01_WHOQOL_Items'!B226</f>
        <v>Experimental</v>
      </c>
      <c r="C226" s="4">
        <f>4*(((6-'01_WHOQOL_Items'!F226) + (6-'01_WHOQOL_Items'!G226) + '01_WHOQOL_Items'!M226 + '01_WHOQOL_Items'!R226 + '01_WHOQOL_Items'!S226 + '01_WHOQOL_Items'!T226 + '01_WHOQOL_Items'!U226)/7)</f>
        <v>14.285714285714286</v>
      </c>
      <c r="D226" s="4">
        <f>4*(((6-'01_WHOQOL_Items'!AF226) + (6-'01_WHOQOL_Items'!AG226) + '01_WHOQOL_Items'!AM226 + '01_WHOQOL_Items'!AR226 + '01_WHOQOL_Items'!AS226 + '01_WHOQOL_Items'!AT226 + '01_WHOQOL_Items'!AU226)/7)</f>
        <v>15.428571428571429</v>
      </c>
      <c r="E226" s="4">
        <f t="shared" si="45"/>
        <v>64.285714285714292</v>
      </c>
      <c r="F226" s="4">
        <f t="shared" si="46"/>
        <v>71.428571428571431</v>
      </c>
      <c r="G226" s="5">
        <f t="shared" si="47"/>
        <v>0.11111111111111104</v>
      </c>
      <c r="H226" s="4">
        <f>4*(('01_WHOQOL_Items'!H226 + '01_WHOQOL_Items'!I226 + '01_WHOQOL_Items'!J226 + '01_WHOQOL_Items'!N226 + '01_WHOQOL_Items'!V226 + (6-'01_WHOQOL_Items'!AC226))/6)</f>
        <v>14.666666666666666</v>
      </c>
      <c r="I226" s="4">
        <f>4*(('01_WHOQOL_Items'!AH226 + '01_WHOQOL_Items'!AI226 + '01_WHOQOL_Items'!AJ226 + '01_WHOQOL_Items'!AN226 + '01_WHOQOL_Items'!AV226 + (6-'01_WHOQOL_Items'!BC226))/6)</f>
        <v>14.666666666666666</v>
      </c>
      <c r="J226" s="4">
        <f t="shared" si="48"/>
        <v>66.666666666666657</v>
      </c>
      <c r="K226" s="4">
        <f t="shared" si="49"/>
        <v>66.666666666666657</v>
      </c>
      <c r="L226" s="5">
        <f t="shared" si="50"/>
        <v>0</v>
      </c>
      <c r="M226" s="4">
        <f>4*(('01_WHOQOL_Items'!W226 + '01_WHOQOL_Items'!X226 + '01_WHOQOL_Items'!Y226)/3)</f>
        <v>14.666666666666666</v>
      </c>
      <c r="N226" s="4">
        <f>4*(('01_WHOQOL_Items'!AW226 + '01_WHOQOL_Items'!AX226 + '01_WHOQOL_Items'!AY226)/3)</f>
        <v>14.666666666666666</v>
      </c>
      <c r="O226" s="4">
        <f t="shared" si="51"/>
        <v>66.666666666666657</v>
      </c>
      <c r="P226" s="4">
        <f t="shared" si="52"/>
        <v>66.666666666666657</v>
      </c>
      <c r="Q226" s="5">
        <f t="shared" si="53"/>
        <v>0</v>
      </c>
      <c r="R226" s="4">
        <f>4*(('01_WHOQOL_Items'!K226 + '01_WHOQOL_Items'!L226 + '01_WHOQOL_Items'!O226 + '01_WHOQOL_Items'!P226 + '01_WHOQOL_Items'!Q226 + '01_WHOQOL_Items'!Z226 + '01_WHOQOL_Items'!AA226 + '01_WHOQOL_Items'!AB226)/8)</f>
        <v>13</v>
      </c>
      <c r="S226" s="4">
        <f>4*(('01_WHOQOL_Items'!AK226 + '01_WHOQOL_Items'!AL226 + '01_WHOQOL_Items'!AO226 + '01_WHOQOL_Items'!AP226 + '01_WHOQOL_Items'!AQ226 + '01_WHOQOL_Items'!AZ226 + '01_WHOQOL_Items'!BA226 + '01_WHOQOL_Items'!BB226)/8)</f>
        <v>15.5</v>
      </c>
      <c r="T226" s="4">
        <f t="shared" si="54"/>
        <v>56.25</v>
      </c>
      <c r="U226" s="4">
        <f t="shared" si="55"/>
        <v>71.875</v>
      </c>
      <c r="V226" s="5">
        <f t="shared" si="56"/>
        <v>0.27777777777777779</v>
      </c>
      <c r="W226" s="4">
        <f t="shared" si="57"/>
        <v>63.467261904761905</v>
      </c>
      <c r="X226" s="4">
        <f t="shared" si="58"/>
        <v>69.159226190476176</v>
      </c>
      <c r="Y226" s="5">
        <f t="shared" si="59"/>
        <v>8.9683470105509727E-2</v>
      </c>
      <c r="Z226" s="1">
        <f>'01_WHOQOL_Items'!D226</f>
        <v>4</v>
      </c>
      <c r="AA226" s="1">
        <f>'01_WHOQOL_Items'!AD226</f>
        <v>4</v>
      </c>
      <c r="AB226" s="1">
        <f>'01_WHOQOL_Items'!E226</f>
        <v>4</v>
      </c>
      <c r="AC226" s="1">
        <f>'01_WHOQOL_Items'!AE226</f>
        <v>4</v>
      </c>
    </row>
    <row r="227" spans="1:29">
      <c r="A227" s="1" t="str">
        <f>'01_WHOQOL_Items'!A227</f>
        <v>EXP-226</v>
      </c>
      <c r="B227" s="1" t="str">
        <f>'01_WHOQOL_Items'!B227</f>
        <v>Experimental</v>
      </c>
      <c r="C227" s="4">
        <f>4*(((6-'01_WHOQOL_Items'!F227) + (6-'01_WHOQOL_Items'!G227) + '01_WHOQOL_Items'!M227 + '01_WHOQOL_Items'!R227 + '01_WHOQOL_Items'!S227 + '01_WHOQOL_Items'!T227 + '01_WHOQOL_Items'!U227)/7)</f>
        <v>14.285714285714286</v>
      </c>
      <c r="D227" s="4">
        <f>4*(((6-'01_WHOQOL_Items'!AF227) + (6-'01_WHOQOL_Items'!AG227) + '01_WHOQOL_Items'!AM227 + '01_WHOQOL_Items'!AR227 + '01_WHOQOL_Items'!AS227 + '01_WHOQOL_Items'!AT227 + '01_WHOQOL_Items'!AU227)/7)</f>
        <v>13.714285714285714</v>
      </c>
      <c r="E227" s="4">
        <f t="shared" si="45"/>
        <v>64.285714285714292</v>
      </c>
      <c r="F227" s="4">
        <f t="shared" si="46"/>
        <v>60.714285714285708</v>
      </c>
      <c r="G227" s="5">
        <f t="shared" si="47"/>
        <v>-5.555555555555574E-2</v>
      </c>
      <c r="H227" s="4">
        <f>4*(('01_WHOQOL_Items'!H227 + '01_WHOQOL_Items'!I227 + '01_WHOQOL_Items'!J227 + '01_WHOQOL_Items'!N227 + '01_WHOQOL_Items'!V227 + (6-'01_WHOQOL_Items'!AC227))/6)</f>
        <v>12</v>
      </c>
      <c r="I227" s="4">
        <f>4*(('01_WHOQOL_Items'!AH227 + '01_WHOQOL_Items'!AI227 + '01_WHOQOL_Items'!AJ227 + '01_WHOQOL_Items'!AN227 + '01_WHOQOL_Items'!AV227 + (6-'01_WHOQOL_Items'!BC227))/6)</f>
        <v>13.333333333333334</v>
      </c>
      <c r="J227" s="4">
        <f t="shared" si="48"/>
        <v>50</v>
      </c>
      <c r="K227" s="4">
        <f t="shared" si="49"/>
        <v>58.333333333333336</v>
      </c>
      <c r="L227" s="5">
        <f t="shared" si="50"/>
        <v>0.16666666666666671</v>
      </c>
      <c r="M227" s="4">
        <f>4*(('01_WHOQOL_Items'!W227 + '01_WHOQOL_Items'!X227 + '01_WHOQOL_Items'!Y227)/3)</f>
        <v>10.666666666666666</v>
      </c>
      <c r="N227" s="4">
        <f>4*(('01_WHOQOL_Items'!AW227 + '01_WHOQOL_Items'!AX227 + '01_WHOQOL_Items'!AY227)/3)</f>
        <v>12</v>
      </c>
      <c r="O227" s="4">
        <f t="shared" si="51"/>
        <v>41.666666666666664</v>
      </c>
      <c r="P227" s="4">
        <f t="shared" si="52"/>
        <v>50</v>
      </c>
      <c r="Q227" s="5">
        <f t="shared" si="53"/>
        <v>0.20000000000000007</v>
      </c>
      <c r="R227" s="4">
        <f>4*(('01_WHOQOL_Items'!K227 + '01_WHOQOL_Items'!L227 + '01_WHOQOL_Items'!O227 + '01_WHOQOL_Items'!P227 + '01_WHOQOL_Items'!Q227 + '01_WHOQOL_Items'!Z227 + '01_WHOQOL_Items'!AA227 + '01_WHOQOL_Items'!AB227)/8)</f>
        <v>16</v>
      </c>
      <c r="S227" s="4">
        <f>4*(('01_WHOQOL_Items'!AK227 + '01_WHOQOL_Items'!AL227 + '01_WHOQOL_Items'!AO227 + '01_WHOQOL_Items'!AP227 + '01_WHOQOL_Items'!AQ227 + '01_WHOQOL_Items'!AZ227 + '01_WHOQOL_Items'!BA227 + '01_WHOQOL_Items'!BB227)/8)</f>
        <v>17.5</v>
      </c>
      <c r="T227" s="4">
        <f t="shared" si="54"/>
        <v>75</v>
      </c>
      <c r="U227" s="4">
        <f t="shared" si="55"/>
        <v>84.375</v>
      </c>
      <c r="V227" s="5">
        <f t="shared" si="56"/>
        <v>0.125</v>
      </c>
      <c r="W227" s="4">
        <f t="shared" si="57"/>
        <v>57.738095238095241</v>
      </c>
      <c r="X227" s="4">
        <f t="shared" si="58"/>
        <v>63.355654761904759</v>
      </c>
      <c r="Y227" s="5">
        <f t="shared" si="59"/>
        <v>9.7293814432989595E-2</v>
      </c>
      <c r="Z227" s="1">
        <f>'01_WHOQOL_Items'!D227</f>
        <v>3</v>
      </c>
      <c r="AA227" s="1">
        <f>'01_WHOQOL_Items'!AD227</f>
        <v>3</v>
      </c>
      <c r="AB227" s="1">
        <f>'01_WHOQOL_Items'!E227</f>
        <v>3</v>
      </c>
      <c r="AC227" s="1">
        <f>'01_WHOQOL_Items'!AE227</f>
        <v>3</v>
      </c>
    </row>
    <row r="228" spans="1:29">
      <c r="A228" s="1" t="str">
        <f>'01_WHOQOL_Items'!A228</f>
        <v>EXP-227</v>
      </c>
      <c r="B228" s="1" t="str">
        <f>'01_WHOQOL_Items'!B228</f>
        <v>Experimental</v>
      </c>
      <c r="C228" s="4">
        <f>4*(((6-'01_WHOQOL_Items'!F228) + (6-'01_WHOQOL_Items'!G228) + '01_WHOQOL_Items'!M228 + '01_WHOQOL_Items'!R228 + '01_WHOQOL_Items'!S228 + '01_WHOQOL_Items'!T228 + '01_WHOQOL_Items'!U228)/7)</f>
        <v>16.571428571428573</v>
      </c>
      <c r="D228" s="4">
        <f>4*(((6-'01_WHOQOL_Items'!AF228) + (6-'01_WHOQOL_Items'!AG228) + '01_WHOQOL_Items'!AM228 + '01_WHOQOL_Items'!AR228 + '01_WHOQOL_Items'!AS228 + '01_WHOQOL_Items'!AT228 + '01_WHOQOL_Items'!AU228)/7)</f>
        <v>17.714285714285715</v>
      </c>
      <c r="E228" s="4">
        <f t="shared" si="45"/>
        <v>78.571428571428584</v>
      </c>
      <c r="F228" s="4">
        <f t="shared" si="46"/>
        <v>85.714285714285722</v>
      </c>
      <c r="G228" s="5">
        <f t="shared" si="47"/>
        <v>9.0909090909090842E-2</v>
      </c>
      <c r="H228" s="4">
        <f>4*(('01_WHOQOL_Items'!H228 + '01_WHOQOL_Items'!I228 + '01_WHOQOL_Items'!J228 + '01_WHOQOL_Items'!N228 + '01_WHOQOL_Items'!V228 + (6-'01_WHOQOL_Items'!AC228))/6)</f>
        <v>13.333333333333334</v>
      </c>
      <c r="I228" s="4">
        <f>4*(('01_WHOQOL_Items'!AH228 + '01_WHOQOL_Items'!AI228 + '01_WHOQOL_Items'!AJ228 + '01_WHOQOL_Items'!AN228 + '01_WHOQOL_Items'!AV228 + (6-'01_WHOQOL_Items'!BC228))/6)</f>
        <v>16</v>
      </c>
      <c r="J228" s="4">
        <f t="shared" si="48"/>
        <v>58.333333333333336</v>
      </c>
      <c r="K228" s="4">
        <f t="shared" si="49"/>
        <v>75</v>
      </c>
      <c r="L228" s="5">
        <f t="shared" si="50"/>
        <v>0.28571428571428564</v>
      </c>
      <c r="M228" s="4">
        <f>4*(('01_WHOQOL_Items'!W228 + '01_WHOQOL_Items'!X228 + '01_WHOQOL_Items'!Y228)/3)</f>
        <v>13.333333333333334</v>
      </c>
      <c r="N228" s="4">
        <f>4*(('01_WHOQOL_Items'!AW228 + '01_WHOQOL_Items'!AX228 + '01_WHOQOL_Items'!AY228)/3)</f>
        <v>16</v>
      </c>
      <c r="O228" s="4">
        <f t="shared" si="51"/>
        <v>58.333333333333336</v>
      </c>
      <c r="P228" s="4">
        <f t="shared" si="52"/>
        <v>75</v>
      </c>
      <c r="Q228" s="5">
        <f t="shared" si="53"/>
        <v>0.28571428571428564</v>
      </c>
      <c r="R228" s="4">
        <f>4*(('01_WHOQOL_Items'!K228 + '01_WHOQOL_Items'!L228 + '01_WHOQOL_Items'!O228 + '01_WHOQOL_Items'!P228 + '01_WHOQOL_Items'!Q228 + '01_WHOQOL_Items'!Z228 + '01_WHOQOL_Items'!AA228 + '01_WHOQOL_Items'!AB228)/8)</f>
        <v>10</v>
      </c>
      <c r="S228" s="4">
        <f>4*(('01_WHOQOL_Items'!AK228 + '01_WHOQOL_Items'!AL228 + '01_WHOQOL_Items'!AO228 + '01_WHOQOL_Items'!AP228 + '01_WHOQOL_Items'!AQ228 + '01_WHOQOL_Items'!AZ228 + '01_WHOQOL_Items'!BA228 + '01_WHOQOL_Items'!BB228)/8)</f>
        <v>14</v>
      </c>
      <c r="T228" s="4">
        <f t="shared" si="54"/>
        <v>37.5</v>
      </c>
      <c r="U228" s="4">
        <f t="shared" si="55"/>
        <v>62.5</v>
      </c>
      <c r="V228" s="5">
        <f t="shared" si="56"/>
        <v>0.66666666666666663</v>
      </c>
      <c r="W228" s="4">
        <f t="shared" si="57"/>
        <v>58.184523809523817</v>
      </c>
      <c r="X228" s="4">
        <f t="shared" si="58"/>
        <v>74.553571428571431</v>
      </c>
      <c r="Y228" s="5">
        <f t="shared" si="59"/>
        <v>0.28132992327365713</v>
      </c>
      <c r="Z228" s="1">
        <f>'01_WHOQOL_Items'!D228</f>
        <v>4</v>
      </c>
      <c r="AA228" s="1">
        <f>'01_WHOQOL_Items'!AD228</f>
        <v>4</v>
      </c>
      <c r="AB228" s="1">
        <f>'01_WHOQOL_Items'!E228</f>
        <v>4</v>
      </c>
      <c r="AC228" s="1">
        <f>'01_WHOQOL_Items'!AE228</f>
        <v>3</v>
      </c>
    </row>
    <row r="229" spans="1:29">
      <c r="A229" s="1" t="str">
        <f>'01_WHOQOL_Items'!A229</f>
        <v>EXP-228</v>
      </c>
      <c r="B229" s="1" t="str">
        <f>'01_WHOQOL_Items'!B229</f>
        <v>Experimental</v>
      </c>
      <c r="C229" s="4">
        <f>4*(((6-'01_WHOQOL_Items'!F229) + (6-'01_WHOQOL_Items'!G229) + '01_WHOQOL_Items'!M229 + '01_WHOQOL_Items'!R229 + '01_WHOQOL_Items'!S229 + '01_WHOQOL_Items'!T229 + '01_WHOQOL_Items'!U229)/7)</f>
        <v>13.714285714285714</v>
      </c>
      <c r="D229" s="4">
        <f>4*(((6-'01_WHOQOL_Items'!AF229) + (6-'01_WHOQOL_Items'!AG229) + '01_WHOQOL_Items'!AM229 + '01_WHOQOL_Items'!AR229 + '01_WHOQOL_Items'!AS229 + '01_WHOQOL_Items'!AT229 + '01_WHOQOL_Items'!AU229)/7)</f>
        <v>14.285714285714286</v>
      </c>
      <c r="E229" s="4">
        <f t="shared" si="45"/>
        <v>60.714285714285708</v>
      </c>
      <c r="F229" s="4">
        <f t="shared" si="46"/>
        <v>64.285714285714292</v>
      </c>
      <c r="G229" s="5">
        <f t="shared" si="47"/>
        <v>5.8823529411764913E-2</v>
      </c>
      <c r="H229" s="4">
        <f>4*(('01_WHOQOL_Items'!H229 + '01_WHOQOL_Items'!I229 + '01_WHOQOL_Items'!J229 + '01_WHOQOL_Items'!N229 + '01_WHOQOL_Items'!V229 + (6-'01_WHOQOL_Items'!AC229))/6)</f>
        <v>10.666666666666666</v>
      </c>
      <c r="I229" s="4">
        <f>4*(('01_WHOQOL_Items'!AH229 + '01_WHOQOL_Items'!AI229 + '01_WHOQOL_Items'!AJ229 + '01_WHOQOL_Items'!AN229 + '01_WHOQOL_Items'!AV229 + (6-'01_WHOQOL_Items'!BC229))/6)</f>
        <v>14.666666666666666</v>
      </c>
      <c r="J229" s="4">
        <f t="shared" si="48"/>
        <v>41.666666666666664</v>
      </c>
      <c r="K229" s="4">
        <f t="shared" si="49"/>
        <v>66.666666666666657</v>
      </c>
      <c r="L229" s="5">
        <f t="shared" si="50"/>
        <v>0.59999999999999987</v>
      </c>
      <c r="M229" s="4">
        <f>4*(('01_WHOQOL_Items'!W229 + '01_WHOQOL_Items'!X229 + '01_WHOQOL_Items'!Y229)/3)</f>
        <v>13.333333333333334</v>
      </c>
      <c r="N229" s="4">
        <f>4*(('01_WHOQOL_Items'!AW229 + '01_WHOQOL_Items'!AX229 + '01_WHOQOL_Items'!AY229)/3)</f>
        <v>17.333333333333332</v>
      </c>
      <c r="O229" s="4">
        <f t="shared" si="51"/>
        <v>58.333333333333336</v>
      </c>
      <c r="P229" s="4">
        <f t="shared" si="52"/>
        <v>83.333333333333329</v>
      </c>
      <c r="Q229" s="5">
        <f t="shared" si="53"/>
        <v>0.42857142857142844</v>
      </c>
      <c r="R229" s="4">
        <f>4*(('01_WHOQOL_Items'!K229 + '01_WHOQOL_Items'!L229 + '01_WHOQOL_Items'!O229 + '01_WHOQOL_Items'!P229 + '01_WHOQOL_Items'!Q229 + '01_WHOQOL_Items'!Z229 + '01_WHOQOL_Items'!AA229 + '01_WHOQOL_Items'!AB229)/8)</f>
        <v>13.5</v>
      </c>
      <c r="S229" s="4">
        <f>4*(('01_WHOQOL_Items'!AK229 + '01_WHOQOL_Items'!AL229 + '01_WHOQOL_Items'!AO229 + '01_WHOQOL_Items'!AP229 + '01_WHOQOL_Items'!AQ229 + '01_WHOQOL_Items'!AZ229 + '01_WHOQOL_Items'!BA229 + '01_WHOQOL_Items'!BB229)/8)</f>
        <v>15.5</v>
      </c>
      <c r="T229" s="4">
        <f t="shared" si="54"/>
        <v>59.375</v>
      </c>
      <c r="U229" s="4">
        <f t="shared" si="55"/>
        <v>71.875</v>
      </c>
      <c r="V229" s="5">
        <f t="shared" si="56"/>
        <v>0.21052631578947367</v>
      </c>
      <c r="W229" s="4">
        <f t="shared" si="57"/>
        <v>55.022321428571431</v>
      </c>
      <c r="X229" s="4">
        <f t="shared" si="58"/>
        <v>71.540178571428569</v>
      </c>
      <c r="Y229" s="5">
        <f t="shared" si="59"/>
        <v>0.30020283975659223</v>
      </c>
      <c r="Z229" s="1">
        <f>'01_WHOQOL_Items'!D229</f>
        <v>4</v>
      </c>
      <c r="AA229" s="1">
        <f>'01_WHOQOL_Items'!AD229</f>
        <v>4</v>
      </c>
      <c r="AB229" s="1">
        <f>'01_WHOQOL_Items'!E229</f>
        <v>3</v>
      </c>
      <c r="AC229" s="1">
        <f>'01_WHOQOL_Items'!AE229</f>
        <v>3</v>
      </c>
    </row>
    <row r="230" spans="1:29">
      <c r="A230" s="1" t="str">
        <f>'01_WHOQOL_Items'!A230</f>
        <v>EXP-229</v>
      </c>
      <c r="B230" s="1" t="str">
        <f>'01_WHOQOL_Items'!B230</f>
        <v>Experimental</v>
      </c>
      <c r="C230" s="4">
        <f>4*(((6-'01_WHOQOL_Items'!F230) + (6-'01_WHOQOL_Items'!G230) + '01_WHOQOL_Items'!M230 + '01_WHOQOL_Items'!R230 + '01_WHOQOL_Items'!S230 + '01_WHOQOL_Items'!T230 + '01_WHOQOL_Items'!U230)/7)</f>
        <v>13.714285714285714</v>
      </c>
      <c r="D230" s="4">
        <f>4*(((6-'01_WHOQOL_Items'!AF230) + (6-'01_WHOQOL_Items'!AG230) + '01_WHOQOL_Items'!AM230 + '01_WHOQOL_Items'!AR230 + '01_WHOQOL_Items'!AS230 + '01_WHOQOL_Items'!AT230 + '01_WHOQOL_Items'!AU230)/7)</f>
        <v>14.285714285714286</v>
      </c>
      <c r="E230" s="4">
        <f t="shared" si="45"/>
        <v>60.714285714285708</v>
      </c>
      <c r="F230" s="4">
        <f t="shared" si="46"/>
        <v>64.285714285714292</v>
      </c>
      <c r="G230" s="5">
        <f t="shared" si="47"/>
        <v>5.8823529411764913E-2</v>
      </c>
      <c r="H230" s="4">
        <f>4*(('01_WHOQOL_Items'!H230 + '01_WHOQOL_Items'!I230 + '01_WHOQOL_Items'!J230 + '01_WHOQOL_Items'!N230 + '01_WHOQOL_Items'!V230 + (6-'01_WHOQOL_Items'!AC230))/6)</f>
        <v>15.333333333333334</v>
      </c>
      <c r="I230" s="4">
        <f>4*(('01_WHOQOL_Items'!AH230 + '01_WHOQOL_Items'!AI230 + '01_WHOQOL_Items'!AJ230 + '01_WHOQOL_Items'!AN230 + '01_WHOQOL_Items'!AV230 + (6-'01_WHOQOL_Items'!BC230))/6)</f>
        <v>18.666666666666668</v>
      </c>
      <c r="J230" s="4">
        <f t="shared" si="48"/>
        <v>70.833333333333343</v>
      </c>
      <c r="K230" s="4">
        <f t="shared" si="49"/>
        <v>91.666666666666671</v>
      </c>
      <c r="L230" s="5">
        <f t="shared" si="50"/>
        <v>0.29411764705882343</v>
      </c>
      <c r="M230" s="4">
        <f>4*(('01_WHOQOL_Items'!W230 + '01_WHOQOL_Items'!X230 + '01_WHOQOL_Items'!Y230)/3)</f>
        <v>9.3333333333333339</v>
      </c>
      <c r="N230" s="4">
        <f>4*(('01_WHOQOL_Items'!AW230 + '01_WHOQOL_Items'!AX230 + '01_WHOQOL_Items'!AY230)/3)</f>
        <v>10.666666666666666</v>
      </c>
      <c r="O230" s="4">
        <f t="shared" si="51"/>
        <v>33.333333333333336</v>
      </c>
      <c r="P230" s="4">
        <f t="shared" si="52"/>
        <v>41.666666666666664</v>
      </c>
      <c r="Q230" s="5">
        <f t="shared" si="53"/>
        <v>0.24999999999999983</v>
      </c>
      <c r="R230" s="4">
        <f>4*(('01_WHOQOL_Items'!K230 + '01_WHOQOL_Items'!L230 + '01_WHOQOL_Items'!O230 + '01_WHOQOL_Items'!P230 + '01_WHOQOL_Items'!Q230 + '01_WHOQOL_Items'!Z230 + '01_WHOQOL_Items'!AA230 + '01_WHOQOL_Items'!AB230)/8)</f>
        <v>16</v>
      </c>
      <c r="S230" s="4">
        <f>4*(('01_WHOQOL_Items'!AK230 + '01_WHOQOL_Items'!AL230 + '01_WHOQOL_Items'!AO230 + '01_WHOQOL_Items'!AP230 + '01_WHOQOL_Items'!AQ230 + '01_WHOQOL_Items'!AZ230 + '01_WHOQOL_Items'!BA230 + '01_WHOQOL_Items'!BB230)/8)</f>
        <v>17</v>
      </c>
      <c r="T230" s="4">
        <f t="shared" si="54"/>
        <v>75</v>
      </c>
      <c r="U230" s="4">
        <f t="shared" si="55"/>
        <v>81.25</v>
      </c>
      <c r="V230" s="5">
        <f t="shared" si="56"/>
        <v>8.3333333333333329E-2</v>
      </c>
      <c r="W230" s="4">
        <f t="shared" si="57"/>
        <v>59.970238095238095</v>
      </c>
      <c r="X230" s="4">
        <f t="shared" si="58"/>
        <v>69.717261904761898</v>
      </c>
      <c r="Y230" s="5">
        <f t="shared" si="59"/>
        <v>0.16253101736972694</v>
      </c>
      <c r="Z230" s="1">
        <f>'01_WHOQOL_Items'!D230</f>
        <v>4</v>
      </c>
      <c r="AA230" s="1">
        <f>'01_WHOQOL_Items'!AD230</f>
        <v>4</v>
      </c>
      <c r="AB230" s="1">
        <f>'01_WHOQOL_Items'!E230</f>
        <v>4</v>
      </c>
      <c r="AC230" s="1">
        <f>'01_WHOQOL_Items'!AE230</f>
        <v>4</v>
      </c>
    </row>
    <row r="231" spans="1:29">
      <c r="A231" s="1" t="str">
        <f>'01_WHOQOL_Items'!A231</f>
        <v>EXP-230</v>
      </c>
      <c r="B231" s="1" t="str">
        <f>'01_WHOQOL_Items'!B231</f>
        <v>Experimental</v>
      </c>
      <c r="C231" s="4">
        <f>4*(((6-'01_WHOQOL_Items'!F231) + (6-'01_WHOQOL_Items'!G231) + '01_WHOQOL_Items'!M231 + '01_WHOQOL_Items'!R231 + '01_WHOQOL_Items'!S231 + '01_WHOQOL_Items'!T231 + '01_WHOQOL_Items'!U231)/7)</f>
        <v>13.142857142857142</v>
      </c>
      <c r="D231" s="4">
        <f>4*(((6-'01_WHOQOL_Items'!AF231) + (6-'01_WHOQOL_Items'!AG231) + '01_WHOQOL_Items'!AM231 + '01_WHOQOL_Items'!AR231 + '01_WHOQOL_Items'!AS231 + '01_WHOQOL_Items'!AT231 + '01_WHOQOL_Items'!AU231)/7)</f>
        <v>12</v>
      </c>
      <c r="E231" s="4">
        <f t="shared" si="45"/>
        <v>57.142857142857139</v>
      </c>
      <c r="F231" s="4">
        <f t="shared" si="46"/>
        <v>50</v>
      </c>
      <c r="G231" s="5">
        <f t="shared" si="47"/>
        <v>-0.12499999999999994</v>
      </c>
      <c r="H231" s="4">
        <f>4*(('01_WHOQOL_Items'!H231 + '01_WHOQOL_Items'!I231 + '01_WHOQOL_Items'!J231 + '01_WHOQOL_Items'!N231 + '01_WHOQOL_Items'!V231 + (6-'01_WHOQOL_Items'!AC231))/6)</f>
        <v>7.333333333333333</v>
      </c>
      <c r="I231" s="4">
        <f>4*(('01_WHOQOL_Items'!AH231 + '01_WHOQOL_Items'!AI231 + '01_WHOQOL_Items'!AJ231 + '01_WHOQOL_Items'!AN231 + '01_WHOQOL_Items'!AV231 + (6-'01_WHOQOL_Items'!BC231))/6)</f>
        <v>10</v>
      </c>
      <c r="J231" s="4">
        <f t="shared" si="48"/>
        <v>20.833333333333332</v>
      </c>
      <c r="K231" s="4">
        <f t="shared" si="49"/>
        <v>37.5</v>
      </c>
      <c r="L231" s="5">
        <f t="shared" si="50"/>
        <v>0.80000000000000016</v>
      </c>
      <c r="M231" s="4">
        <f>4*(('01_WHOQOL_Items'!W231 + '01_WHOQOL_Items'!X231 + '01_WHOQOL_Items'!Y231)/3)</f>
        <v>6.666666666666667</v>
      </c>
      <c r="N231" s="4">
        <f>4*(('01_WHOQOL_Items'!AW231 + '01_WHOQOL_Items'!AX231 + '01_WHOQOL_Items'!AY231)/3)</f>
        <v>13.333333333333334</v>
      </c>
      <c r="O231" s="4">
        <f t="shared" si="51"/>
        <v>16.666666666666668</v>
      </c>
      <c r="P231" s="4">
        <f t="shared" si="52"/>
        <v>58.333333333333336</v>
      </c>
      <c r="Q231" s="5">
        <f t="shared" si="53"/>
        <v>2.5</v>
      </c>
      <c r="R231" s="4">
        <f>4*(('01_WHOQOL_Items'!K231 + '01_WHOQOL_Items'!L231 + '01_WHOQOL_Items'!O231 + '01_WHOQOL_Items'!P231 + '01_WHOQOL_Items'!Q231 + '01_WHOQOL_Items'!Z231 + '01_WHOQOL_Items'!AA231 + '01_WHOQOL_Items'!AB231)/8)</f>
        <v>12.5</v>
      </c>
      <c r="S231" s="4">
        <f>4*(('01_WHOQOL_Items'!AK231 + '01_WHOQOL_Items'!AL231 + '01_WHOQOL_Items'!AO231 + '01_WHOQOL_Items'!AP231 + '01_WHOQOL_Items'!AQ231 + '01_WHOQOL_Items'!AZ231 + '01_WHOQOL_Items'!BA231 + '01_WHOQOL_Items'!BB231)/8)</f>
        <v>16.5</v>
      </c>
      <c r="T231" s="4">
        <f t="shared" si="54"/>
        <v>53.125</v>
      </c>
      <c r="U231" s="4">
        <f t="shared" si="55"/>
        <v>78.125</v>
      </c>
      <c r="V231" s="5">
        <f t="shared" si="56"/>
        <v>0.47058823529411764</v>
      </c>
      <c r="W231" s="4">
        <f t="shared" si="57"/>
        <v>36.941964285714285</v>
      </c>
      <c r="X231" s="4">
        <f t="shared" si="58"/>
        <v>55.989583333333336</v>
      </c>
      <c r="Y231" s="5">
        <f t="shared" si="59"/>
        <v>0.51560926485397796</v>
      </c>
      <c r="Z231" s="1">
        <f>'01_WHOQOL_Items'!D231</f>
        <v>3</v>
      </c>
      <c r="AA231" s="1">
        <f>'01_WHOQOL_Items'!AD231</f>
        <v>4</v>
      </c>
      <c r="AB231" s="1">
        <f>'01_WHOQOL_Items'!E231</f>
        <v>4</v>
      </c>
      <c r="AC231" s="1">
        <f>'01_WHOQOL_Items'!AE231</f>
        <v>3</v>
      </c>
    </row>
    <row r="232" spans="1:29">
      <c r="A232" s="1" t="str">
        <f>'01_WHOQOL_Items'!A232</f>
        <v>EXP-231</v>
      </c>
      <c r="B232" s="1" t="str">
        <f>'01_WHOQOL_Items'!B232</f>
        <v>Experimental</v>
      </c>
      <c r="C232" s="4">
        <f>4*(((6-'01_WHOQOL_Items'!F232) + (6-'01_WHOQOL_Items'!G232) + '01_WHOQOL_Items'!M232 + '01_WHOQOL_Items'!R232 + '01_WHOQOL_Items'!S232 + '01_WHOQOL_Items'!T232 + '01_WHOQOL_Items'!U232)/7)</f>
        <v>10.857142857142858</v>
      </c>
      <c r="D232" s="4">
        <f>4*(((6-'01_WHOQOL_Items'!AF232) + (6-'01_WHOQOL_Items'!AG232) + '01_WHOQOL_Items'!AM232 + '01_WHOQOL_Items'!AR232 + '01_WHOQOL_Items'!AS232 + '01_WHOQOL_Items'!AT232 + '01_WHOQOL_Items'!AU232)/7)</f>
        <v>11.428571428571429</v>
      </c>
      <c r="E232" s="4">
        <f t="shared" si="45"/>
        <v>42.857142857142861</v>
      </c>
      <c r="F232" s="4">
        <f t="shared" si="46"/>
        <v>46.428571428571431</v>
      </c>
      <c r="G232" s="5">
        <f t="shared" si="47"/>
        <v>8.3333333333333273E-2</v>
      </c>
      <c r="H232" s="4">
        <f>4*(('01_WHOQOL_Items'!H232 + '01_WHOQOL_Items'!I232 + '01_WHOQOL_Items'!J232 + '01_WHOQOL_Items'!N232 + '01_WHOQOL_Items'!V232 + (6-'01_WHOQOL_Items'!AC232))/6)</f>
        <v>9.3333333333333339</v>
      </c>
      <c r="I232" s="4">
        <f>4*(('01_WHOQOL_Items'!AH232 + '01_WHOQOL_Items'!AI232 + '01_WHOQOL_Items'!AJ232 + '01_WHOQOL_Items'!AN232 + '01_WHOQOL_Items'!AV232 + (6-'01_WHOQOL_Items'!BC232))/6)</f>
        <v>9.3333333333333339</v>
      </c>
      <c r="J232" s="4">
        <f t="shared" si="48"/>
        <v>33.333333333333336</v>
      </c>
      <c r="K232" s="4">
        <f t="shared" si="49"/>
        <v>33.333333333333336</v>
      </c>
      <c r="L232" s="5">
        <f t="shared" si="50"/>
        <v>0</v>
      </c>
      <c r="M232" s="4">
        <f>4*(('01_WHOQOL_Items'!W232 + '01_WHOQOL_Items'!X232 + '01_WHOQOL_Items'!Y232)/3)</f>
        <v>9.3333333333333339</v>
      </c>
      <c r="N232" s="4">
        <f>4*(('01_WHOQOL_Items'!AW232 + '01_WHOQOL_Items'!AX232 + '01_WHOQOL_Items'!AY232)/3)</f>
        <v>13.333333333333334</v>
      </c>
      <c r="O232" s="4">
        <f t="shared" si="51"/>
        <v>33.333333333333336</v>
      </c>
      <c r="P232" s="4">
        <f t="shared" si="52"/>
        <v>58.333333333333336</v>
      </c>
      <c r="Q232" s="5">
        <f t="shared" si="53"/>
        <v>0.75</v>
      </c>
      <c r="R232" s="4">
        <f>4*(('01_WHOQOL_Items'!K232 + '01_WHOQOL_Items'!L232 + '01_WHOQOL_Items'!O232 + '01_WHOQOL_Items'!P232 + '01_WHOQOL_Items'!Q232 + '01_WHOQOL_Items'!Z232 + '01_WHOQOL_Items'!AA232 + '01_WHOQOL_Items'!AB232)/8)</f>
        <v>14</v>
      </c>
      <c r="S232" s="4">
        <f>4*(('01_WHOQOL_Items'!AK232 + '01_WHOQOL_Items'!AL232 + '01_WHOQOL_Items'!AO232 + '01_WHOQOL_Items'!AP232 + '01_WHOQOL_Items'!AQ232 + '01_WHOQOL_Items'!AZ232 + '01_WHOQOL_Items'!BA232 + '01_WHOQOL_Items'!BB232)/8)</f>
        <v>16</v>
      </c>
      <c r="T232" s="4">
        <f t="shared" si="54"/>
        <v>62.5</v>
      </c>
      <c r="U232" s="4">
        <f t="shared" si="55"/>
        <v>75</v>
      </c>
      <c r="V232" s="5">
        <f t="shared" si="56"/>
        <v>0.2</v>
      </c>
      <c r="W232" s="4">
        <f t="shared" si="57"/>
        <v>43.005952380952387</v>
      </c>
      <c r="X232" s="4">
        <f t="shared" si="58"/>
        <v>53.273809523809526</v>
      </c>
      <c r="Y232" s="5">
        <f t="shared" si="59"/>
        <v>0.23875432525951545</v>
      </c>
      <c r="Z232" s="1">
        <f>'01_WHOQOL_Items'!D232</f>
        <v>4</v>
      </c>
      <c r="AA232" s="1">
        <f>'01_WHOQOL_Items'!AD232</f>
        <v>2</v>
      </c>
      <c r="AB232" s="1">
        <f>'01_WHOQOL_Items'!E232</f>
        <v>3</v>
      </c>
      <c r="AC232" s="1">
        <f>'01_WHOQOL_Items'!AE232</f>
        <v>3</v>
      </c>
    </row>
    <row r="233" spans="1:29">
      <c r="A233" s="1" t="str">
        <f>'01_WHOQOL_Items'!A233</f>
        <v>EXP-232</v>
      </c>
      <c r="B233" s="1" t="str">
        <f>'01_WHOQOL_Items'!B233</f>
        <v>Experimental</v>
      </c>
      <c r="C233" s="4">
        <f>4*(((6-'01_WHOQOL_Items'!F233) + (6-'01_WHOQOL_Items'!G233) + '01_WHOQOL_Items'!M233 + '01_WHOQOL_Items'!R233 + '01_WHOQOL_Items'!S233 + '01_WHOQOL_Items'!T233 + '01_WHOQOL_Items'!U233)/7)</f>
        <v>14.857142857142858</v>
      </c>
      <c r="D233" s="4">
        <f>4*(((6-'01_WHOQOL_Items'!AF233) + (6-'01_WHOQOL_Items'!AG233) + '01_WHOQOL_Items'!AM233 + '01_WHOQOL_Items'!AR233 + '01_WHOQOL_Items'!AS233 + '01_WHOQOL_Items'!AT233 + '01_WHOQOL_Items'!AU233)/7)</f>
        <v>16</v>
      </c>
      <c r="E233" s="4">
        <f t="shared" si="45"/>
        <v>67.857142857142861</v>
      </c>
      <c r="F233" s="4">
        <f t="shared" si="46"/>
        <v>75</v>
      </c>
      <c r="G233" s="5">
        <f t="shared" si="47"/>
        <v>0.10526315789473678</v>
      </c>
      <c r="H233" s="4">
        <f>4*(('01_WHOQOL_Items'!H233 + '01_WHOQOL_Items'!I233 + '01_WHOQOL_Items'!J233 + '01_WHOQOL_Items'!N233 + '01_WHOQOL_Items'!V233 + (6-'01_WHOQOL_Items'!AC233))/6)</f>
        <v>14</v>
      </c>
      <c r="I233" s="4">
        <f>4*(('01_WHOQOL_Items'!AH233 + '01_WHOQOL_Items'!AI233 + '01_WHOQOL_Items'!AJ233 + '01_WHOQOL_Items'!AN233 + '01_WHOQOL_Items'!AV233 + (6-'01_WHOQOL_Items'!BC233))/6)</f>
        <v>14</v>
      </c>
      <c r="J233" s="4">
        <f t="shared" si="48"/>
        <v>62.5</v>
      </c>
      <c r="K233" s="4">
        <f t="shared" si="49"/>
        <v>62.5</v>
      </c>
      <c r="L233" s="5">
        <f t="shared" si="50"/>
        <v>0</v>
      </c>
      <c r="M233" s="4">
        <f>4*(('01_WHOQOL_Items'!W233 + '01_WHOQOL_Items'!X233 + '01_WHOQOL_Items'!Y233)/3)</f>
        <v>10.666666666666666</v>
      </c>
      <c r="N233" s="4">
        <f>4*(('01_WHOQOL_Items'!AW233 + '01_WHOQOL_Items'!AX233 + '01_WHOQOL_Items'!AY233)/3)</f>
        <v>13.333333333333334</v>
      </c>
      <c r="O233" s="4">
        <f t="shared" si="51"/>
        <v>41.666666666666664</v>
      </c>
      <c r="P233" s="4">
        <f t="shared" si="52"/>
        <v>58.333333333333336</v>
      </c>
      <c r="Q233" s="5">
        <f t="shared" si="53"/>
        <v>0.40000000000000013</v>
      </c>
      <c r="R233" s="4">
        <f>4*(('01_WHOQOL_Items'!K233 + '01_WHOQOL_Items'!L233 + '01_WHOQOL_Items'!O233 + '01_WHOQOL_Items'!P233 + '01_WHOQOL_Items'!Q233 + '01_WHOQOL_Items'!Z233 + '01_WHOQOL_Items'!AA233 + '01_WHOQOL_Items'!AB233)/8)</f>
        <v>11.5</v>
      </c>
      <c r="S233" s="4">
        <f>4*(('01_WHOQOL_Items'!AK233 + '01_WHOQOL_Items'!AL233 + '01_WHOQOL_Items'!AO233 + '01_WHOQOL_Items'!AP233 + '01_WHOQOL_Items'!AQ233 + '01_WHOQOL_Items'!AZ233 + '01_WHOQOL_Items'!BA233 + '01_WHOQOL_Items'!BB233)/8)</f>
        <v>12</v>
      </c>
      <c r="T233" s="4">
        <f t="shared" si="54"/>
        <v>46.875</v>
      </c>
      <c r="U233" s="4">
        <f t="shared" si="55"/>
        <v>50</v>
      </c>
      <c r="V233" s="5">
        <f t="shared" si="56"/>
        <v>6.6666666666666666E-2</v>
      </c>
      <c r="W233" s="4">
        <f t="shared" si="57"/>
        <v>54.72470238095238</v>
      </c>
      <c r="X233" s="4">
        <f t="shared" si="58"/>
        <v>61.458333333333336</v>
      </c>
      <c r="Y233" s="5">
        <f t="shared" si="59"/>
        <v>0.12304554724677097</v>
      </c>
      <c r="Z233" s="1">
        <f>'01_WHOQOL_Items'!D233</f>
        <v>3</v>
      </c>
      <c r="AA233" s="1">
        <f>'01_WHOQOL_Items'!AD233</f>
        <v>4</v>
      </c>
      <c r="AB233" s="1">
        <f>'01_WHOQOL_Items'!E233</f>
        <v>3</v>
      </c>
      <c r="AC233" s="1">
        <f>'01_WHOQOL_Items'!AE233</f>
        <v>4</v>
      </c>
    </row>
    <row r="234" spans="1:29">
      <c r="A234" s="1" t="str">
        <f>'01_WHOQOL_Items'!A234</f>
        <v>EXP-233</v>
      </c>
      <c r="B234" s="1" t="str">
        <f>'01_WHOQOL_Items'!B234</f>
        <v>Experimental</v>
      </c>
      <c r="C234" s="4">
        <f>4*(((6-'01_WHOQOL_Items'!F234) + (6-'01_WHOQOL_Items'!G234) + '01_WHOQOL_Items'!M234 + '01_WHOQOL_Items'!R234 + '01_WHOQOL_Items'!S234 + '01_WHOQOL_Items'!T234 + '01_WHOQOL_Items'!U234)/7)</f>
        <v>14.285714285714286</v>
      </c>
      <c r="D234" s="4">
        <f>4*(((6-'01_WHOQOL_Items'!AF234) + (6-'01_WHOQOL_Items'!AG234) + '01_WHOQOL_Items'!AM234 + '01_WHOQOL_Items'!AR234 + '01_WHOQOL_Items'!AS234 + '01_WHOQOL_Items'!AT234 + '01_WHOQOL_Items'!AU234)/7)</f>
        <v>16.571428571428573</v>
      </c>
      <c r="E234" s="4">
        <f t="shared" si="45"/>
        <v>64.285714285714292</v>
      </c>
      <c r="F234" s="4">
        <f t="shared" si="46"/>
        <v>78.571428571428584</v>
      </c>
      <c r="G234" s="5">
        <f t="shared" si="47"/>
        <v>0.22222222222222229</v>
      </c>
      <c r="H234" s="4">
        <f>4*(('01_WHOQOL_Items'!H234 + '01_WHOQOL_Items'!I234 + '01_WHOQOL_Items'!J234 + '01_WHOQOL_Items'!N234 + '01_WHOQOL_Items'!V234 + (6-'01_WHOQOL_Items'!AC234))/6)</f>
        <v>15.333333333333334</v>
      </c>
      <c r="I234" s="4">
        <f>4*(('01_WHOQOL_Items'!AH234 + '01_WHOQOL_Items'!AI234 + '01_WHOQOL_Items'!AJ234 + '01_WHOQOL_Items'!AN234 + '01_WHOQOL_Items'!AV234 + (6-'01_WHOQOL_Items'!BC234))/6)</f>
        <v>16</v>
      </c>
      <c r="J234" s="4">
        <f t="shared" si="48"/>
        <v>70.833333333333343</v>
      </c>
      <c r="K234" s="4">
        <f t="shared" si="49"/>
        <v>75</v>
      </c>
      <c r="L234" s="5">
        <f t="shared" si="50"/>
        <v>5.8823529411764566E-2</v>
      </c>
      <c r="M234" s="4">
        <f>4*(('01_WHOQOL_Items'!W234 + '01_WHOQOL_Items'!X234 + '01_WHOQOL_Items'!Y234)/3)</f>
        <v>13.333333333333334</v>
      </c>
      <c r="N234" s="4">
        <f>4*(('01_WHOQOL_Items'!AW234 + '01_WHOQOL_Items'!AX234 + '01_WHOQOL_Items'!AY234)/3)</f>
        <v>17.333333333333332</v>
      </c>
      <c r="O234" s="4">
        <f t="shared" si="51"/>
        <v>58.333333333333336</v>
      </c>
      <c r="P234" s="4">
        <f t="shared" si="52"/>
        <v>83.333333333333329</v>
      </c>
      <c r="Q234" s="5">
        <f t="shared" si="53"/>
        <v>0.42857142857142844</v>
      </c>
      <c r="R234" s="4">
        <f>4*(('01_WHOQOL_Items'!K234 + '01_WHOQOL_Items'!L234 + '01_WHOQOL_Items'!O234 + '01_WHOQOL_Items'!P234 + '01_WHOQOL_Items'!Q234 + '01_WHOQOL_Items'!Z234 + '01_WHOQOL_Items'!AA234 + '01_WHOQOL_Items'!AB234)/8)</f>
        <v>12</v>
      </c>
      <c r="S234" s="4">
        <f>4*(('01_WHOQOL_Items'!AK234 + '01_WHOQOL_Items'!AL234 + '01_WHOQOL_Items'!AO234 + '01_WHOQOL_Items'!AP234 + '01_WHOQOL_Items'!AQ234 + '01_WHOQOL_Items'!AZ234 + '01_WHOQOL_Items'!BA234 + '01_WHOQOL_Items'!BB234)/8)</f>
        <v>14.5</v>
      </c>
      <c r="T234" s="4">
        <f t="shared" si="54"/>
        <v>50</v>
      </c>
      <c r="U234" s="4">
        <f t="shared" si="55"/>
        <v>65.625</v>
      </c>
      <c r="V234" s="5">
        <f t="shared" si="56"/>
        <v>0.3125</v>
      </c>
      <c r="W234" s="4">
        <f t="shared" si="57"/>
        <v>60.863095238095248</v>
      </c>
      <c r="X234" s="4">
        <f t="shared" si="58"/>
        <v>75.632440476190482</v>
      </c>
      <c r="Y234" s="5">
        <f t="shared" si="59"/>
        <v>0.24266503667481651</v>
      </c>
      <c r="Z234" s="1">
        <f>'01_WHOQOL_Items'!D234</f>
        <v>3</v>
      </c>
      <c r="AA234" s="1">
        <f>'01_WHOQOL_Items'!AD234</f>
        <v>4</v>
      </c>
      <c r="AB234" s="1">
        <f>'01_WHOQOL_Items'!E234</f>
        <v>5</v>
      </c>
      <c r="AC234" s="1">
        <f>'01_WHOQOL_Items'!AE234</f>
        <v>4</v>
      </c>
    </row>
    <row r="235" spans="1:29">
      <c r="A235" s="1" t="str">
        <f>'01_WHOQOL_Items'!A235</f>
        <v>EXP-234</v>
      </c>
      <c r="B235" s="1" t="str">
        <f>'01_WHOQOL_Items'!B235</f>
        <v>Experimental</v>
      </c>
      <c r="C235" s="4">
        <f>4*(((6-'01_WHOQOL_Items'!F235) + (6-'01_WHOQOL_Items'!G235) + '01_WHOQOL_Items'!M235 + '01_WHOQOL_Items'!R235 + '01_WHOQOL_Items'!S235 + '01_WHOQOL_Items'!T235 + '01_WHOQOL_Items'!U235)/7)</f>
        <v>13.714285714285714</v>
      </c>
      <c r="D235" s="4">
        <f>4*(((6-'01_WHOQOL_Items'!AF235) + (6-'01_WHOQOL_Items'!AG235) + '01_WHOQOL_Items'!AM235 + '01_WHOQOL_Items'!AR235 + '01_WHOQOL_Items'!AS235 + '01_WHOQOL_Items'!AT235 + '01_WHOQOL_Items'!AU235)/7)</f>
        <v>12.571428571428571</v>
      </c>
      <c r="E235" s="4">
        <f t="shared" si="45"/>
        <v>60.714285714285708</v>
      </c>
      <c r="F235" s="4">
        <f t="shared" si="46"/>
        <v>53.571428571428569</v>
      </c>
      <c r="G235" s="5">
        <f t="shared" si="47"/>
        <v>-0.11764705882352935</v>
      </c>
      <c r="H235" s="4">
        <f>4*(('01_WHOQOL_Items'!H235 + '01_WHOQOL_Items'!I235 + '01_WHOQOL_Items'!J235 + '01_WHOQOL_Items'!N235 + '01_WHOQOL_Items'!V235 + (6-'01_WHOQOL_Items'!AC235))/6)</f>
        <v>12.666666666666666</v>
      </c>
      <c r="I235" s="4">
        <f>4*(('01_WHOQOL_Items'!AH235 + '01_WHOQOL_Items'!AI235 + '01_WHOQOL_Items'!AJ235 + '01_WHOQOL_Items'!AN235 + '01_WHOQOL_Items'!AV235 + (6-'01_WHOQOL_Items'!BC235))/6)</f>
        <v>14.666666666666666</v>
      </c>
      <c r="J235" s="4">
        <f t="shared" si="48"/>
        <v>54.166666666666664</v>
      </c>
      <c r="K235" s="4">
        <f t="shared" si="49"/>
        <v>66.666666666666657</v>
      </c>
      <c r="L235" s="5">
        <f t="shared" si="50"/>
        <v>0.23076923076923064</v>
      </c>
      <c r="M235" s="4">
        <f>4*(('01_WHOQOL_Items'!W235 + '01_WHOQOL_Items'!X235 + '01_WHOQOL_Items'!Y235)/3)</f>
        <v>9.3333333333333339</v>
      </c>
      <c r="N235" s="4">
        <f>4*(('01_WHOQOL_Items'!AW235 + '01_WHOQOL_Items'!AX235 + '01_WHOQOL_Items'!AY235)/3)</f>
        <v>13.333333333333334</v>
      </c>
      <c r="O235" s="4">
        <f t="shared" si="51"/>
        <v>33.333333333333336</v>
      </c>
      <c r="P235" s="4">
        <f t="shared" si="52"/>
        <v>58.333333333333336</v>
      </c>
      <c r="Q235" s="5">
        <f t="shared" si="53"/>
        <v>0.75</v>
      </c>
      <c r="R235" s="4">
        <f>4*(('01_WHOQOL_Items'!K235 + '01_WHOQOL_Items'!L235 + '01_WHOQOL_Items'!O235 + '01_WHOQOL_Items'!P235 + '01_WHOQOL_Items'!Q235 + '01_WHOQOL_Items'!Z235 + '01_WHOQOL_Items'!AA235 + '01_WHOQOL_Items'!AB235)/8)</f>
        <v>12.5</v>
      </c>
      <c r="S235" s="4">
        <f>4*(('01_WHOQOL_Items'!AK235 + '01_WHOQOL_Items'!AL235 + '01_WHOQOL_Items'!AO235 + '01_WHOQOL_Items'!AP235 + '01_WHOQOL_Items'!AQ235 + '01_WHOQOL_Items'!AZ235 + '01_WHOQOL_Items'!BA235 + '01_WHOQOL_Items'!BB235)/8)</f>
        <v>16.5</v>
      </c>
      <c r="T235" s="4">
        <f t="shared" si="54"/>
        <v>53.125</v>
      </c>
      <c r="U235" s="4">
        <f t="shared" si="55"/>
        <v>78.125</v>
      </c>
      <c r="V235" s="5">
        <f t="shared" si="56"/>
        <v>0.47058823529411764</v>
      </c>
      <c r="W235" s="4">
        <f t="shared" si="57"/>
        <v>50.334821428571431</v>
      </c>
      <c r="X235" s="4">
        <f t="shared" si="58"/>
        <v>64.174107142857139</v>
      </c>
      <c r="Y235" s="5">
        <f t="shared" si="59"/>
        <v>0.27494456762749431</v>
      </c>
      <c r="Z235" s="1">
        <f>'01_WHOQOL_Items'!D235</f>
        <v>3</v>
      </c>
      <c r="AA235" s="1">
        <f>'01_WHOQOL_Items'!AD235</f>
        <v>4</v>
      </c>
      <c r="AB235" s="1">
        <f>'01_WHOQOL_Items'!E235</f>
        <v>3</v>
      </c>
      <c r="AC235" s="1">
        <f>'01_WHOQOL_Items'!AE235</f>
        <v>5</v>
      </c>
    </row>
    <row r="236" spans="1:29">
      <c r="A236" s="1" t="str">
        <f>'01_WHOQOL_Items'!A236</f>
        <v>EXP-235</v>
      </c>
      <c r="B236" s="1" t="str">
        <f>'01_WHOQOL_Items'!B236</f>
        <v>Experimental</v>
      </c>
      <c r="C236" s="4">
        <f>4*(((6-'01_WHOQOL_Items'!F236) + (6-'01_WHOQOL_Items'!G236) + '01_WHOQOL_Items'!M236 + '01_WHOQOL_Items'!R236 + '01_WHOQOL_Items'!S236 + '01_WHOQOL_Items'!T236 + '01_WHOQOL_Items'!U236)/7)</f>
        <v>10.285714285714286</v>
      </c>
      <c r="D236" s="4">
        <f>4*(((6-'01_WHOQOL_Items'!AF236) + (6-'01_WHOQOL_Items'!AG236) + '01_WHOQOL_Items'!AM236 + '01_WHOQOL_Items'!AR236 + '01_WHOQOL_Items'!AS236 + '01_WHOQOL_Items'!AT236 + '01_WHOQOL_Items'!AU236)/7)</f>
        <v>11.428571428571429</v>
      </c>
      <c r="E236" s="4">
        <f t="shared" si="45"/>
        <v>39.285714285714292</v>
      </c>
      <c r="F236" s="4">
        <f t="shared" si="46"/>
        <v>46.428571428571431</v>
      </c>
      <c r="G236" s="5">
        <f t="shared" si="47"/>
        <v>0.18181818181818168</v>
      </c>
      <c r="H236" s="4">
        <f>4*(('01_WHOQOL_Items'!H236 + '01_WHOQOL_Items'!I236 + '01_WHOQOL_Items'!J236 + '01_WHOQOL_Items'!N236 + '01_WHOQOL_Items'!V236 + (6-'01_WHOQOL_Items'!AC236))/6)</f>
        <v>11.333333333333334</v>
      </c>
      <c r="I236" s="4">
        <f>4*(('01_WHOQOL_Items'!AH236 + '01_WHOQOL_Items'!AI236 + '01_WHOQOL_Items'!AJ236 + '01_WHOQOL_Items'!AN236 + '01_WHOQOL_Items'!AV236 + (6-'01_WHOQOL_Items'!BC236))/6)</f>
        <v>14.666666666666666</v>
      </c>
      <c r="J236" s="4">
        <f t="shared" si="48"/>
        <v>45.833333333333336</v>
      </c>
      <c r="K236" s="4">
        <f t="shared" si="49"/>
        <v>66.666666666666657</v>
      </c>
      <c r="L236" s="5">
        <f t="shared" si="50"/>
        <v>0.45454545454545425</v>
      </c>
      <c r="M236" s="4">
        <f>4*(('01_WHOQOL_Items'!W236 + '01_WHOQOL_Items'!X236 + '01_WHOQOL_Items'!Y236)/3)</f>
        <v>12</v>
      </c>
      <c r="N236" s="4">
        <f>4*(('01_WHOQOL_Items'!AW236 + '01_WHOQOL_Items'!AX236 + '01_WHOQOL_Items'!AY236)/3)</f>
        <v>16</v>
      </c>
      <c r="O236" s="4">
        <f t="shared" si="51"/>
        <v>50</v>
      </c>
      <c r="P236" s="4">
        <f t="shared" si="52"/>
        <v>75</v>
      </c>
      <c r="Q236" s="5">
        <f t="shared" si="53"/>
        <v>0.5</v>
      </c>
      <c r="R236" s="4">
        <f>4*(('01_WHOQOL_Items'!K236 + '01_WHOQOL_Items'!L236 + '01_WHOQOL_Items'!O236 + '01_WHOQOL_Items'!P236 + '01_WHOQOL_Items'!Q236 + '01_WHOQOL_Items'!Z236 + '01_WHOQOL_Items'!AA236 + '01_WHOQOL_Items'!AB236)/8)</f>
        <v>14</v>
      </c>
      <c r="S236" s="4">
        <f>4*(('01_WHOQOL_Items'!AK236 + '01_WHOQOL_Items'!AL236 + '01_WHOQOL_Items'!AO236 + '01_WHOQOL_Items'!AP236 + '01_WHOQOL_Items'!AQ236 + '01_WHOQOL_Items'!AZ236 + '01_WHOQOL_Items'!BA236 + '01_WHOQOL_Items'!BB236)/8)</f>
        <v>16.5</v>
      </c>
      <c r="T236" s="4">
        <f t="shared" si="54"/>
        <v>62.5</v>
      </c>
      <c r="U236" s="4">
        <f t="shared" si="55"/>
        <v>78.125</v>
      </c>
      <c r="V236" s="5">
        <f t="shared" si="56"/>
        <v>0.25</v>
      </c>
      <c r="W236" s="4">
        <f t="shared" si="57"/>
        <v>49.404761904761905</v>
      </c>
      <c r="X236" s="4">
        <f t="shared" si="58"/>
        <v>66.555059523809518</v>
      </c>
      <c r="Y236" s="5">
        <f t="shared" si="59"/>
        <v>0.34713855421686735</v>
      </c>
      <c r="Z236" s="1">
        <f>'01_WHOQOL_Items'!D236</f>
        <v>3</v>
      </c>
      <c r="AA236" s="1">
        <f>'01_WHOQOL_Items'!AD236</f>
        <v>3</v>
      </c>
      <c r="AB236" s="1">
        <f>'01_WHOQOL_Items'!E236</f>
        <v>3</v>
      </c>
      <c r="AC236" s="1">
        <f>'01_WHOQOL_Items'!AE236</f>
        <v>3</v>
      </c>
    </row>
    <row r="237" spans="1:29">
      <c r="A237" s="1" t="str">
        <f>'01_WHOQOL_Items'!A237</f>
        <v>EXP-236</v>
      </c>
      <c r="B237" s="1" t="str">
        <f>'01_WHOQOL_Items'!B237</f>
        <v>Experimental</v>
      </c>
      <c r="C237" s="4">
        <f>4*(((6-'01_WHOQOL_Items'!F237) + (6-'01_WHOQOL_Items'!G237) + '01_WHOQOL_Items'!M237 + '01_WHOQOL_Items'!R237 + '01_WHOQOL_Items'!S237 + '01_WHOQOL_Items'!T237 + '01_WHOQOL_Items'!U237)/7)</f>
        <v>10.857142857142858</v>
      </c>
      <c r="D237" s="4">
        <f>4*(((6-'01_WHOQOL_Items'!AF237) + (6-'01_WHOQOL_Items'!AG237) + '01_WHOQOL_Items'!AM237 + '01_WHOQOL_Items'!AR237 + '01_WHOQOL_Items'!AS237 + '01_WHOQOL_Items'!AT237 + '01_WHOQOL_Items'!AU237)/7)</f>
        <v>13.142857142857142</v>
      </c>
      <c r="E237" s="4">
        <f t="shared" si="45"/>
        <v>42.857142857142861</v>
      </c>
      <c r="F237" s="4">
        <f t="shared" si="46"/>
        <v>57.142857142857139</v>
      </c>
      <c r="G237" s="5">
        <f t="shared" si="47"/>
        <v>0.33333333333333309</v>
      </c>
      <c r="H237" s="4">
        <f>4*(('01_WHOQOL_Items'!H237 + '01_WHOQOL_Items'!I237 + '01_WHOQOL_Items'!J237 + '01_WHOQOL_Items'!N237 + '01_WHOQOL_Items'!V237 + (6-'01_WHOQOL_Items'!AC237))/6)</f>
        <v>16.666666666666668</v>
      </c>
      <c r="I237" s="4">
        <f>4*(('01_WHOQOL_Items'!AH237 + '01_WHOQOL_Items'!AI237 + '01_WHOQOL_Items'!AJ237 + '01_WHOQOL_Items'!AN237 + '01_WHOQOL_Items'!AV237 + (6-'01_WHOQOL_Items'!BC237))/6)</f>
        <v>16</v>
      </c>
      <c r="J237" s="4">
        <f t="shared" si="48"/>
        <v>79.166666666666671</v>
      </c>
      <c r="K237" s="4">
        <f t="shared" si="49"/>
        <v>75</v>
      </c>
      <c r="L237" s="5">
        <f t="shared" si="50"/>
        <v>-5.2631578947368481E-2</v>
      </c>
      <c r="M237" s="4">
        <f>4*(('01_WHOQOL_Items'!W237 + '01_WHOQOL_Items'!X237 + '01_WHOQOL_Items'!Y237)/3)</f>
        <v>14.666666666666666</v>
      </c>
      <c r="N237" s="4">
        <f>4*(('01_WHOQOL_Items'!AW237 + '01_WHOQOL_Items'!AX237 + '01_WHOQOL_Items'!AY237)/3)</f>
        <v>14.666666666666666</v>
      </c>
      <c r="O237" s="4">
        <f t="shared" si="51"/>
        <v>66.666666666666657</v>
      </c>
      <c r="P237" s="4">
        <f t="shared" si="52"/>
        <v>66.666666666666657</v>
      </c>
      <c r="Q237" s="5">
        <f t="shared" si="53"/>
        <v>0</v>
      </c>
      <c r="R237" s="4">
        <f>4*(('01_WHOQOL_Items'!K237 + '01_WHOQOL_Items'!L237 + '01_WHOQOL_Items'!O237 + '01_WHOQOL_Items'!P237 + '01_WHOQOL_Items'!Q237 + '01_WHOQOL_Items'!Z237 + '01_WHOQOL_Items'!AA237 + '01_WHOQOL_Items'!AB237)/8)</f>
        <v>17</v>
      </c>
      <c r="S237" s="4">
        <f>4*(('01_WHOQOL_Items'!AK237 + '01_WHOQOL_Items'!AL237 + '01_WHOQOL_Items'!AO237 + '01_WHOQOL_Items'!AP237 + '01_WHOQOL_Items'!AQ237 + '01_WHOQOL_Items'!AZ237 + '01_WHOQOL_Items'!BA237 + '01_WHOQOL_Items'!BB237)/8)</f>
        <v>18</v>
      </c>
      <c r="T237" s="4">
        <f t="shared" si="54"/>
        <v>81.25</v>
      </c>
      <c r="U237" s="4">
        <f t="shared" si="55"/>
        <v>87.5</v>
      </c>
      <c r="V237" s="5">
        <f t="shared" si="56"/>
        <v>7.6923076923076927E-2</v>
      </c>
      <c r="W237" s="4">
        <f t="shared" si="57"/>
        <v>67.485119047619051</v>
      </c>
      <c r="X237" s="4">
        <f t="shared" si="58"/>
        <v>71.577380952380949</v>
      </c>
      <c r="Y237" s="5">
        <f t="shared" si="59"/>
        <v>6.0639470782800339E-2</v>
      </c>
      <c r="Z237" s="1">
        <f>'01_WHOQOL_Items'!D237</f>
        <v>3</v>
      </c>
      <c r="AA237" s="1">
        <f>'01_WHOQOL_Items'!AD237</f>
        <v>4</v>
      </c>
      <c r="AB237" s="1">
        <f>'01_WHOQOL_Items'!E237</f>
        <v>3</v>
      </c>
      <c r="AC237" s="1">
        <f>'01_WHOQOL_Items'!AE237</f>
        <v>4</v>
      </c>
    </row>
    <row r="238" spans="1:29">
      <c r="A238" s="1" t="str">
        <f>'01_WHOQOL_Items'!A238</f>
        <v>EXP-237</v>
      </c>
      <c r="B238" s="1" t="str">
        <f>'01_WHOQOL_Items'!B238</f>
        <v>Experimental</v>
      </c>
      <c r="C238" s="4">
        <f>4*(((6-'01_WHOQOL_Items'!F238) + (6-'01_WHOQOL_Items'!G238) + '01_WHOQOL_Items'!M238 + '01_WHOQOL_Items'!R238 + '01_WHOQOL_Items'!S238 + '01_WHOQOL_Items'!T238 + '01_WHOQOL_Items'!U238)/7)</f>
        <v>12.571428571428571</v>
      </c>
      <c r="D238" s="4">
        <f>4*(((6-'01_WHOQOL_Items'!AF238) + (6-'01_WHOQOL_Items'!AG238) + '01_WHOQOL_Items'!AM238 + '01_WHOQOL_Items'!AR238 + '01_WHOQOL_Items'!AS238 + '01_WHOQOL_Items'!AT238 + '01_WHOQOL_Items'!AU238)/7)</f>
        <v>14.285714285714286</v>
      </c>
      <c r="E238" s="4">
        <f t="shared" si="45"/>
        <v>53.571428571428569</v>
      </c>
      <c r="F238" s="4">
        <f t="shared" si="46"/>
        <v>64.285714285714292</v>
      </c>
      <c r="G238" s="5">
        <f t="shared" si="47"/>
        <v>0.20000000000000015</v>
      </c>
      <c r="H238" s="4">
        <f>4*(('01_WHOQOL_Items'!H238 + '01_WHOQOL_Items'!I238 + '01_WHOQOL_Items'!J238 + '01_WHOQOL_Items'!N238 + '01_WHOQOL_Items'!V238 + (6-'01_WHOQOL_Items'!AC238))/6)</f>
        <v>12.666666666666666</v>
      </c>
      <c r="I238" s="4">
        <f>4*(('01_WHOQOL_Items'!AH238 + '01_WHOQOL_Items'!AI238 + '01_WHOQOL_Items'!AJ238 + '01_WHOQOL_Items'!AN238 + '01_WHOQOL_Items'!AV238 + (6-'01_WHOQOL_Items'!BC238))/6)</f>
        <v>17.333333333333332</v>
      </c>
      <c r="J238" s="4">
        <f t="shared" si="48"/>
        <v>54.166666666666664</v>
      </c>
      <c r="K238" s="4">
        <f t="shared" si="49"/>
        <v>83.333333333333329</v>
      </c>
      <c r="L238" s="5">
        <f t="shared" si="50"/>
        <v>0.53846153846153844</v>
      </c>
      <c r="M238" s="4">
        <f>4*(('01_WHOQOL_Items'!W238 + '01_WHOQOL_Items'!X238 + '01_WHOQOL_Items'!Y238)/3)</f>
        <v>10.666666666666666</v>
      </c>
      <c r="N238" s="4">
        <f>4*(('01_WHOQOL_Items'!AW238 + '01_WHOQOL_Items'!AX238 + '01_WHOQOL_Items'!AY238)/3)</f>
        <v>13.333333333333334</v>
      </c>
      <c r="O238" s="4">
        <f t="shared" si="51"/>
        <v>41.666666666666664</v>
      </c>
      <c r="P238" s="4">
        <f t="shared" si="52"/>
        <v>58.333333333333336</v>
      </c>
      <c r="Q238" s="5">
        <f t="shared" si="53"/>
        <v>0.40000000000000013</v>
      </c>
      <c r="R238" s="4">
        <f>4*(('01_WHOQOL_Items'!K238 + '01_WHOQOL_Items'!L238 + '01_WHOQOL_Items'!O238 + '01_WHOQOL_Items'!P238 + '01_WHOQOL_Items'!Q238 + '01_WHOQOL_Items'!Z238 + '01_WHOQOL_Items'!AA238 + '01_WHOQOL_Items'!AB238)/8)</f>
        <v>8</v>
      </c>
      <c r="S238" s="4">
        <f>4*(('01_WHOQOL_Items'!AK238 + '01_WHOQOL_Items'!AL238 + '01_WHOQOL_Items'!AO238 + '01_WHOQOL_Items'!AP238 + '01_WHOQOL_Items'!AQ238 + '01_WHOQOL_Items'!AZ238 + '01_WHOQOL_Items'!BA238 + '01_WHOQOL_Items'!BB238)/8)</f>
        <v>8</v>
      </c>
      <c r="T238" s="4">
        <f t="shared" si="54"/>
        <v>25</v>
      </c>
      <c r="U238" s="4">
        <f t="shared" si="55"/>
        <v>25</v>
      </c>
      <c r="V238" s="5">
        <f t="shared" si="56"/>
        <v>0</v>
      </c>
      <c r="W238" s="4">
        <f t="shared" si="57"/>
        <v>43.601190476190474</v>
      </c>
      <c r="X238" s="4">
        <f t="shared" si="58"/>
        <v>57.738095238095241</v>
      </c>
      <c r="Y238" s="5">
        <f t="shared" si="59"/>
        <v>0.3242320819112629</v>
      </c>
      <c r="Z238" s="1">
        <f>'01_WHOQOL_Items'!D238</f>
        <v>1</v>
      </c>
      <c r="AA238" s="1">
        <f>'01_WHOQOL_Items'!AD238</f>
        <v>3</v>
      </c>
      <c r="AB238" s="1">
        <f>'01_WHOQOL_Items'!E238</f>
        <v>3</v>
      </c>
      <c r="AC238" s="1">
        <f>'01_WHOQOL_Items'!AE238</f>
        <v>3</v>
      </c>
    </row>
    <row r="239" spans="1:29">
      <c r="A239" s="1" t="str">
        <f>'01_WHOQOL_Items'!A239</f>
        <v>EXP-238</v>
      </c>
      <c r="B239" s="1" t="str">
        <f>'01_WHOQOL_Items'!B239</f>
        <v>Experimental</v>
      </c>
      <c r="C239" s="4">
        <f>4*(((6-'01_WHOQOL_Items'!F239) + (6-'01_WHOQOL_Items'!G239) + '01_WHOQOL_Items'!M239 + '01_WHOQOL_Items'!R239 + '01_WHOQOL_Items'!S239 + '01_WHOQOL_Items'!T239 + '01_WHOQOL_Items'!U239)/7)</f>
        <v>13.142857142857142</v>
      </c>
      <c r="D239" s="4">
        <f>4*(((6-'01_WHOQOL_Items'!AF239) + (6-'01_WHOQOL_Items'!AG239) + '01_WHOQOL_Items'!AM239 + '01_WHOQOL_Items'!AR239 + '01_WHOQOL_Items'!AS239 + '01_WHOQOL_Items'!AT239 + '01_WHOQOL_Items'!AU239)/7)</f>
        <v>13.714285714285714</v>
      </c>
      <c r="E239" s="4">
        <f t="shared" si="45"/>
        <v>57.142857142857139</v>
      </c>
      <c r="F239" s="4">
        <f t="shared" si="46"/>
        <v>60.714285714285708</v>
      </c>
      <c r="G239" s="5">
        <f t="shared" si="47"/>
        <v>6.2499999999999972E-2</v>
      </c>
      <c r="H239" s="4">
        <f>4*(('01_WHOQOL_Items'!H239 + '01_WHOQOL_Items'!I239 + '01_WHOQOL_Items'!J239 + '01_WHOQOL_Items'!N239 + '01_WHOQOL_Items'!V239 + (6-'01_WHOQOL_Items'!AC239))/6)</f>
        <v>9.3333333333333339</v>
      </c>
      <c r="I239" s="4">
        <f>4*(('01_WHOQOL_Items'!AH239 + '01_WHOQOL_Items'!AI239 + '01_WHOQOL_Items'!AJ239 + '01_WHOQOL_Items'!AN239 + '01_WHOQOL_Items'!AV239 + (6-'01_WHOQOL_Items'!BC239))/6)</f>
        <v>13.333333333333334</v>
      </c>
      <c r="J239" s="4">
        <f t="shared" si="48"/>
        <v>33.333333333333336</v>
      </c>
      <c r="K239" s="4">
        <f t="shared" si="49"/>
        <v>58.333333333333336</v>
      </c>
      <c r="L239" s="5">
        <f t="shared" si="50"/>
        <v>0.75</v>
      </c>
      <c r="M239" s="4">
        <f>4*(('01_WHOQOL_Items'!W239 + '01_WHOQOL_Items'!X239 + '01_WHOQOL_Items'!Y239)/3)</f>
        <v>12</v>
      </c>
      <c r="N239" s="4">
        <f>4*(('01_WHOQOL_Items'!AW239 + '01_WHOQOL_Items'!AX239 + '01_WHOQOL_Items'!AY239)/3)</f>
        <v>13.333333333333334</v>
      </c>
      <c r="O239" s="4">
        <f t="shared" si="51"/>
        <v>50</v>
      </c>
      <c r="P239" s="4">
        <f t="shared" si="52"/>
        <v>58.333333333333336</v>
      </c>
      <c r="Q239" s="5">
        <f t="shared" si="53"/>
        <v>0.16666666666666671</v>
      </c>
      <c r="R239" s="4">
        <f>4*(('01_WHOQOL_Items'!K239 + '01_WHOQOL_Items'!L239 + '01_WHOQOL_Items'!O239 + '01_WHOQOL_Items'!P239 + '01_WHOQOL_Items'!Q239 + '01_WHOQOL_Items'!Z239 + '01_WHOQOL_Items'!AA239 + '01_WHOQOL_Items'!AB239)/8)</f>
        <v>12.5</v>
      </c>
      <c r="S239" s="4">
        <f>4*(('01_WHOQOL_Items'!AK239 + '01_WHOQOL_Items'!AL239 + '01_WHOQOL_Items'!AO239 + '01_WHOQOL_Items'!AP239 + '01_WHOQOL_Items'!AQ239 + '01_WHOQOL_Items'!AZ239 + '01_WHOQOL_Items'!BA239 + '01_WHOQOL_Items'!BB239)/8)</f>
        <v>14</v>
      </c>
      <c r="T239" s="4">
        <f t="shared" si="54"/>
        <v>53.125</v>
      </c>
      <c r="U239" s="4">
        <f t="shared" si="55"/>
        <v>62.5</v>
      </c>
      <c r="V239" s="5">
        <f t="shared" si="56"/>
        <v>0.17647058823529413</v>
      </c>
      <c r="W239" s="4">
        <f t="shared" si="57"/>
        <v>48.40029761904762</v>
      </c>
      <c r="X239" s="4">
        <f t="shared" si="58"/>
        <v>59.970238095238095</v>
      </c>
      <c r="Y239" s="5">
        <f t="shared" si="59"/>
        <v>0.23904688700999227</v>
      </c>
      <c r="Z239" s="1">
        <f>'01_WHOQOL_Items'!D239</f>
        <v>3</v>
      </c>
      <c r="AA239" s="1">
        <f>'01_WHOQOL_Items'!AD239</f>
        <v>3</v>
      </c>
      <c r="AB239" s="1">
        <f>'01_WHOQOL_Items'!E239</f>
        <v>3</v>
      </c>
      <c r="AC239" s="1">
        <f>'01_WHOQOL_Items'!AE239</f>
        <v>4</v>
      </c>
    </row>
    <row r="240" spans="1:29">
      <c r="A240" s="1" t="str">
        <f>'01_WHOQOL_Items'!A240</f>
        <v>EXP-239</v>
      </c>
      <c r="B240" s="1" t="str">
        <f>'01_WHOQOL_Items'!B240</f>
        <v>Experimental</v>
      </c>
      <c r="C240" s="4">
        <f>4*(((6-'01_WHOQOL_Items'!F240) + (6-'01_WHOQOL_Items'!G240) + '01_WHOQOL_Items'!M240 + '01_WHOQOL_Items'!R240 + '01_WHOQOL_Items'!S240 + '01_WHOQOL_Items'!T240 + '01_WHOQOL_Items'!U240)/7)</f>
        <v>11.428571428571429</v>
      </c>
      <c r="D240" s="4">
        <f>4*(((6-'01_WHOQOL_Items'!AF240) + (6-'01_WHOQOL_Items'!AG240) + '01_WHOQOL_Items'!AM240 + '01_WHOQOL_Items'!AR240 + '01_WHOQOL_Items'!AS240 + '01_WHOQOL_Items'!AT240 + '01_WHOQOL_Items'!AU240)/7)</f>
        <v>12.571428571428571</v>
      </c>
      <c r="E240" s="4">
        <f t="shared" si="45"/>
        <v>46.428571428571431</v>
      </c>
      <c r="F240" s="4">
        <f t="shared" si="46"/>
        <v>53.571428571428569</v>
      </c>
      <c r="G240" s="5">
        <f t="shared" si="47"/>
        <v>0.15384615384615374</v>
      </c>
      <c r="H240" s="4">
        <f>4*(('01_WHOQOL_Items'!H240 + '01_WHOQOL_Items'!I240 + '01_WHOQOL_Items'!J240 + '01_WHOQOL_Items'!N240 + '01_WHOQOL_Items'!V240 + (6-'01_WHOQOL_Items'!AC240))/6)</f>
        <v>9.3333333333333339</v>
      </c>
      <c r="I240" s="4">
        <f>4*(('01_WHOQOL_Items'!AH240 + '01_WHOQOL_Items'!AI240 + '01_WHOQOL_Items'!AJ240 + '01_WHOQOL_Items'!AN240 + '01_WHOQOL_Items'!AV240 + (6-'01_WHOQOL_Items'!BC240))/6)</f>
        <v>13.333333333333334</v>
      </c>
      <c r="J240" s="4">
        <f t="shared" si="48"/>
        <v>33.333333333333336</v>
      </c>
      <c r="K240" s="4">
        <f t="shared" si="49"/>
        <v>58.333333333333336</v>
      </c>
      <c r="L240" s="5">
        <f t="shared" si="50"/>
        <v>0.75</v>
      </c>
      <c r="M240" s="4">
        <f>4*(('01_WHOQOL_Items'!W240 + '01_WHOQOL_Items'!X240 + '01_WHOQOL_Items'!Y240)/3)</f>
        <v>13.333333333333334</v>
      </c>
      <c r="N240" s="4">
        <f>4*(('01_WHOQOL_Items'!AW240 + '01_WHOQOL_Items'!AX240 + '01_WHOQOL_Items'!AY240)/3)</f>
        <v>12</v>
      </c>
      <c r="O240" s="4">
        <f t="shared" si="51"/>
        <v>58.333333333333336</v>
      </c>
      <c r="P240" s="4">
        <f t="shared" si="52"/>
        <v>50</v>
      </c>
      <c r="Q240" s="5">
        <f t="shared" si="53"/>
        <v>-0.1428571428571429</v>
      </c>
      <c r="R240" s="4">
        <f>4*(('01_WHOQOL_Items'!K240 + '01_WHOQOL_Items'!L240 + '01_WHOQOL_Items'!O240 + '01_WHOQOL_Items'!P240 + '01_WHOQOL_Items'!Q240 + '01_WHOQOL_Items'!Z240 + '01_WHOQOL_Items'!AA240 + '01_WHOQOL_Items'!AB240)/8)</f>
        <v>15</v>
      </c>
      <c r="S240" s="4">
        <f>4*(('01_WHOQOL_Items'!AK240 + '01_WHOQOL_Items'!AL240 + '01_WHOQOL_Items'!AO240 + '01_WHOQOL_Items'!AP240 + '01_WHOQOL_Items'!AQ240 + '01_WHOQOL_Items'!AZ240 + '01_WHOQOL_Items'!BA240 + '01_WHOQOL_Items'!BB240)/8)</f>
        <v>16</v>
      </c>
      <c r="T240" s="4">
        <f t="shared" si="54"/>
        <v>68.75</v>
      </c>
      <c r="U240" s="4">
        <f t="shared" si="55"/>
        <v>75</v>
      </c>
      <c r="V240" s="5">
        <f t="shared" si="56"/>
        <v>9.0909090909090912E-2</v>
      </c>
      <c r="W240" s="4">
        <f t="shared" si="57"/>
        <v>51.711309523809526</v>
      </c>
      <c r="X240" s="4">
        <f t="shared" si="58"/>
        <v>59.226190476190474</v>
      </c>
      <c r="Y240" s="5">
        <f t="shared" si="59"/>
        <v>0.14532374100719417</v>
      </c>
      <c r="Z240" s="1">
        <f>'01_WHOQOL_Items'!D240</f>
        <v>3</v>
      </c>
      <c r="AA240" s="1">
        <f>'01_WHOQOL_Items'!AD240</f>
        <v>3</v>
      </c>
      <c r="AB240" s="1">
        <f>'01_WHOQOL_Items'!E240</f>
        <v>3</v>
      </c>
      <c r="AC240" s="1">
        <f>'01_WHOQOL_Items'!AE240</f>
        <v>3</v>
      </c>
    </row>
    <row r="241" spans="1:29">
      <c r="A241" s="1" t="str">
        <f>'01_WHOQOL_Items'!A241</f>
        <v>EXP-240</v>
      </c>
      <c r="B241" s="1" t="str">
        <f>'01_WHOQOL_Items'!B241</f>
        <v>Experimental</v>
      </c>
      <c r="C241" s="4">
        <f>4*(((6-'01_WHOQOL_Items'!F241) + (6-'01_WHOQOL_Items'!G241) + '01_WHOQOL_Items'!M241 + '01_WHOQOL_Items'!R241 + '01_WHOQOL_Items'!S241 + '01_WHOQOL_Items'!T241 + '01_WHOQOL_Items'!U241)/7)</f>
        <v>15.428571428571429</v>
      </c>
      <c r="D241" s="4">
        <f>4*(((6-'01_WHOQOL_Items'!AF241) + (6-'01_WHOQOL_Items'!AG241) + '01_WHOQOL_Items'!AM241 + '01_WHOQOL_Items'!AR241 + '01_WHOQOL_Items'!AS241 + '01_WHOQOL_Items'!AT241 + '01_WHOQOL_Items'!AU241)/7)</f>
        <v>14.857142857142858</v>
      </c>
      <c r="E241" s="4">
        <f t="shared" si="45"/>
        <v>71.428571428571431</v>
      </c>
      <c r="F241" s="4">
        <f t="shared" si="46"/>
        <v>67.857142857142861</v>
      </c>
      <c r="G241" s="5">
        <f t="shared" si="47"/>
        <v>-4.9999999999999968E-2</v>
      </c>
      <c r="H241" s="4">
        <f>4*(('01_WHOQOL_Items'!H241 + '01_WHOQOL_Items'!I241 + '01_WHOQOL_Items'!J241 + '01_WHOQOL_Items'!N241 + '01_WHOQOL_Items'!V241 + (6-'01_WHOQOL_Items'!AC241))/6)</f>
        <v>8.6666666666666661</v>
      </c>
      <c r="I241" s="4">
        <f>4*(('01_WHOQOL_Items'!AH241 + '01_WHOQOL_Items'!AI241 + '01_WHOQOL_Items'!AJ241 + '01_WHOQOL_Items'!AN241 + '01_WHOQOL_Items'!AV241 + (6-'01_WHOQOL_Items'!BC241))/6)</f>
        <v>8</v>
      </c>
      <c r="J241" s="4">
        <f t="shared" si="48"/>
        <v>29.166666666666664</v>
      </c>
      <c r="K241" s="4">
        <f t="shared" si="49"/>
        <v>25</v>
      </c>
      <c r="L241" s="5">
        <f t="shared" si="50"/>
        <v>-0.14285714285714279</v>
      </c>
      <c r="M241" s="4">
        <f>4*(('01_WHOQOL_Items'!W241 + '01_WHOQOL_Items'!X241 + '01_WHOQOL_Items'!Y241)/3)</f>
        <v>10.666666666666666</v>
      </c>
      <c r="N241" s="4">
        <f>4*(('01_WHOQOL_Items'!AW241 + '01_WHOQOL_Items'!AX241 + '01_WHOQOL_Items'!AY241)/3)</f>
        <v>12</v>
      </c>
      <c r="O241" s="4">
        <f t="shared" si="51"/>
        <v>41.666666666666664</v>
      </c>
      <c r="P241" s="4">
        <f t="shared" si="52"/>
        <v>50</v>
      </c>
      <c r="Q241" s="5">
        <f t="shared" si="53"/>
        <v>0.20000000000000007</v>
      </c>
      <c r="R241" s="4">
        <f>4*(('01_WHOQOL_Items'!K241 + '01_WHOQOL_Items'!L241 + '01_WHOQOL_Items'!O241 + '01_WHOQOL_Items'!P241 + '01_WHOQOL_Items'!Q241 + '01_WHOQOL_Items'!Z241 + '01_WHOQOL_Items'!AA241 + '01_WHOQOL_Items'!AB241)/8)</f>
        <v>13.5</v>
      </c>
      <c r="S241" s="4">
        <f>4*(('01_WHOQOL_Items'!AK241 + '01_WHOQOL_Items'!AL241 + '01_WHOQOL_Items'!AO241 + '01_WHOQOL_Items'!AP241 + '01_WHOQOL_Items'!AQ241 + '01_WHOQOL_Items'!AZ241 + '01_WHOQOL_Items'!BA241 + '01_WHOQOL_Items'!BB241)/8)</f>
        <v>14</v>
      </c>
      <c r="T241" s="4">
        <f t="shared" si="54"/>
        <v>59.375</v>
      </c>
      <c r="U241" s="4">
        <f t="shared" si="55"/>
        <v>62.5</v>
      </c>
      <c r="V241" s="5">
        <f t="shared" si="56"/>
        <v>5.2631578947368418E-2</v>
      </c>
      <c r="W241" s="4">
        <f t="shared" si="57"/>
        <v>50.40922619047619</v>
      </c>
      <c r="X241" s="4">
        <f t="shared" si="58"/>
        <v>51.339285714285715</v>
      </c>
      <c r="Y241" s="5">
        <f t="shared" si="59"/>
        <v>1.8450184501845053E-2</v>
      </c>
      <c r="Z241" s="1">
        <f>'01_WHOQOL_Items'!D241</f>
        <v>3</v>
      </c>
      <c r="AA241" s="1">
        <f>'01_WHOQOL_Items'!AD241</f>
        <v>3</v>
      </c>
      <c r="AB241" s="1">
        <f>'01_WHOQOL_Items'!E241</f>
        <v>4</v>
      </c>
      <c r="AC241" s="1">
        <f>'01_WHOQOL_Items'!AE241</f>
        <v>4</v>
      </c>
    </row>
    <row r="242" spans="1:29">
      <c r="A242" s="1" t="str">
        <f>'01_WHOQOL_Items'!A242</f>
        <v>EXP-241</v>
      </c>
      <c r="B242" s="1" t="str">
        <f>'01_WHOQOL_Items'!B242</f>
        <v>Experimental</v>
      </c>
      <c r="C242" s="4">
        <f>4*(((6-'01_WHOQOL_Items'!F242) + (6-'01_WHOQOL_Items'!G242) + '01_WHOQOL_Items'!M242 + '01_WHOQOL_Items'!R242 + '01_WHOQOL_Items'!S242 + '01_WHOQOL_Items'!T242 + '01_WHOQOL_Items'!U242)/7)</f>
        <v>14.857142857142858</v>
      </c>
      <c r="D242" s="4">
        <f>4*(((6-'01_WHOQOL_Items'!AF242) + (6-'01_WHOQOL_Items'!AG242) + '01_WHOQOL_Items'!AM242 + '01_WHOQOL_Items'!AR242 + '01_WHOQOL_Items'!AS242 + '01_WHOQOL_Items'!AT242 + '01_WHOQOL_Items'!AU242)/7)</f>
        <v>14.285714285714286</v>
      </c>
      <c r="E242" s="4">
        <f t="shared" si="45"/>
        <v>67.857142857142861</v>
      </c>
      <c r="F242" s="4">
        <f t="shared" si="46"/>
        <v>64.285714285714292</v>
      </c>
      <c r="G242" s="5">
        <f t="shared" si="47"/>
        <v>-5.263157894736839E-2</v>
      </c>
      <c r="H242" s="4">
        <f>4*(('01_WHOQOL_Items'!H242 + '01_WHOQOL_Items'!I242 + '01_WHOQOL_Items'!J242 + '01_WHOQOL_Items'!N242 + '01_WHOQOL_Items'!V242 + (6-'01_WHOQOL_Items'!AC242))/6)</f>
        <v>11.333333333333334</v>
      </c>
      <c r="I242" s="4">
        <f>4*(('01_WHOQOL_Items'!AH242 + '01_WHOQOL_Items'!AI242 + '01_WHOQOL_Items'!AJ242 + '01_WHOQOL_Items'!AN242 + '01_WHOQOL_Items'!AV242 + (6-'01_WHOQOL_Items'!BC242))/6)</f>
        <v>14</v>
      </c>
      <c r="J242" s="4">
        <f t="shared" si="48"/>
        <v>45.833333333333336</v>
      </c>
      <c r="K242" s="4">
        <f t="shared" si="49"/>
        <v>62.5</v>
      </c>
      <c r="L242" s="5">
        <f t="shared" si="50"/>
        <v>0.36363636363636359</v>
      </c>
      <c r="M242" s="4">
        <f>4*(('01_WHOQOL_Items'!W242 + '01_WHOQOL_Items'!X242 + '01_WHOQOL_Items'!Y242)/3)</f>
        <v>13.333333333333334</v>
      </c>
      <c r="N242" s="4">
        <f>4*(('01_WHOQOL_Items'!AW242 + '01_WHOQOL_Items'!AX242 + '01_WHOQOL_Items'!AY242)/3)</f>
        <v>18.666666666666668</v>
      </c>
      <c r="O242" s="4">
        <f t="shared" si="51"/>
        <v>58.333333333333336</v>
      </c>
      <c r="P242" s="4">
        <f t="shared" si="52"/>
        <v>91.666666666666671</v>
      </c>
      <c r="Q242" s="5">
        <f t="shared" si="53"/>
        <v>0.5714285714285714</v>
      </c>
      <c r="R242" s="4">
        <f>4*(('01_WHOQOL_Items'!K242 + '01_WHOQOL_Items'!L242 + '01_WHOQOL_Items'!O242 + '01_WHOQOL_Items'!P242 + '01_WHOQOL_Items'!Q242 + '01_WHOQOL_Items'!Z242 + '01_WHOQOL_Items'!AA242 + '01_WHOQOL_Items'!AB242)/8)</f>
        <v>14.5</v>
      </c>
      <c r="S242" s="4">
        <f>4*(('01_WHOQOL_Items'!AK242 + '01_WHOQOL_Items'!AL242 + '01_WHOQOL_Items'!AO242 + '01_WHOQOL_Items'!AP242 + '01_WHOQOL_Items'!AQ242 + '01_WHOQOL_Items'!AZ242 + '01_WHOQOL_Items'!BA242 + '01_WHOQOL_Items'!BB242)/8)</f>
        <v>15.5</v>
      </c>
      <c r="T242" s="4">
        <f t="shared" si="54"/>
        <v>65.625</v>
      </c>
      <c r="U242" s="4">
        <f t="shared" si="55"/>
        <v>71.875</v>
      </c>
      <c r="V242" s="5">
        <f t="shared" si="56"/>
        <v>9.5238095238095233E-2</v>
      </c>
      <c r="W242" s="4">
        <f t="shared" si="57"/>
        <v>59.412202380952387</v>
      </c>
      <c r="X242" s="4">
        <f t="shared" si="58"/>
        <v>72.581845238095241</v>
      </c>
      <c r="Y242" s="5">
        <f t="shared" si="59"/>
        <v>0.22166562304320594</v>
      </c>
      <c r="Z242" s="1">
        <f>'01_WHOQOL_Items'!D242</f>
        <v>3</v>
      </c>
      <c r="AA242" s="1">
        <f>'01_WHOQOL_Items'!AD242</f>
        <v>3</v>
      </c>
      <c r="AB242" s="1">
        <f>'01_WHOQOL_Items'!E242</f>
        <v>3</v>
      </c>
      <c r="AC242" s="1">
        <f>'01_WHOQOL_Items'!AE242</f>
        <v>4</v>
      </c>
    </row>
    <row r="243" spans="1:29">
      <c r="A243" s="1" t="str">
        <f>'01_WHOQOL_Items'!A243</f>
        <v>EXP-242</v>
      </c>
      <c r="B243" s="1" t="str">
        <f>'01_WHOQOL_Items'!B243</f>
        <v>Experimental</v>
      </c>
      <c r="C243" s="4">
        <f>4*(((6-'01_WHOQOL_Items'!F243) + (6-'01_WHOQOL_Items'!G243) + '01_WHOQOL_Items'!M243 + '01_WHOQOL_Items'!R243 + '01_WHOQOL_Items'!S243 + '01_WHOQOL_Items'!T243 + '01_WHOQOL_Items'!U243)/7)</f>
        <v>10.857142857142858</v>
      </c>
      <c r="D243" s="4">
        <f>4*(((6-'01_WHOQOL_Items'!AF243) + (6-'01_WHOQOL_Items'!AG243) + '01_WHOQOL_Items'!AM243 + '01_WHOQOL_Items'!AR243 + '01_WHOQOL_Items'!AS243 + '01_WHOQOL_Items'!AT243 + '01_WHOQOL_Items'!AU243)/7)</f>
        <v>15.428571428571429</v>
      </c>
      <c r="E243" s="4">
        <f t="shared" si="45"/>
        <v>42.857142857142861</v>
      </c>
      <c r="F243" s="4">
        <f t="shared" si="46"/>
        <v>71.428571428571431</v>
      </c>
      <c r="G243" s="5">
        <f t="shared" si="47"/>
        <v>0.66666666666666652</v>
      </c>
      <c r="H243" s="4">
        <f>4*(('01_WHOQOL_Items'!H243 + '01_WHOQOL_Items'!I243 + '01_WHOQOL_Items'!J243 + '01_WHOQOL_Items'!N243 + '01_WHOQOL_Items'!V243 + (6-'01_WHOQOL_Items'!AC243))/6)</f>
        <v>15.333333333333334</v>
      </c>
      <c r="I243" s="4">
        <f>4*(('01_WHOQOL_Items'!AH243 + '01_WHOQOL_Items'!AI243 + '01_WHOQOL_Items'!AJ243 + '01_WHOQOL_Items'!AN243 + '01_WHOQOL_Items'!AV243 + (6-'01_WHOQOL_Items'!BC243))/6)</f>
        <v>17.333333333333332</v>
      </c>
      <c r="J243" s="4">
        <f t="shared" si="48"/>
        <v>70.833333333333343</v>
      </c>
      <c r="K243" s="4">
        <f t="shared" si="49"/>
        <v>83.333333333333329</v>
      </c>
      <c r="L243" s="5">
        <f t="shared" si="50"/>
        <v>0.17647058823529391</v>
      </c>
      <c r="M243" s="4">
        <f>4*(('01_WHOQOL_Items'!W243 + '01_WHOQOL_Items'!X243 + '01_WHOQOL_Items'!Y243)/3)</f>
        <v>12</v>
      </c>
      <c r="N243" s="4">
        <f>4*(('01_WHOQOL_Items'!AW243 + '01_WHOQOL_Items'!AX243 + '01_WHOQOL_Items'!AY243)/3)</f>
        <v>16</v>
      </c>
      <c r="O243" s="4">
        <f t="shared" si="51"/>
        <v>50</v>
      </c>
      <c r="P243" s="4">
        <f t="shared" si="52"/>
        <v>75</v>
      </c>
      <c r="Q243" s="5">
        <f t="shared" si="53"/>
        <v>0.5</v>
      </c>
      <c r="R243" s="4">
        <f>4*(('01_WHOQOL_Items'!K243 + '01_WHOQOL_Items'!L243 + '01_WHOQOL_Items'!O243 + '01_WHOQOL_Items'!P243 + '01_WHOQOL_Items'!Q243 + '01_WHOQOL_Items'!Z243 + '01_WHOQOL_Items'!AA243 + '01_WHOQOL_Items'!AB243)/8)</f>
        <v>8</v>
      </c>
      <c r="S243" s="4">
        <f>4*(('01_WHOQOL_Items'!AK243 + '01_WHOQOL_Items'!AL243 + '01_WHOQOL_Items'!AO243 + '01_WHOQOL_Items'!AP243 + '01_WHOQOL_Items'!AQ243 + '01_WHOQOL_Items'!AZ243 + '01_WHOQOL_Items'!BA243 + '01_WHOQOL_Items'!BB243)/8)</f>
        <v>13</v>
      </c>
      <c r="T243" s="4">
        <f t="shared" si="54"/>
        <v>25</v>
      </c>
      <c r="U243" s="4">
        <f t="shared" si="55"/>
        <v>56.25</v>
      </c>
      <c r="V243" s="5">
        <f t="shared" si="56"/>
        <v>1.25</v>
      </c>
      <c r="W243" s="4">
        <f t="shared" si="57"/>
        <v>47.172619047619051</v>
      </c>
      <c r="X243" s="4">
        <f t="shared" si="58"/>
        <v>71.50297619047619</v>
      </c>
      <c r="Y243" s="5">
        <f t="shared" si="59"/>
        <v>0.51577287066246047</v>
      </c>
      <c r="Z243" s="1">
        <f>'01_WHOQOL_Items'!D243</f>
        <v>3</v>
      </c>
      <c r="AA243" s="1">
        <f>'01_WHOQOL_Items'!AD243</f>
        <v>4</v>
      </c>
      <c r="AB243" s="1">
        <f>'01_WHOQOL_Items'!E243</f>
        <v>2</v>
      </c>
      <c r="AC243" s="1">
        <f>'01_WHOQOL_Items'!AE243</f>
        <v>4</v>
      </c>
    </row>
    <row r="244" spans="1:29">
      <c r="A244" s="1" t="str">
        <f>'01_WHOQOL_Items'!A244</f>
        <v>EXP-243</v>
      </c>
      <c r="B244" s="1" t="str">
        <f>'01_WHOQOL_Items'!B244</f>
        <v>Experimental</v>
      </c>
      <c r="C244" s="4">
        <f>4*(((6-'01_WHOQOL_Items'!F244) + (6-'01_WHOQOL_Items'!G244) + '01_WHOQOL_Items'!M244 + '01_WHOQOL_Items'!R244 + '01_WHOQOL_Items'!S244 + '01_WHOQOL_Items'!T244 + '01_WHOQOL_Items'!U244)/7)</f>
        <v>12.571428571428571</v>
      </c>
      <c r="D244" s="4">
        <f>4*(((6-'01_WHOQOL_Items'!AF244) + (6-'01_WHOQOL_Items'!AG244) + '01_WHOQOL_Items'!AM244 + '01_WHOQOL_Items'!AR244 + '01_WHOQOL_Items'!AS244 + '01_WHOQOL_Items'!AT244 + '01_WHOQOL_Items'!AU244)/7)</f>
        <v>13.142857142857142</v>
      </c>
      <c r="E244" s="4">
        <f t="shared" si="45"/>
        <v>53.571428571428569</v>
      </c>
      <c r="F244" s="4">
        <f t="shared" si="46"/>
        <v>57.142857142857139</v>
      </c>
      <c r="G244" s="5">
        <f t="shared" si="47"/>
        <v>6.6666666666666638E-2</v>
      </c>
      <c r="H244" s="4">
        <f>4*(('01_WHOQOL_Items'!H244 + '01_WHOQOL_Items'!I244 + '01_WHOQOL_Items'!J244 + '01_WHOQOL_Items'!N244 + '01_WHOQOL_Items'!V244 + (6-'01_WHOQOL_Items'!AC244))/6)</f>
        <v>14</v>
      </c>
      <c r="I244" s="4">
        <f>4*(('01_WHOQOL_Items'!AH244 + '01_WHOQOL_Items'!AI244 + '01_WHOQOL_Items'!AJ244 + '01_WHOQOL_Items'!AN244 + '01_WHOQOL_Items'!AV244 + (6-'01_WHOQOL_Items'!BC244))/6)</f>
        <v>16.666666666666668</v>
      </c>
      <c r="J244" s="4">
        <f t="shared" si="48"/>
        <v>62.5</v>
      </c>
      <c r="K244" s="4">
        <f t="shared" si="49"/>
        <v>79.166666666666671</v>
      </c>
      <c r="L244" s="5">
        <f t="shared" si="50"/>
        <v>0.26666666666666672</v>
      </c>
      <c r="M244" s="4">
        <f>4*(('01_WHOQOL_Items'!W244 + '01_WHOQOL_Items'!X244 + '01_WHOQOL_Items'!Y244)/3)</f>
        <v>9.3333333333333339</v>
      </c>
      <c r="N244" s="4">
        <f>4*(('01_WHOQOL_Items'!AW244 + '01_WHOQOL_Items'!AX244 + '01_WHOQOL_Items'!AY244)/3)</f>
        <v>16</v>
      </c>
      <c r="O244" s="4">
        <f t="shared" si="51"/>
        <v>33.333333333333336</v>
      </c>
      <c r="P244" s="4">
        <f t="shared" si="52"/>
        <v>75</v>
      </c>
      <c r="Q244" s="5">
        <f t="shared" si="53"/>
        <v>1.2499999999999998</v>
      </c>
      <c r="R244" s="4">
        <f>4*(('01_WHOQOL_Items'!K244 + '01_WHOQOL_Items'!L244 + '01_WHOQOL_Items'!O244 + '01_WHOQOL_Items'!P244 + '01_WHOQOL_Items'!Q244 + '01_WHOQOL_Items'!Z244 + '01_WHOQOL_Items'!AA244 + '01_WHOQOL_Items'!AB244)/8)</f>
        <v>13</v>
      </c>
      <c r="S244" s="4">
        <f>4*(('01_WHOQOL_Items'!AK244 + '01_WHOQOL_Items'!AL244 + '01_WHOQOL_Items'!AO244 + '01_WHOQOL_Items'!AP244 + '01_WHOQOL_Items'!AQ244 + '01_WHOQOL_Items'!AZ244 + '01_WHOQOL_Items'!BA244 + '01_WHOQOL_Items'!BB244)/8)</f>
        <v>15</v>
      </c>
      <c r="T244" s="4">
        <f t="shared" si="54"/>
        <v>56.25</v>
      </c>
      <c r="U244" s="4">
        <f t="shared" si="55"/>
        <v>68.75</v>
      </c>
      <c r="V244" s="5">
        <f t="shared" si="56"/>
        <v>0.22222222222222221</v>
      </c>
      <c r="W244" s="4">
        <f t="shared" si="57"/>
        <v>51.413690476190474</v>
      </c>
      <c r="X244" s="4">
        <f t="shared" si="58"/>
        <v>70.014880952380949</v>
      </c>
      <c r="Y244" s="5">
        <f t="shared" si="59"/>
        <v>0.36179450072358899</v>
      </c>
      <c r="Z244" s="1">
        <f>'01_WHOQOL_Items'!D244</f>
        <v>3</v>
      </c>
      <c r="AA244" s="1">
        <f>'01_WHOQOL_Items'!AD244</f>
        <v>3</v>
      </c>
      <c r="AB244" s="1">
        <f>'01_WHOQOL_Items'!E244</f>
        <v>3</v>
      </c>
      <c r="AC244" s="1">
        <f>'01_WHOQOL_Items'!AE244</f>
        <v>4</v>
      </c>
    </row>
    <row r="245" spans="1:29">
      <c r="A245" s="1" t="str">
        <f>'01_WHOQOL_Items'!A245</f>
        <v>EXP-244</v>
      </c>
      <c r="B245" s="1" t="str">
        <f>'01_WHOQOL_Items'!B245</f>
        <v>Experimental</v>
      </c>
      <c r="C245" s="4">
        <f>4*(((6-'01_WHOQOL_Items'!F245) + (6-'01_WHOQOL_Items'!G245) + '01_WHOQOL_Items'!M245 + '01_WHOQOL_Items'!R245 + '01_WHOQOL_Items'!S245 + '01_WHOQOL_Items'!T245 + '01_WHOQOL_Items'!U245)/7)</f>
        <v>6.8571428571428568</v>
      </c>
      <c r="D245" s="4">
        <f>4*(((6-'01_WHOQOL_Items'!AF245) + (6-'01_WHOQOL_Items'!AG245) + '01_WHOQOL_Items'!AM245 + '01_WHOQOL_Items'!AR245 + '01_WHOQOL_Items'!AS245 + '01_WHOQOL_Items'!AT245 + '01_WHOQOL_Items'!AU245)/7)</f>
        <v>9.1428571428571423</v>
      </c>
      <c r="E245" s="4">
        <f t="shared" si="45"/>
        <v>17.857142857142854</v>
      </c>
      <c r="F245" s="4">
        <f t="shared" si="46"/>
        <v>32.142857142857139</v>
      </c>
      <c r="G245" s="5">
        <f t="shared" si="47"/>
        <v>0.8</v>
      </c>
      <c r="H245" s="4">
        <f>4*(('01_WHOQOL_Items'!H245 + '01_WHOQOL_Items'!I245 + '01_WHOQOL_Items'!J245 + '01_WHOQOL_Items'!N245 + '01_WHOQOL_Items'!V245 + (6-'01_WHOQOL_Items'!AC245))/6)</f>
        <v>9.3333333333333339</v>
      </c>
      <c r="I245" s="4">
        <f>4*(('01_WHOQOL_Items'!AH245 + '01_WHOQOL_Items'!AI245 + '01_WHOQOL_Items'!AJ245 + '01_WHOQOL_Items'!AN245 + '01_WHOQOL_Items'!AV245 + (6-'01_WHOQOL_Items'!BC245))/6)</f>
        <v>13.333333333333334</v>
      </c>
      <c r="J245" s="4">
        <f t="shared" si="48"/>
        <v>33.333333333333336</v>
      </c>
      <c r="K245" s="4">
        <f t="shared" si="49"/>
        <v>58.333333333333336</v>
      </c>
      <c r="L245" s="5">
        <f t="shared" si="50"/>
        <v>0.75</v>
      </c>
      <c r="M245" s="4">
        <f>4*(('01_WHOQOL_Items'!W245 + '01_WHOQOL_Items'!X245 + '01_WHOQOL_Items'!Y245)/3)</f>
        <v>10.666666666666666</v>
      </c>
      <c r="N245" s="4">
        <f>4*(('01_WHOQOL_Items'!AW245 + '01_WHOQOL_Items'!AX245 + '01_WHOQOL_Items'!AY245)/3)</f>
        <v>17.333333333333332</v>
      </c>
      <c r="O245" s="4">
        <f t="shared" si="51"/>
        <v>41.666666666666664</v>
      </c>
      <c r="P245" s="4">
        <f t="shared" si="52"/>
        <v>83.333333333333329</v>
      </c>
      <c r="Q245" s="5">
        <f t="shared" si="53"/>
        <v>1</v>
      </c>
      <c r="R245" s="4">
        <f>4*(('01_WHOQOL_Items'!K245 + '01_WHOQOL_Items'!L245 + '01_WHOQOL_Items'!O245 + '01_WHOQOL_Items'!P245 + '01_WHOQOL_Items'!Q245 + '01_WHOQOL_Items'!Z245 + '01_WHOQOL_Items'!AA245 + '01_WHOQOL_Items'!AB245)/8)</f>
        <v>13</v>
      </c>
      <c r="S245" s="4">
        <f>4*(('01_WHOQOL_Items'!AK245 + '01_WHOQOL_Items'!AL245 + '01_WHOQOL_Items'!AO245 + '01_WHOQOL_Items'!AP245 + '01_WHOQOL_Items'!AQ245 + '01_WHOQOL_Items'!AZ245 + '01_WHOQOL_Items'!BA245 + '01_WHOQOL_Items'!BB245)/8)</f>
        <v>14</v>
      </c>
      <c r="T245" s="4">
        <f t="shared" si="54"/>
        <v>56.25</v>
      </c>
      <c r="U245" s="4">
        <f t="shared" si="55"/>
        <v>62.5</v>
      </c>
      <c r="V245" s="5">
        <f t="shared" si="56"/>
        <v>0.1111111111111111</v>
      </c>
      <c r="W245" s="4">
        <f t="shared" si="57"/>
        <v>37.276785714285715</v>
      </c>
      <c r="X245" s="4">
        <f t="shared" si="58"/>
        <v>59.077380952380949</v>
      </c>
      <c r="Y245" s="5">
        <f t="shared" si="59"/>
        <v>0.5848303393213572</v>
      </c>
      <c r="Z245" s="1">
        <f>'01_WHOQOL_Items'!D245</f>
        <v>2</v>
      </c>
      <c r="AA245" s="1">
        <f>'01_WHOQOL_Items'!AD245</f>
        <v>3</v>
      </c>
      <c r="AB245" s="1">
        <f>'01_WHOQOL_Items'!E245</f>
        <v>2</v>
      </c>
      <c r="AC245" s="1">
        <f>'01_WHOQOL_Items'!AE245</f>
        <v>3</v>
      </c>
    </row>
    <row r="246" spans="1:29">
      <c r="A246" s="1" t="str">
        <f>'01_WHOQOL_Items'!A246</f>
        <v>EXP-245</v>
      </c>
      <c r="B246" s="1" t="str">
        <f>'01_WHOQOL_Items'!B246</f>
        <v>Experimental</v>
      </c>
      <c r="C246" s="4">
        <f>4*(((6-'01_WHOQOL_Items'!F246) + (6-'01_WHOQOL_Items'!G246) + '01_WHOQOL_Items'!M246 + '01_WHOQOL_Items'!R246 + '01_WHOQOL_Items'!S246 + '01_WHOQOL_Items'!T246 + '01_WHOQOL_Items'!U246)/7)</f>
        <v>12.571428571428571</v>
      </c>
      <c r="D246" s="4">
        <f>4*(((6-'01_WHOQOL_Items'!AF246) + (6-'01_WHOQOL_Items'!AG246) + '01_WHOQOL_Items'!AM246 + '01_WHOQOL_Items'!AR246 + '01_WHOQOL_Items'!AS246 + '01_WHOQOL_Items'!AT246 + '01_WHOQOL_Items'!AU246)/7)</f>
        <v>16</v>
      </c>
      <c r="E246" s="4">
        <f t="shared" si="45"/>
        <v>53.571428571428569</v>
      </c>
      <c r="F246" s="4">
        <f t="shared" si="46"/>
        <v>75</v>
      </c>
      <c r="G246" s="5">
        <f t="shared" si="47"/>
        <v>0.40000000000000008</v>
      </c>
      <c r="H246" s="4">
        <f>4*(('01_WHOQOL_Items'!H246 + '01_WHOQOL_Items'!I246 + '01_WHOQOL_Items'!J246 + '01_WHOQOL_Items'!N246 + '01_WHOQOL_Items'!V246 + (6-'01_WHOQOL_Items'!AC246))/6)</f>
        <v>12.666666666666666</v>
      </c>
      <c r="I246" s="4">
        <f>4*(('01_WHOQOL_Items'!AH246 + '01_WHOQOL_Items'!AI246 + '01_WHOQOL_Items'!AJ246 + '01_WHOQOL_Items'!AN246 + '01_WHOQOL_Items'!AV246 + (6-'01_WHOQOL_Items'!BC246))/6)</f>
        <v>20</v>
      </c>
      <c r="J246" s="4">
        <f t="shared" si="48"/>
        <v>54.166666666666664</v>
      </c>
      <c r="K246" s="4">
        <f t="shared" si="49"/>
        <v>100</v>
      </c>
      <c r="L246" s="5">
        <f t="shared" si="50"/>
        <v>0.84615384615384626</v>
      </c>
      <c r="M246" s="4">
        <f>4*(('01_WHOQOL_Items'!W246 + '01_WHOQOL_Items'!X246 + '01_WHOQOL_Items'!Y246)/3)</f>
        <v>12</v>
      </c>
      <c r="N246" s="4">
        <f>4*(('01_WHOQOL_Items'!AW246 + '01_WHOQOL_Items'!AX246 + '01_WHOQOL_Items'!AY246)/3)</f>
        <v>12</v>
      </c>
      <c r="O246" s="4">
        <f t="shared" si="51"/>
        <v>50</v>
      </c>
      <c r="P246" s="4">
        <f t="shared" si="52"/>
        <v>50</v>
      </c>
      <c r="Q246" s="5">
        <f t="shared" si="53"/>
        <v>0</v>
      </c>
      <c r="R246" s="4">
        <f>4*(('01_WHOQOL_Items'!K246 + '01_WHOQOL_Items'!L246 + '01_WHOQOL_Items'!O246 + '01_WHOQOL_Items'!P246 + '01_WHOQOL_Items'!Q246 + '01_WHOQOL_Items'!Z246 + '01_WHOQOL_Items'!AA246 + '01_WHOQOL_Items'!AB246)/8)</f>
        <v>12.5</v>
      </c>
      <c r="S246" s="4">
        <f>4*(('01_WHOQOL_Items'!AK246 + '01_WHOQOL_Items'!AL246 + '01_WHOQOL_Items'!AO246 + '01_WHOQOL_Items'!AP246 + '01_WHOQOL_Items'!AQ246 + '01_WHOQOL_Items'!AZ246 + '01_WHOQOL_Items'!BA246 + '01_WHOQOL_Items'!BB246)/8)</f>
        <v>13.5</v>
      </c>
      <c r="T246" s="4">
        <f t="shared" si="54"/>
        <v>53.125</v>
      </c>
      <c r="U246" s="4">
        <f t="shared" si="55"/>
        <v>59.375</v>
      </c>
      <c r="V246" s="5">
        <f t="shared" si="56"/>
        <v>0.11764705882352941</v>
      </c>
      <c r="W246" s="4">
        <f t="shared" si="57"/>
        <v>52.71577380952381</v>
      </c>
      <c r="X246" s="4">
        <f t="shared" si="58"/>
        <v>71.09375</v>
      </c>
      <c r="Y246" s="5">
        <f t="shared" si="59"/>
        <v>0.34862385321100914</v>
      </c>
      <c r="Z246" s="1">
        <f>'01_WHOQOL_Items'!D246</f>
        <v>3</v>
      </c>
      <c r="AA246" s="1">
        <f>'01_WHOQOL_Items'!AD246</f>
        <v>4</v>
      </c>
      <c r="AB246" s="1">
        <f>'01_WHOQOL_Items'!E246</f>
        <v>3</v>
      </c>
      <c r="AC246" s="1">
        <f>'01_WHOQOL_Items'!AE246</f>
        <v>3</v>
      </c>
    </row>
    <row r="247" spans="1:29">
      <c r="A247" s="1" t="str">
        <f>'01_WHOQOL_Items'!A247</f>
        <v>EXP-246</v>
      </c>
      <c r="B247" s="1" t="str">
        <f>'01_WHOQOL_Items'!B247</f>
        <v>Experimental</v>
      </c>
      <c r="C247" s="4">
        <f>4*(((6-'01_WHOQOL_Items'!F247) + (6-'01_WHOQOL_Items'!G247) + '01_WHOQOL_Items'!M247 + '01_WHOQOL_Items'!R247 + '01_WHOQOL_Items'!S247 + '01_WHOQOL_Items'!T247 + '01_WHOQOL_Items'!U247)/7)</f>
        <v>9.7142857142857135</v>
      </c>
      <c r="D247" s="4">
        <f>4*(((6-'01_WHOQOL_Items'!AF247) + (6-'01_WHOQOL_Items'!AG247) + '01_WHOQOL_Items'!AM247 + '01_WHOQOL_Items'!AR247 + '01_WHOQOL_Items'!AS247 + '01_WHOQOL_Items'!AT247 + '01_WHOQOL_Items'!AU247)/7)</f>
        <v>12.571428571428571</v>
      </c>
      <c r="E247" s="4">
        <f t="shared" si="45"/>
        <v>35.714285714285708</v>
      </c>
      <c r="F247" s="4">
        <f t="shared" si="46"/>
        <v>53.571428571428569</v>
      </c>
      <c r="G247" s="5">
        <f t="shared" si="47"/>
        <v>0.50000000000000022</v>
      </c>
      <c r="H247" s="4">
        <f>4*(('01_WHOQOL_Items'!H247 + '01_WHOQOL_Items'!I247 + '01_WHOQOL_Items'!J247 + '01_WHOQOL_Items'!N247 + '01_WHOQOL_Items'!V247 + (6-'01_WHOQOL_Items'!AC247))/6)</f>
        <v>10.666666666666666</v>
      </c>
      <c r="I247" s="4">
        <f>4*(('01_WHOQOL_Items'!AH247 + '01_WHOQOL_Items'!AI247 + '01_WHOQOL_Items'!AJ247 + '01_WHOQOL_Items'!AN247 + '01_WHOQOL_Items'!AV247 + (6-'01_WHOQOL_Items'!BC247))/6)</f>
        <v>14.666666666666666</v>
      </c>
      <c r="J247" s="4">
        <f t="shared" si="48"/>
        <v>41.666666666666664</v>
      </c>
      <c r="K247" s="4">
        <f t="shared" si="49"/>
        <v>66.666666666666657</v>
      </c>
      <c r="L247" s="5">
        <f t="shared" si="50"/>
        <v>0.59999999999999987</v>
      </c>
      <c r="M247" s="4">
        <f>4*(('01_WHOQOL_Items'!W247 + '01_WHOQOL_Items'!X247 + '01_WHOQOL_Items'!Y247)/3)</f>
        <v>13.333333333333334</v>
      </c>
      <c r="N247" s="4">
        <f>4*(('01_WHOQOL_Items'!AW247 + '01_WHOQOL_Items'!AX247 + '01_WHOQOL_Items'!AY247)/3)</f>
        <v>14.666666666666666</v>
      </c>
      <c r="O247" s="4">
        <f t="shared" si="51"/>
        <v>58.333333333333336</v>
      </c>
      <c r="P247" s="4">
        <f t="shared" si="52"/>
        <v>66.666666666666657</v>
      </c>
      <c r="Q247" s="5">
        <f t="shared" si="53"/>
        <v>0.14285714285714265</v>
      </c>
      <c r="R247" s="4">
        <f>4*(('01_WHOQOL_Items'!K247 + '01_WHOQOL_Items'!L247 + '01_WHOQOL_Items'!O247 + '01_WHOQOL_Items'!P247 + '01_WHOQOL_Items'!Q247 + '01_WHOQOL_Items'!Z247 + '01_WHOQOL_Items'!AA247 + '01_WHOQOL_Items'!AB247)/8)</f>
        <v>10.5</v>
      </c>
      <c r="S247" s="4">
        <f>4*(('01_WHOQOL_Items'!AK247 + '01_WHOQOL_Items'!AL247 + '01_WHOQOL_Items'!AO247 + '01_WHOQOL_Items'!AP247 + '01_WHOQOL_Items'!AQ247 + '01_WHOQOL_Items'!AZ247 + '01_WHOQOL_Items'!BA247 + '01_WHOQOL_Items'!BB247)/8)</f>
        <v>12</v>
      </c>
      <c r="T247" s="4">
        <f t="shared" si="54"/>
        <v>40.625</v>
      </c>
      <c r="U247" s="4">
        <f t="shared" si="55"/>
        <v>50</v>
      </c>
      <c r="V247" s="5">
        <f t="shared" si="56"/>
        <v>0.23076923076923078</v>
      </c>
      <c r="W247" s="4">
        <f t="shared" si="57"/>
        <v>44.084821428571431</v>
      </c>
      <c r="X247" s="4">
        <f t="shared" si="58"/>
        <v>59.226190476190467</v>
      </c>
      <c r="Y247" s="5">
        <f t="shared" si="59"/>
        <v>0.3434599156118141</v>
      </c>
      <c r="Z247" s="1">
        <f>'01_WHOQOL_Items'!D247</f>
        <v>3</v>
      </c>
      <c r="AA247" s="1">
        <f>'01_WHOQOL_Items'!AD247</f>
        <v>3</v>
      </c>
      <c r="AB247" s="1">
        <f>'01_WHOQOL_Items'!E247</f>
        <v>3</v>
      </c>
      <c r="AC247" s="1">
        <f>'01_WHOQOL_Items'!AE247</f>
        <v>2</v>
      </c>
    </row>
    <row r="248" spans="1:29">
      <c r="A248" s="1" t="str">
        <f>'01_WHOQOL_Items'!A248</f>
        <v>EXP-247</v>
      </c>
      <c r="B248" s="1" t="str">
        <f>'01_WHOQOL_Items'!B248</f>
        <v>Experimental</v>
      </c>
      <c r="C248" s="4">
        <f>4*(((6-'01_WHOQOL_Items'!F248) + (6-'01_WHOQOL_Items'!G248) + '01_WHOQOL_Items'!M248 + '01_WHOQOL_Items'!R248 + '01_WHOQOL_Items'!S248 + '01_WHOQOL_Items'!T248 + '01_WHOQOL_Items'!U248)/7)</f>
        <v>13.714285714285714</v>
      </c>
      <c r="D248" s="4">
        <f>4*(((6-'01_WHOQOL_Items'!AF248) + (6-'01_WHOQOL_Items'!AG248) + '01_WHOQOL_Items'!AM248 + '01_WHOQOL_Items'!AR248 + '01_WHOQOL_Items'!AS248 + '01_WHOQOL_Items'!AT248 + '01_WHOQOL_Items'!AU248)/7)</f>
        <v>12</v>
      </c>
      <c r="E248" s="4">
        <f t="shared" si="45"/>
        <v>60.714285714285708</v>
      </c>
      <c r="F248" s="4">
        <f t="shared" si="46"/>
        <v>50</v>
      </c>
      <c r="G248" s="5">
        <f t="shared" si="47"/>
        <v>-0.17647058823529405</v>
      </c>
      <c r="H248" s="4">
        <f>4*(('01_WHOQOL_Items'!H248 + '01_WHOQOL_Items'!I248 + '01_WHOQOL_Items'!J248 + '01_WHOQOL_Items'!N248 + '01_WHOQOL_Items'!V248 + (6-'01_WHOQOL_Items'!AC248))/6)</f>
        <v>9.3333333333333339</v>
      </c>
      <c r="I248" s="4">
        <f>4*(('01_WHOQOL_Items'!AH248 + '01_WHOQOL_Items'!AI248 + '01_WHOQOL_Items'!AJ248 + '01_WHOQOL_Items'!AN248 + '01_WHOQOL_Items'!AV248 + (6-'01_WHOQOL_Items'!BC248))/6)</f>
        <v>14</v>
      </c>
      <c r="J248" s="4">
        <f t="shared" si="48"/>
        <v>33.333333333333336</v>
      </c>
      <c r="K248" s="4">
        <f t="shared" si="49"/>
        <v>62.5</v>
      </c>
      <c r="L248" s="5">
        <f t="shared" si="50"/>
        <v>0.87499999999999989</v>
      </c>
      <c r="M248" s="4">
        <f>4*(('01_WHOQOL_Items'!W248 + '01_WHOQOL_Items'!X248 + '01_WHOQOL_Items'!Y248)/3)</f>
        <v>12</v>
      </c>
      <c r="N248" s="4">
        <f>4*(('01_WHOQOL_Items'!AW248 + '01_WHOQOL_Items'!AX248 + '01_WHOQOL_Items'!AY248)/3)</f>
        <v>12</v>
      </c>
      <c r="O248" s="4">
        <f t="shared" si="51"/>
        <v>50</v>
      </c>
      <c r="P248" s="4">
        <f t="shared" si="52"/>
        <v>50</v>
      </c>
      <c r="Q248" s="5">
        <f t="shared" si="53"/>
        <v>0</v>
      </c>
      <c r="R248" s="4">
        <f>4*(('01_WHOQOL_Items'!K248 + '01_WHOQOL_Items'!L248 + '01_WHOQOL_Items'!O248 + '01_WHOQOL_Items'!P248 + '01_WHOQOL_Items'!Q248 + '01_WHOQOL_Items'!Z248 + '01_WHOQOL_Items'!AA248 + '01_WHOQOL_Items'!AB248)/8)</f>
        <v>15.5</v>
      </c>
      <c r="S248" s="4">
        <f>4*(('01_WHOQOL_Items'!AK248 + '01_WHOQOL_Items'!AL248 + '01_WHOQOL_Items'!AO248 + '01_WHOQOL_Items'!AP248 + '01_WHOQOL_Items'!AQ248 + '01_WHOQOL_Items'!AZ248 + '01_WHOQOL_Items'!BA248 + '01_WHOQOL_Items'!BB248)/8)</f>
        <v>16.5</v>
      </c>
      <c r="T248" s="4">
        <f t="shared" si="54"/>
        <v>71.875</v>
      </c>
      <c r="U248" s="4">
        <f t="shared" si="55"/>
        <v>78.125</v>
      </c>
      <c r="V248" s="5">
        <f t="shared" si="56"/>
        <v>8.6956521739130432E-2</v>
      </c>
      <c r="W248" s="4">
        <f t="shared" si="57"/>
        <v>53.980654761904759</v>
      </c>
      <c r="X248" s="4">
        <f t="shared" si="58"/>
        <v>60.15625</v>
      </c>
      <c r="Y248" s="5">
        <f t="shared" si="59"/>
        <v>0.11440385940730537</v>
      </c>
      <c r="Z248" s="1">
        <f>'01_WHOQOL_Items'!D248</f>
        <v>3</v>
      </c>
      <c r="AA248" s="1">
        <f>'01_WHOQOL_Items'!AD248</f>
        <v>4</v>
      </c>
      <c r="AB248" s="1">
        <f>'01_WHOQOL_Items'!E248</f>
        <v>3</v>
      </c>
      <c r="AC248" s="1">
        <f>'01_WHOQOL_Items'!AE248</f>
        <v>3</v>
      </c>
    </row>
    <row r="249" spans="1:29">
      <c r="A249" s="1" t="str">
        <f>'01_WHOQOL_Items'!A249</f>
        <v>EXP-248</v>
      </c>
      <c r="B249" s="1" t="str">
        <f>'01_WHOQOL_Items'!B249</f>
        <v>Experimental</v>
      </c>
      <c r="C249" s="4">
        <f>4*(((6-'01_WHOQOL_Items'!F249) + (6-'01_WHOQOL_Items'!G249) + '01_WHOQOL_Items'!M249 + '01_WHOQOL_Items'!R249 + '01_WHOQOL_Items'!S249 + '01_WHOQOL_Items'!T249 + '01_WHOQOL_Items'!U249)/7)</f>
        <v>11.428571428571429</v>
      </c>
      <c r="D249" s="4">
        <f>4*(((6-'01_WHOQOL_Items'!AF249) + (6-'01_WHOQOL_Items'!AG249) + '01_WHOQOL_Items'!AM249 + '01_WHOQOL_Items'!AR249 + '01_WHOQOL_Items'!AS249 + '01_WHOQOL_Items'!AT249 + '01_WHOQOL_Items'!AU249)/7)</f>
        <v>10.285714285714286</v>
      </c>
      <c r="E249" s="4">
        <f t="shared" si="45"/>
        <v>46.428571428571431</v>
      </c>
      <c r="F249" s="4">
        <f t="shared" si="46"/>
        <v>39.285714285714292</v>
      </c>
      <c r="G249" s="5">
        <f t="shared" si="47"/>
        <v>-0.15384615384615374</v>
      </c>
      <c r="H249" s="4">
        <f>4*(('01_WHOQOL_Items'!H249 + '01_WHOQOL_Items'!I249 + '01_WHOQOL_Items'!J249 + '01_WHOQOL_Items'!N249 + '01_WHOQOL_Items'!V249 + (6-'01_WHOQOL_Items'!AC249))/6)</f>
        <v>9.3333333333333339</v>
      </c>
      <c r="I249" s="4">
        <f>4*(('01_WHOQOL_Items'!AH249 + '01_WHOQOL_Items'!AI249 + '01_WHOQOL_Items'!AJ249 + '01_WHOQOL_Items'!AN249 + '01_WHOQOL_Items'!AV249 + (6-'01_WHOQOL_Items'!BC249))/6)</f>
        <v>13.333333333333334</v>
      </c>
      <c r="J249" s="4">
        <f t="shared" si="48"/>
        <v>33.333333333333336</v>
      </c>
      <c r="K249" s="4">
        <f t="shared" si="49"/>
        <v>58.333333333333336</v>
      </c>
      <c r="L249" s="5">
        <f t="shared" si="50"/>
        <v>0.75</v>
      </c>
      <c r="M249" s="4">
        <f>4*(('01_WHOQOL_Items'!W249 + '01_WHOQOL_Items'!X249 + '01_WHOQOL_Items'!Y249)/3)</f>
        <v>13.333333333333334</v>
      </c>
      <c r="N249" s="4">
        <f>4*(('01_WHOQOL_Items'!AW249 + '01_WHOQOL_Items'!AX249 + '01_WHOQOL_Items'!AY249)/3)</f>
        <v>14.666666666666666</v>
      </c>
      <c r="O249" s="4">
        <f t="shared" si="51"/>
        <v>58.333333333333336</v>
      </c>
      <c r="P249" s="4">
        <f t="shared" si="52"/>
        <v>66.666666666666657</v>
      </c>
      <c r="Q249" s="5">
        <f t="shared" si="53"/>
        <v>0.14285714285714265</v>
      </c>
      <c r="R249" s="4">
        <f>4*(('01_WHOQOL_Items'!K249 + '01_WHOQOL_Items'!L249 + '01_WHOQOL_Items'!O249 + '01_WHOQOL_Items'!P249 + '01_WHOQOL_Items'!Q249 + '01_WHOQOL_Items'!Z249 + '01_WHOQOL_Items'!AA249 + '01_WHOQOL_Items'!AB249)/8)</f>
        <v>9</v>
      </c>
      <c r="S249" s="4">
        <f>4*(('01_WHOQOL_Items'!AK249 + '01_WHOQOL_Items'!AL249 + '01_WHOQOL_Items'!AO249 + '01_WHOQOL_Items'!AP249 + '01_WHOQOL_Items'!AQ249 + '01_WHOQOL_Items'!AZ249 + '01_WHOQOL_Items'!BA249 + '01_WHOQOL_Items'!BB249)/8)</f>
        <v>12</v>
      </c>
      <c r="T249" s="4">
        <f t="shared" si="54"/>
        <v>31.25</v>
      </c>
      <c r="U249" s="4">
        <f t="shared" si="55"/>
        <v>50</v>
      </c>
      <c r="V249" s="5">
        <f t="shared" si="56"/>
        <v>0.6</v>
      </c>
      <c r="W249" s="4">
        <f t="shared" si="57"/>
        <v>42.336309523809526</v>
      </c>
      <c r="X249" s="4">
        <f t="shared" si="58"/>
        <v>53.571428571428569</v>
      </c>
      <c r="Y249" s="5">
        <f t="shared" si="59"/>
        <v>0.26537785588752189</v>
      </c>
      <c r="Z249" s="1">
        <f>'01_WHOQOL_Items'!D249</f>
        <v>2</v>
      </c>
      <c r="AA249" s="1">
        <f>'01_WHOQOL_Items'!AD249</f>
        <v>4</v>
      </c>
      <c r="AB249" s="1">
        <f>'01_WHOQOL_Items'!E249</f>
        <v>3</v>
      </c>
      <c r="AC249" s="1">
        <f>'01_WHOQOL_Items'!AE249</f>
        <v>3</v>
      </c>
    </row>
    <row r="250" spans="1:29">
      <c r="A250" s="1" t="str">
        <f>'01_WHOQOL_Items'!A250</f>
        <v>EXP-249</v>
      </c>
      <c r="B250" s="1" t="str">
        <f>'01_WHOQOL_Items'!B250</f>
        <v>Experimental</v>
      </c>
      <c r="C250" s="4">
        <f>4*(((6-'01_WHOQOL_Items'!F250) + (6-'01_WHOQOL_Items'!G250) + '01_WHOQOL_Items'!M250 + '01_WHOQOL_Items'!R250 + '01_WHOQOL_Items'!S250 + '01_WHOQOL_Items'!T250 + '01_WHOQOL_Items'!U250)/7)</f>
        <v>18.285714285714285</v>
      </c>
      <c r="D250" s="4">
        <f>4*(((6-'01_WHOQOL_Items'!AF250) + (6-'01_WHOQOL_Items'!AG250) + '01_WHOQOL_Items'!AM250 + '01_WHOQOL_Items'!AR250 + '01_WHOQOL_Items'!AS250 + '01_WHOQOL_Items'!AT250 + '01_WHOQOL_Items'!AU250)/7)</f>
        <v>20</v>
      </c>
      <c r="E250" s="4">
        <f t="shared" si="45"/>
        <v>89.285714285714278</v>
      </c>
      <c r="F250" s="4">
        <f t="shared" si="46"/>
        <v>100</v>
      </c>
      <c r="G250" s="5">
        <f t="shared" si="47"/>
        <v>0.12000000000000011</v>
      </c>
      <c r="H250" s="4">
        <f>4*(('01_WHOQOL_Items'!H250 + '01_WHOQOL_Items'!I250 + '01_WHOQOL_Items'!J250 + '01_WHOQOL_Items'!N250 + '01_WHOQOL_Items'!V250 + (6-'01_WHOQOL_Items'!AC250))/6)</f>
        <v>13.333333333333334</v>
      </c>
      <c r="I250" s="4">
        <f>4*(('01_WHOQOL_Items'!AH250 + '01_WHOQOL_Items'!AI250 + '01_WHOQOL_Items'!AJ250 + '01_WHOQOL_Items'!AN250 + '01_WHOQOL_Items'!AV250 + (6-'01_WHOQOL_Items'!BC250))/6)</f>
        <v>14.666666666666666</v>
      </c>
      <c r="J250" s="4">
        <f t="shared" si="48"/>
        <v>58.333333333333336</v>
      </c>
      <c r="K250" s="4">
        <f t="shared" si="49"/>
        <v>66.666666666666657</v>
      </c>
      <c r="L250" s="5">
        <f t="shared" si="50"/>
        <v>0.14285714285714265</v>
      </c>
      <c r="M250" s="4">
        <f>4*(('01_WHOQOL_Items'!W250 + '01_WHOQOL_Items'!X250 + '01_WHOQOL_Items'!Y250)/3)</f>
        <v>10.666666666666666</v>
      </c>
      <c r="N250" s="4">
        <f>4*(('01_WHOQOL_Items'!AW250 + '01_WHOQOL_Items'!AX250 + '01_WHOQOL_Items'!AY250)/3)</f>
        <v>13.333333333333334</v>
      </c>
      <c r="O250" s="4">
        <f t="shared" si="51"/>
        <v>41.666666666666664</v>
      </c>
      <c r="P250" s="4">
        <f t="shared" si="52"/>
        <v>58.333333333333336</v>
      </c>
      <c r="Q250" s="5">
        <f t="shared" si="53"/>
        <v>0.40000000000000013</v>
      </c>
      <c r="R250" s="4">
        <f>4*(('01_WHOQOL_Items'!K250 + '01_WHOQOL_Items'!L250 + '01_WHOQOL_Items'!O250 + '01_WHOQOL_Items'!P250 + '01_WHOQOL_Items'!Q250 + '01_WHOQOL_Items'!Z250 + '01_WHOQOL_Items'!AA250 + '01_WHOQOL_Items'!AB250)/8)</f>
        <v>10.5</v>
      </c>
      <c r="S250" s="4">
        <f>4*(('01_WHOQOL_Items'!AK250 + '01_WHOQOL_Items'!AL250 + '01_WHOQOL_Items'!AO250 + '01_WHOQOL_Items'!AP250 + '01_WHOQOL_Items'!AQ250 + '01_WHOQOL_Items'!AZ250 + '01_WHOQOL_Items'!BA250 + '01_WHOQOL_Items'!BB250)/8)</f>
        <v>11.5</v>
      </c>
      <c r="T250" s="4">
        <f t="shared" si="54"/>
        <v>40.625</v>
      </c>
      <c r="U250" s="4">
        <f t="shared" si="55"/>
        <v>46.875</v>
      </c>
      <c r="V250" s="5">
        <f t="shared" si="56"/>
        <v>0.15384615384615385</v>
      </c>
      <c r="W250" s="4">
        <f t="shared" si="57"/>
        <v>57.477678571428569</v>
      </c>
      <c r="X250" s="4">
        <f t="shared" si="58"/>
        <v>67.96875</v>
      </c>
      <c r="Y250" s="5">
        <f t="shared" si="59"/>
        <v>0.18252427184466025</v>
      </c>
      <c r="Z250" s="1">
        <f>'01_WHOQOL_Items'!D250</f>
        <v>3</v>
      </c>
      <c r="AA250" s="1">
        <f>'01_WHOQOL_Items'!AD250</f>
        <v>3</v>
      </c>
      <c r="AB250" s="1">
        <f>'01_WHOQOL_Items'!E250</f>
        <v>5</v>
      </c>
      <c r="AC250" s="1">
        <f>'01_WHOQOL_Items'!AE250</f>
        <v>5</v>
      </c>
    </row>
    <row r="251" spans="1:29">
      <c r="A251" s="1" t="str">
        <f>'01_WHOQOL_Items'!A251</f>
        <v>EXP-250</v>
      </c>
      <c r="B251" s="1" t="str">
        <f>'01_WHOQOL_Items'!B251</f>
        <v>Experimental</v>
      </c>
      <c r="C251" s="4">
        <f>4*(((6-'01_WHOQOL_Items'!F251) + (6-'01_WHOQOL_Items'!G251) + '01_WHOQOL_Items'!M251 + '01_WHOQOL_Items'!R251 + '01_WHOQOL_Items'!S251 + '01_WHOQOL_Items'!T251 + '01_WHOQOL_Items'!U251)/7)</f>
        <v>13.714285714285714</v>
      </c>
      <c r="D251" s="4">
        <f>4*(((6-'01_WHOQOL_Items'!AF251) + (6-'01_WHOQOL_Items'!AG251) + '01_WHOQOL_Items'!AM251 + '01_WHOQOL_Items'!AR251 + '01_WHOQOL_Items'!AS251 + '01_WHOQOL_Items'!AT251 + '01_WHOQOL_Items'!AU251)/7)</f>
        <v>16</v>
      </c>
      <c r="E251" s="4">
        <f t="shared" si="45"/>
        <v>60.714285714285708</v>
      </c>
      <c r="F251" s="4">
        <f t="shared" si="46"/>
        <v>75</v>
      </c>
      <c r="G251" s="5">
        <f t="shared" si="47"/>
        <v>0.23529411764705896</v>
      </c>
      <c r="H251" s="4">
        <f>4*(('01_WHOQOL_Items'!H251 + '01_WHOQOL_Items'!I251 + '01_WHOQOL_Items'!J251 + '01_WHOQOL_Items'!N251 + '01_WHOQOL_Items'!V251 + (6-'01_WHOQOL_Items'!AC251))/6)</f>
        <v>13.333333333333334</v>
      </c>
      <c r="I251" s="4">
        <f>4*(('01_WHOQOL_Items'!AH251 + '01_WHOQOL_Items'!AI251 + '01_WHOQOL_Items'!AJ251 + '01_WHOQOL_Items'!AN251 + '01_WHOQOL_Items'!AV251 + (6-'01_WHOQOL_Items'!BC251))/6)</f>
        <v>13.333333333333334</v>
      </c>
      <c r="J251" s="4">
        <f t="shared" si="48"/>
        <v>58.333333333333336</v>
      </c>
      <c r="K251" s="4">
        <f t="shared" si="49"/>
        <v>58.333333333333336</v>
      </c>
      <c r="L251" s="5">
        <f t="shared" si="50"/>
        <v>0</v>
      </c>
      <c r="M251" s="4">
        <f>4*(('01_WHOQOL_Items'!W251 + '01_WHOQOL_Items'!X251 + '01_WHOQOL_Items'!Y251)/3)</f>
        <v>10.666666666666666</v>
      </c>
      <c r="N251" s="4">
        <f>4*(('01_WHOQOL_Items'!AW251 + '01_WHOQOL_Items'!AX251 + '01_WHOQOL_Items'!AY251)/3)</f>
        <v>14.666666666666666</v>
      </c>
      <c r="O251" s="4">
        <f t="shared" si="51"/>
        <v>41.666666666666664</v>
      </c>
      <c r="P251" s="4">
        <f t="shared" si="52"/>
        <v>66.666666666666657</v>
      </c>
      <c r="Q251" s="5">
        <f t="shared" si="53"/>
        <v>0.59999999999999987</v>
      </c>
      <c r="R251" s="4">
        <f>4*(('01_WHOQOL_Items'!K251 + '01_WHOQOL_Items'!L251 + '01_WHOQOL_Items'!O251 + '01_WHOQOL_Items'!P251 + '01_WHOQOL_Items'!Q251 + '01_WHOQOL_Items'!Z251 + '01_WHOQOL_Items'!AA251 + '01_WHOQOL_Items'!AB251)/8)</f>
        <v>10</v>
      </c>
      <c r="S251" s="4">
        <f>4*(('01_WHOQOL_Items'!AK251 + '01_WHOQOL_Items'!AL251 + '01_WHOQOL_Items'!AO251 + '01_WHOQOL_Items'!AP251 + '01_WHOQOL_Items'!AQ251 + '01_WHOQOL_Items'!AZ251 + '01_WHOQOL_Items'!BA251 + '01_WHOQOL_Items'!BB251)/8)</f>
        <v>13.5</v>
      </c>
      <c r="T251" s="4">
        <f t="shared" si="54"/>
        <v>37.5</v>
      </c>
      <c r="U251" s="4">
        <f t="shared" si="55"/>
        <v>59.375</v>
      </c>
      <c r="V251" s="5">
        <f t="shared" si="56"/>
        <v>0.58333333333333337</v>
      </c>
      <c r="W251" s="4">
        <f t="shared" si="57"/>
        <v>49.553571428571423</v>
      </c>
      <c r="X251" s="4">
        <f t="shared" si="58"/>
        <v>64.84375</v>
      </c>
      <c r="Y251" s="5">
        <f t="shared" si="59"/>
        <v>0.30855855855855868</v>
      </c>
      <c r="Z251" s="1">
        <f>'01_WHOQOL_Items'!D251</f>
        <v>3</v>
      </c>
      <c r="AA251" s="1">
        <f>'01_WHOQOL_Items'!AD251</f>
        <v>3</v>
      </c>
      <c r="AB251" s="1">
        <f>'01_WHOQOL_Items'!E251</f>
        <v>3</v>
      </c>
      <c r="AC251" s="1">
        <f>'01_WHOQOL_Items'!AE251</f>
        <v>4</v>
      </c>
    </row>
    <row r="252" spans="1:29">
      <c r="A252" s="1" t="str">
        <f>'01_WHOQOL_Items'!A252</f>
        <v>EXP-251</v>
      </c>
      <c r="B252" s="1" t="str">
        <f>'01_WHOQOL_Items'!B252</f>
        <v>Experimental</v>
      </c>
      <c r="C252" s="4">
        <f>4*(((6-'01_WHOQOL_Items'!F252) + (6-'01_WHOQOL_Items'!G252) + '01_WHOQOL_Items'!M252 + '01_WHOQOL_Items'!R252 + '01_WHOQOL_Items'!S252 + '01_WHOQOL_Items'!T252 + '01_WHOQOL_Items'!U252)/7)</f>
        <v>12</v>
      </c>
      <c r="D252" s="4">
        <f>4*(((6-'01_WHOQOL_Items'!AF252) + (6-'01_WHOQOL_Items'!AG252) + '01_WHOQOL_Items'!AM252 + '01_WHOQOL_Items'!AR252 + '01_WHOQOL_Items'!AS252 + '01_WHOQOL_Items'!AT252 + '01_WHOQOL_Items'!AU252)/7)</f>
        <v>11.428571428571429</v>
      </c>
      <c r="E252" s="4">
        <f t="shared" si="45"/>
        <v>50</v>
      </c>
      <c r="F252" s="4">
        <f t="shared" si="46"/>
        <v>46.428571428571431</v>
      </c>
      <c r="G252" s="5">
        <f t="shared" si="47"/>
        <v>-7.1428571428571383E-2</v>
      </c>
      <c r="H252" s="4">
        <f>4*(('01_WHOQOL_Items'!H252 + '01_WHOQOL_Items'!I252 + '01_WHOQOL_Items'!J252 + '01_WHOQOL_Items'!N252 + '01_WHOQOL_Items'!V252 + (6-'01_WHOQOL_Items'!AC252))/6)</f>
        <v>14.666666666666666</v>
      </c>
      <c r="I252" s="4">
        <f>4*(('01_WHOQOL_Items'!AH252 + '01_WHOQOL_Items'!AI252 + '01_WHOQOL_Items'!AJ252 + '01_WHOQOL_Items'!AN252 + '01_WHOQOL_Items'!AV252 + (6-'01_WHOQOL_Items'!BC252))/6)</f>
        <v>15.333333333333334</v>
      </c>
      <c r="J252" s="4">
        <f t="shared" si="48"/>
        <v>66.666666666666657</v>
      </c>
      <c r="K252" s="4">
        <f t="shared" si="49"/>
        <v>70.833333333333343</v>
      </c>
      <c r="L252" s="5">
        <f t="shared" si="50"/>
        <v>6.2500000000000291E-2</v>
      </c>
      <c r="M252" s="4">
        <f>4*(('01_WHOQOL_Items'!W252 + '01_WHOQOL_Items'!X252 + '01_WHOQOL_Items'!Y252)/3)</f>
        <v>6.666666666666667</v>
      </c>
      <c r="N252" s="4">
        <f>4*(('01_WHOQOL_Items'!AW252 + '01_WHOQOL_Items'!AX252 + '01_WHOQOL_Items'!AY252)/3)</f>
        <v>6.666666666666667</v>
      </c>
      <c r="O252" s="4">
        <f t="shared" si="51"/>
        <v>16.666666666666668</v>
      </c>
      <c r="P252" s="4">
        <f t="shared" si="52"/>
        <v>16.666666666666668</v>
      </c>
      <c r="Q252" s="5">
        <f t="shared" si="53"/>
        <v>0</v>
      </c>
      <c r="R252" s="4">
        <f>4*(('01_WHOQOL_Items'!K252 + '01_WHOQOL_Items'!L252 + '01_WHOQOL_Items'!O252 + '01_WHOQOL_Items'!P252 + '01_WHOQOL_Items'!Q252 + '01_WHOQOL_Items'!Z252 + '01_WHOQOL_Items'!AA252 + '01_WHOQOL_Items'!AB252)/8)</f>
        <v>14.5</v>
      </c>
      <c r="S252" s="4">
        <f>4*(('01_WHOQOL_Items'!AK252 + '01_WHOQOL_Items'!AL252 + '01_WHOQOL_Items'!AO252 + '01_WHOQOL_Items'!AP252 + '01_WHOQOL_Items'!AQ252 + '01_WHOQOL_Items'!AZ252 + '01_WHOQOL_Items'!BA252 + '01_WHOQOL_Items'!BB252)/8)</f>
        <v>14</v>
      </c>
      <c r="T252" s="4">
        <f t="shared" si="54"/>
        <v>65.625</v>
      </c>
      <c r="U252" s="4">
        <f t="shared" si="55"/>
        <v>62.5</v>
      </c>
      <c r="V252" s="5">
        <f t="shared" si="56"/>
        <v>-4.7619047619047616E-2</v>
      </c>
      <c r="W252" s="4">
        <f t="shared" si="57"/>
        <v>49.739583333333329</v>
      </c>
      <c r="X252" s="4">
        <f t="shared" si="58"/>
        <v>49.107142857142861</v>
      </c>
      <c r="Y252" s="5">
        <f t="shared" si="59"/>
        <v>-1.2715033657441858E-2</v>
      </c>
      <c r="Z252" s="1">
        <f>'01_WHOQOL_Items'!D252</f>
        <v>2</v>
      </c>
      <c r="AA252" s="1">
        <f>'01_WHOQOL_Items'!AD252</f>
        <v>3</v>
      </c>
      <c r="AB252" s="1">
        <f>'01_WHOQOL_Items'!E252</f>
        <v>3</v>
      </c>
      <c r="AC252" s="1">
        <f>'01_WHOQOL_Items'!AE252</f>
        <v>3</v>
      </c>
    </row>
    <row r="253" spans="1:29">
      <c r="A253" s="1" t="str">
        <f>'01_WHOQOL_Items'!A253</f>
        <v>EXP-252</v>
      </c>
      <c r="B253" s="1" t="str">
        <f>'01_WHOQOL_Items'!B253</f>
        <v>Experimental</v>
      </c>
      <c r="C253" s="4">
        <f>4*(((6-'01_WHOQOL_Items'!F253) + (6-'01_WHOQOL_Items'!G253) + '01_WHOQOL_Items'!M253 + '01_WHOQOL_Items'!R253 + '01_WHOQOL_Items'!S253 + '01_WHOQOL_Items'!T253 + '01_WHOQOL_Items'!U253)/7)</f>
        <v>15.428571428571429</v>
      </c>
      <c r="D253" s="4">
        <f>4*(((6-'01_WHOQOL_Items'!AF253) + (6-'01_WHOQOL_Items'!AG253) + '01_WHOQOL_Items'!AM253 + '01_WHOQOL_Items'!AR253 + '01_WHOQOL_Items'!AS253 + '01_WHOQOL_Items'!AT253 + '01_WHOQOL_Items'!AU253)/7)</f>
        <v>17.142857142857142</v>
      </c>
      <c r="E253" s="4">
        <f t="shared" si="45"/>
        <v>71.428571428571431</v>
      </c>
      <c r="F253" s="4">
        <f t="shared" si="46"/>
        <v>82.142857142857139</v>
      </c>
      <c r="G253" s="5">
        <f t="shared" si="47"/>
        <v>0.14999999999999991</v>
      </c>
      <c r="H253" s="4">
        <f>4*(('01_WHOQOL_Items'!H253 + '01_WHOQOL_Items'!I253 + '01_WHOQOL_Items'!J253 + '01_WHOQOL_Items'!N253 + '01_WHOQOL_Items'!V253 + (6-'01_WHOQOL_Items'!AC253))/6)</f>
        <v>11.333333333333334</v>
      </c>
      <c r="I253" s="4">
        <f>4*(('01_WHOQOL_Items'!AH253 + '01_WHOQOL_Items'!AI253 + '01_WHOQOL_Items'!AJ253 + '01_WHOQOL_Items'!AN253 + '01_WHOQOL_Items'!AV253 + (6-'01_WHOQOL_Items'!BC253))/6)</f>
        <v>13.333333333333334</v>
      </c>
      <c r="J253" s="4">
        <f t="shared" si="48"/>
        <v>45.833333333333336</v>
      </c>
      <c r="K253" s="4">
        <f t="shared" si="49"/>
        <v>58.333333333333336</v>
      </c>
      <c r="L253" s="5">
        <f t="shared" si="50"/>
        <v>0.27272727272727271</v>
      </c>
      <c r="M253" s="4">
        <f>4*(('01_WHOQOL_Items'!W253 + '01_WHOQOL_Items'!X253 + '01_WHOQOL_Items'!Y253)/3)</f>
        <v>13.333333333333334</v>
      </c>
      <c r="N253" s="4">
        <f>4*(('01_WHOQOL_Items'!AW253 + '01_WHOQOL_Items'!AX253 + '01_WHOQOL_Items'!AY253)/3)</f>
        <v>14.666666666666666</v>
      </c>
      <c r="O253" s="4">
        <f t="shared" si="51"/>
        <v>58.333333333333336</v>
      </c>
      <c r="P253" s="4">
        <f t="shared" si="52"/>
        <v>66.666666666666657</v>
      </c>
      <c r="Q253" s="5">
        <f t="shared" si="53"/>
        <v>0.14285714285714265</v>
      </c>
      <c r="R253" s="4">
        <f>4*(('01_WHOQOL_Items'!K253 + '01_WHOQOL_Items'!L253 + '01_WHOQOL_Items'!O253 + '01_WHOQOL_Items'!P253 + '01_WHOQOL_Items'!Q253 + '01_WHOQOL_Items'!Z253 + '01_WHOQOL_Items'!AA253 + '01_WHOQOL_Items'!AB253)/8)</f>
        <v>13</v>
      </c>
      <c r="S253" s="4">
        <f>4*(('01_WHOQOL_Items'!AK253 + '01_WHOQOL_Items'!AL253 + '01_WHOQOL_Items'!AO253 + '01_WHOQOL_Items'!AP253 + '01_WHOQOL_Items'!AQ253 + '01_WHOQOL_Items'!AZ253 + '01_WHOQOL_Items'!BA253 + '01_WHOQOL_Items'!BB253)/8)</f>
        <v>14.5</v>
      </c>
      <c r="T253" s="4">
        <f t="shared" si="54"/>
        <v>56.25</v>
      </c>
      <c r="U253" s="4">
        <f t="shared" si="55"/>
        <v>65.625</v>
      </c>
      <c r="V253" s="5">
        <f t="shared" si="56"/>
        <v>0.16666666666666666</v>
      </c>
      <c r="W253" s="4">
        <f t="shared" si="57"/>
        <v>57.961309523809526</v>
      </c>
      <c r="X253" s="4">
        <f t="shared" si="58"/>
        <v>68.191964285714278</v>
      </c>
      <c r="Y253" s="5">
        <f t="shared" si="59"/>
        <v>0.17650834403080856</v>
      </c>
      <c r="Z253" s="1">
        <f>'01_WHOQOL_Items'!D253</f>
        <v>4</v>
      </c>
      <c r="AA253" s="1">
        <f>'01_WHOQOL_Items'!AD253</f>
        <v>4</v>
      </c>
      <c r="AB253" s="1">
        <f>'01_WHOQOL_Items'!E253</f>
        <v>4</v>
      </c>
      <c r="AC253" s="1">
        <f>'01_WHOQOL_Items'!AE253</f>
        <v>5</v>
      </c>
    </row>
    <row r="254" spans="1:29">
      <c r="A254" s="1" t="str">
        <f>'01_WHOQOL_Items'!A254</f>
        <v>EXP-253</v>
      </c>
      <c r="B254" s="1" t="str">
        <f>'01_WHOQOL_Items'!B254</f>
        <v>Experimental</v>
      </c>
      <c r="C254" s="4">
        <f>4*(((6-'01_WHOQOL_Items'!F254) + (6-'01_WHOQOL_Items'!G254) + '01_WHOQOL_Items'!M254 + '01_WHOQOL_Items'!R254 + '01_WHOQOL_Items'!S254 + '01_WHOQOL_Items'!T254 + '01_WHOQOL_Items'!U254)/7)</f>
        <v>14.857142857142858</v>
      </c>
      <c r="D254" s="4">
        <f>4*(((6-'01_WHOQOL_Items'!AF254) + (6-'01_WHOQOL_Items'!AG254) + '01_WHOQOL_Items'!AM254 + '01_WHOQOL_Items'!AR254 + '01_WHOQOL_Items'!AS254 + '01_WHOQOL_Items'!AT254 + '01_WHOQOL_Items'!AU254)/7)</f>
        <v>16.571428571428573</v>
      </c>
      <c r="E254" s="4">
        <f t="shared" si="45"/>
        <v>67.857142857142861</v>
      </c>
      <c r="F254" s="4">
        <f t="shared" si="46"/>
        <v>78.571428571428584</v>
      </c>
      <c r="G254" s="5">
        <f t="shared" si="47"/>
        <v>0.15789473684210537</v>
      </c>
      <c r="H254" s="4">
        <f>4*(('01_WHOQOL_Items'!H254 + '01_WHOQOL_Items'!I254 + '01_WHOQOL_Items'!J254 + '01_WHOQOL_Items'!N254 + '01_WHOQOL_Items'!V254 + (6-'01_WHOQOL_Items'!AC254))/6)</f>
        <v>12</v>
      </c>
      <c r="I254" s="4">
        <f>4*(('01_WHOQOL_Items'!AH254 + '01_WHOQOL_Items'!AI254 + '01_WHOQOL_Items'!AJ254 + '01_WHOQOL_Items'!AN254 + '01_WHOQOL_Items'!AV254 + (6-'01_WHOQOL_Items'!BC254))/6)</f>
        <v>14.666666666666666</v>
      </c>
      <c r="J254" s="4">
        <f t="shared" si="48"/>
        <v>50</v>
      </c>
      <c r="K254" s="4">
        <f t="shared" si="49"/>
        <v>66.666666666666657</v>
      </c>
      <c r="L254" s="5">
        <f t="shared" si="50"/>
        <v>0.33333333333333315</v>
      </c>
      <c r="M254" s="4">
        <f>4*(('01_WHOQOL_Items'!W254 + '01_WHOQOL_Items'!X254 + '01_WHOQOL_Items'!Y254)/3)</f>
        <v>9.3333333333333339</v>
      </c>
      <c r="N254" s="4">
        <f>4*(('01_WHOQOL_Items'!AW254 + '01_WHOQOL_Items'!AX254 + '01_WHOQOL_Items'!AY254)/3)</f>
        <v>10.666666666666666</v>
      </c>
      <c r="O254" s="4">
        <f t="shared" si="51"/>
        <v>33.333333333333336</v>
      </c>
      <c r="P254" s="4">
        <f t="shared" si="52"/>
        <v>41.666666666666664</v>
      </c>
      <c r="Q254" s="5">
        <f t="shared" si="53"/>
        <v>0.24999999999999983</v>
      </c>
      <c r="R254" s="4">
        <f>4*(('01_WHOQOL_Items'!K254 + '01_WHOQOL_Items'!L254 + '01_WHOQOL_Items'!O254 + '01_WHOQOL_Items'!P254 + '01_WHOQOL_Items'!Q254 + '01_WHOQOL_Items'!Z254 + '01_WHOQOL_Items'!AA254 + '01_WHOQOL_Items'!AB254)/8)</f>
        <v>14.5</v>
      </c>
      <c r="S254" s="4">
        <f>4*(('01_WHOQOL_Items'!AK254 + '01_WHOQOL_Items'!AL254 + '01_WHOQOL_Items'!AO254 + '01_WHOQOL_Items'!AP254 + '01_WHOQOL_Items'!AQ254 + '01_WHOQOL_Items'!AZ254 + '01_WHOQOL_Items'!BA254 + '01_WHOQOL_Items'!BB254)/8)</f>
        <v>16.5</v>
      </c>
      <c r="T254" s="4">
        <f t="shared" si="54"/>
        <v>65.625</v>
      </c>
      <c r="U254" s="4">
        <f t="shared" si="55"/>
        <v>78.125</v>
      </c>
      <c r="V254" s="5">
        <f t="shared" si="56"/>
        <v>0.19047619047619047</v>
      </c>
      <c r="W254" s="4">
        <f t="shared" si="57"/>
        <v>54.203869047619051</v>
      </c>
      <c r="X254" s="4">
        <f t="shared" si="58"/>
        <v>66.257440476190482</v>
      </c>
      <c r="Y254" s="5">
        <f t="shared" si="59"/>
        <v>0.22237474262182569</v>
      </c>
      <c r="Z254" s="1">
        <f>'01_WHOQOL_Items'!D254</f>
        <v>3</v>
      </c>
      <c r="AA254" s="1">
        <f>'01_WHOQOL_Items'!AD254</f>
        <v>4</v>
      </c>
      <c r="AB254" s="1">
        <f>'01_WHOQOL_Items'!E254</f>
        <v>4</v>
      </c>
      <c r="AC254" s="1">
        <f>'01_WHOQOL_Items'!AE254</f>
        <v>3</v>
      </c>
    </row>
    <row r="255" spans="1:29">
      <c r="A255" s="1" t="str">
        <f>'01_WHOQOL_Items'!A255</f>
        <v>EXP-254</v>
      </c>
      <c r="B255" s="1" t="str">
        <f>'01_WHOQOL_Items'!B255</f>
        <v>Experimental</v>
      </c>
      <c r="C255" s="4">
        <f>4*(((6-'01_WHOQOL_Items'!F255) + (6-'01_WHOQOL_Items'!G255) + '01_WHOQOL_Items'!M255 + '01_WHOQOL_Items'!R255 + '01_WHOQOL_Items'!S255 + '01_WHOQOL_Items'!T255 + '01_WHOQOL_Items'!U255)/7)</f>
        <v>14.857142857142858</v>
      </c>
      <c r="D255" s="4">
        <f>4*(((6-'01_WHOQOL_Items'!AF255) + (6-'01_WHOQOL_Items'!AG255) + '01_WHOQOL_Items'!AM255 + '01_WHOQOL_Items'!AR255 + '01_WHOQOL_Items'!AS255 + '01_WHOQOL_Items'!AT255 + '01_WHOQOL_Items'!AU255)/7)</f>
        <v>17.714285714285715</v>
      </c>
      <c r="E255" s="4">
        <f t="shared" si="45"/>
        <v>67.857142857142861</v>
      </c>
      <c r="F255" s="4">
        <f t="shared" si="46"/>
        <v>85.714285714285722</v>
      </c>
      <c r="G255" s="5">
        <f t="shared" si="47"/>
        <v>0.26315789473684215</v>
      </c>
      <c r="H255" s="4">
        <f>4*(('01_WHOQOL_Items'!H255 + '01_WHOQOL_Items'!I255 + '01_WHOQOL_Items'!J255 + '01_WHOQOL_Items'!N255 + '01_WHOQOL_Items'!V255 + (6-'01_WHOQOL_Items'!AC255))/6)</f>
        <v>9.3333333333333339</v>
      </c>
      <c r="I255" s="4">
        <f>4*(('01_WHOQOL_Items'!AH255 + '01_WHOQOL_Items'!AI255 + '01_WHOQOL_Items'!AJ255 + '01_WHOQOL_Items'!AN255 + '01_WHOQOL_Items'!AV255 + (6-'01_WHOQOL_Items'!BC255))/6)</f>
        <v>12</v>
      </c>
      <c r="J255" s="4">
        <f t="shared" si="48"/>
        <v>33.333333333333336</v>
      </c>
      <c r="K255" s="4">
        <f t="shared" si="49"/>
        <v>50</v>
      </c>
      <c r="L255" s="5">
        <f t="shared" si="50"/>
        <v>0.49999999999999989</v>
      </c>
      <c r="M255" s="4">
        <f>4*(('01_WHOQOL_Items'!W255 + '01_WHOQOL_Items'!X255 + '01_WHOQOL_Items'!Y255)/3)</f>
        <v>12</v>
      </c>
      <c r="N255" s="4">
        <f>4*(('01_WHOQOL_Items'!AW255 + '01_WHOQOL_Items'!AX255 + '01_WHOQOL_Items'!AY255)/3)</f>
        <v>12</v>
      </c>
      <c r="O255" s="4">
        <f t="shared" si="51"/>
        <v>50</v>
      </c>
      <c r="P255" s="4">
        <f t="shared" si="52"/>
        <v>50</v>
      </c>
      <c r="Q255" s="5">
        <f t="shared" si="53"/>
        <v>0</v>
      </c>
      <c r="R255" s="4">
        <f>4*(('01_WHOQOL_Items'!K255 + '01_WHOQOL_Items'!L255 + '01_WHOQOL_Items'!O255 + '01_WHOQOL_Items'!P255 + '01_WHOQOL_Items'!Q255 + '01_WHOQOL_Items'!Z255 + '01_WHOQOL_Items'!AA255 + '01_WHOQOL_Items'!AB255)/8)</f>
        <v>12</v>
      </c>
      <c r="S255" s="4">
        <f>4*(('01_WHOQOL_Items'!AK255 + '01_WHOQOL_Items'!AL255 + '01_WHOQOL_Items'!AO255 + '01_WHOQOL_Items'!AP255 + '01_WHOQOL_Items'!AQ255 + '01_WHOQOL_Items'!AZ255 + '01_WHOQOL_Items'!BA255 + '01_WHOQOL_Items'!BB255)/8)</f>
        <v>13.5</v>
      </c>
      <c r="T255" s="4">
        <f t="shared" si="54"/>
        <v>50</v>
      </c>
      <c r="U255" s="4">
        <f t="shared" si="55"/>
        <v>59.375</v>
      </c>
      <c r="V255" s="5">
        <f t="shared" si="56"/>
        <v>0.1875</v>
      </c>
      <c r="W255" s="4">
        <f t="shared" si="57"/>
        <v>50.297619047619051</v>
      </c>
      <c r="X255" s="4">
        <f t="shared" si="58"/>
        <v>61.272321428571431</v>
      </c>
      <c r="Y255" s="5">
        <f t="shared" si="59"/>
        <v>0.2181952662721893</v>
      </c>
      <c r="Z255" s="1">
        <f>'01_WHOQOL_Items'!D255</f>
        <v>4</v>
      </c>
      <c r="AA255" s="1">
        <f>'01_WHOQOL_Items'!AD255</f>
        <v>3</v>
      </c>
      <c r="AB255" s="1">
        <f>'01_WHOQOL_Items'!E255</f>
        <v>4</v>
      </c>
      <c r="AC255" s="1">
        <f>'01_WHOQOL_Items'!AE255</f>
        <v>4</v>
      </c>
    </row>
    <row r="256" spans="1:29">
      <c r="A256" s="1" t="str">
        <f>'01_WHOQOL_Items'!A256</f>
        <v>EXP-255</v>
      </c>
      <c r="B256" s="1" t="str">
        <f>'01_WHOQOL_Items'!B256</f>
        <v>Experimental</v>
      </c>
      <c r="C256" s="4">
        <f>4*(((6-'01_WHOQOL_Items'!F256) + (6-'01_WHOQOL_Items'!G256) + '01_WHOQOL_Items'!M256 + '01_WHOQOL_Items'!R256 + '01_WHOQOL_Items'!S256 + '01_WHOQOL_Items'!T256 + '01_WHOQOL_Items'!U256)/7)</f>
        <v>10.285714285714286</v>
      </c>
      <c r="D256" s="4">
        <f>4*(((6-'01_WHOQOL_Items'!AF256) + (6-'01_WHOQOL_Items'!AG256) + '01_WHOQOL_Items'!AM256 + '01_WHOQOL_Items'!AR256 + '01_WHOQOL_Items'!AS256 + '01_WHOQOL_Items'!AT256 + '01_WHOQOL_Items'!AU256)/7)</f>
        <v>13.142857142857142</v>
      </c>
      <c r="E256" s="4">
        <f t="shared" si="45"/>
        <v>39.285714285714292</v>
      </c>
      <c r="F256" s="4">
        <f t="shared" si="46"/>
        <v>57.142857142857139</v>
      </c>
      <c r="G256" s="5">
        <f t="shared" si="47"/>
        <v>0.4545454545454542</v>
      </c>
      <c r="H256" s="4">
        <f>4*(('01_WHOQOL_Items'!H256 + '01_WHOQOL_Items'!I256 + '01_WHOQOL_Items'!J256 + '01_WHOQOL_Items'!N256 + '01_WHOQOL_Items'!V256 + (6-'01_WHOQOL_Items'!AC256))/6)</f>
        <v>10.666666666666666</v>
      </c>
      <c r="I256" s="4">
        <f>4*(('01_WHOQOL_Items'!AH256 + '01_WHOQOL_Items'!AI256 + '01_WHOQOL_Items'!AJ256 + '01_WHOQOL_Items'!AN256 + '01_WHOQOL_Items'!AV256 + (6-'01_WHOQOL_Items'!BC256))/6)</f>
        <v>11.333333333333334</v>
      </c>
      <c r="J256" s="4">
        <f t="shared" si="48"/>
        <v>41.666666666666664</v>
      </c>
      <c r="K256" s="4">
        <f t="shared" si="49"/>
        <v>45.833333333333336</v>
      </c>
      <c r="L256" s="5">
        <f t="shared" si="50"/>
        <v>0.10000000000000012</v>
      </c>
      <c r="M256" s="4">
        <f>4*(('01_WHOQOL_Items'!W256 + '01_WHOQOL_Items'!X256 + '01_WHOQOL_Items'!Y256)/3)</f>
        <v>14.666666666666666</v>
      </c>
      <c r="N256" s="4">
        <f>4*(('01_WHOQOL_Items'!AW256 + '01_WHOQOL_Items'!AX256 + '01_WHOQOL_Items'!AY256)/3)</f>
        <v>16</v>
      </c>
      <c r="O256" s="4">
        <f t="shared" si="51"/>
        <v>66.666666666666657</v>
      </c>
      <c r="P256" s="4">
        <f t="shared" si="52"/>
        <v>75</v>
      </c>
      <c r="Q256" s="5">
        <f t="shared" si="53"/>
        <v>0.12500000000000017</v>
      </c>
      <c r="R256" s="4">
        <f>4*(('01_WHOQOL_Items'!K256 + '01_WHOQOL_Items'!L256 + '01_WHOQOL_Items'!O256 + '01_WHOQOL_Items'!P256 + '01_WHOQOL_Items'!Q256 + '01_WHOQOL_Items'!Z256 + '01_WHOQOL_Items'!AA256 + '01_WHOQOL_Items'!AB256)/8)</f>
        <v>9.5</v>
      </c>
      <c r="S256" s="4">
        <f>4*(('01_WHOQOL_Items'!AK256 + '01_WHOQOL_Items'!AL256 + '01_WHOQOL_Items'!AO256 + '01_WHOQOL_Items'!AP256 + '01_WHOQOL_Items'!AQ256 + '01_WHOQOL_Items'!AZ256 + '01_WHOQOL_Items'!BA256 + '01_WHOQOL_Items'!BB256)/8)</f>
        <v>11</v>
      </c>
      <c r="T256" s="4">
        <f t="shared" si="54"/>
        <v>34.375</v>
      </c>
      <c r="U256" s="4">
        <f t="shared" si="55"/>
        <v>43.75</v>
      </c>
      <c r="V256" s="5">
        <f t="shared" si="56"/>
        <v>0.27272727272727271</v>
      </c>
      <c r="W256" s="4">
        <f t="shared" si="57"/>
        <v>45.498511904761905</v>
      </c>
      <c r="X256" s="4">
        <f t="shared" si="58"/>
        <v>55.43154761904762</v>
      </c>
      <c r="Y256" s="5">
        <f t="shared" si="59"/>
        <v>0.21831561733442356</v>
      </c>
      <c r="Z256" s="1">
        <f>'01_WHOQOL_Items'!D256</f>
        <v>3</v>
      </c>
      <c r="AA256" s="1">
        <f>'01_WHOQOL_Items'!AD256</f>
        <v>4</v>
      </c>
      <c r="AB256" s="1">
        <f>'01_WHOQOL_Items'!E256</f>
        <v>3</v>
      </c>
      <c r="AC256" s="1">
        <f>'01_WHOQOL_Items'!AE256</f>
        <v>3</v>
      </c>
    </row>
    <row r="257" spans="1:29">
      <c r="A257" s="1" t="str">
        <f>'01_WHOQOL_Items'!A257</f>
        <v>EXP-256</v>
      </c>
      <c r="B257" s="1" t="str">
        <f>'01_WHOQOL_Items'!B257</f>
        <v>Experimental</v>
      </c>
      <c r="C257" s="4">
        <f>4*(((6-'01_WHOQOL_Items'!F257) + (6-'01_WHOQOL_Items'!G257) + '01_WHOQOL_Items'!M257 + '01_WHOQOL_Items'!R257 + '01_WHOQOL_Items'!S257 + '01_WHOQOL_Items'!T257 + '01_WHOQOL_Items'!U257)/7)</f>
        <v>12</v>
      </c>
      <c r="D257" s="4">
        <f>4*(((6-'01_WHOQOL_Items'!AF257) + (6-'01_WHOQOL_Items'!AG257) + '01_WHOQOL_Items'!AM257 + '01_WHOQOL_Items'!AR257 + '01_WHOQOL_Items'!AS257 + '01_WHOQOL_Items'!AT257 + '01_WHOQOL_Items'!AU257)/7)</f>
        <v>14.857142857142858</v>
      </c>
      <c r="E257" s="4">
        <f t="shared" si="45"/>
        <v>50</v>
      </c>
      <c r="F257" s="4">
        <f t="shared" si="46"/>
        <v>67.857142857142861</v>
      </c>
      <c r="G257" s="5">
        <f t="shared" si="47"/>
        <v>0.35714285714285721</v>
      </c>
      <c r="H257" s="4">
        <f>4*(('01_WHOQOL_Items'!H257 + '01_WHOQOL_Items'!I257 + '01_WHOQOL_Items'!J257 + '01_WHOQOL_Items'!N257 + '01_WHOQOL_Items'!V257 + (6-'01_WHOQOL_Items'!AC257))/6)</f>
        <v>15.333333333333334</v>
      </c>
      <c r="I257" s="4">
        <f>4*(('01_WHOQOL_Items'!AH257 + '01_WHOQOL_Items'!AI257 + '01_WHOQOL_Items'!AJ257 + '01_WHOQOL_Items'!AN257 + '01_WHOQOL_Items'!AV257 + (6-'01_WHOQOL_Items'!BC257))/6)</f>
        <v>16</v>
      </c>
      <c r="J257" s="4">
        <f t="shared" si="48"/>
        <v>70.833333333333343</v>
      </c>
      <c r="K257" s="4">
        <f t="shared" si="49"/>
        <v>75</v>
      </c>
      <c r="L257" s="5">
        <f t="shared" si="50"/>
        <v>5.8823529411764566E-2</v>
      </c>
      <c r="M257" s="4">
        <f>4*(('01_WHOQOL_Items'!W257 + '01_WHOQOL_Items'!X257 + '01_WHOQOL_Items'!Y257)/3)</f>
        <v>14.666666666666666</v>
      </c>
      <c r="N257" s="4">
        <f>4*(('01_WHOQOL_Items'!AW257 + '01_WHOQOL_Items'!AX257 + '01_WHOQOL_Items'!AY257)/3)</f>
        <v>16</v>
      </c>
      <c r="O257" s="4">
        <f t="shared" si="51"/>
        <v>66.666666666666657</v>
      </c>
      <c r="P257" s="4">
        <f t="shared" si="52"/>
        <v>75</v>
      </c>
      <c r="Q257" s="5">
        <f t="shared" si="53"/>
        <v>0.12500000000000017</v>
      </c>
      <c r="R257" s="4">
        <f>4*(('01_WHOQOL_Items'!K257 + '01_WHOQOL_Items'!L257 + '01_WHOQOL_Items'!O257 + '01_WHOQOL_Items'!P257 + '01_WHOQOL_Items'!Q257 + '01_WHOQOL_Items'!Z257 + '01_WHOQOL_Items'!AA257 + '01_WHOQOL_Items'!AB257)/8)</f>
        <v>13</v>
      </c>
      <c r="S257" s="4">
        <f>4*(('01_WHOQOL_Items'!AK257 + '01_WHOQOL_Items'!AL257 + '01_WHOQOL_Items'!AO257 + '01_WHOQOL_Items'!AP257 + '01_WHOQOL_Items'!AQ257 + '01_WHOQOL_Items'!AZ257 + '01_WHOQOL_Items'!BA257 + '01_WHOQOL_Items'!BB257)/8)</f>
        <v>14.5</v>
      </c>
      <c r="T257" s="4">
        <f t="shared" si="54"/>
        <v>56.25</v>
      </c>
      <c r="U257" s="4">
        <f t="shared" si="55"/>
        <v>65.625</v>
      </c>
      <c r="V257" s="5">
        <f t="shared" si="56"/>
        <v>0.16666666666666666</v>
      </c>
      <c r="W257" s="4">
        <f t="shared" si="57"/>
        <v>60.9375</v>
      </c>
      <c r="X257" s="4">
        <f t="shared" si="58"/>
        <v>70.870535714285722</v>
      </c>
      <c r="Y257" s="5">
        <f t="shared" si="59"/>
        <v>0.16300366300366315</v>
      </c>
      <c r="Z257" s="1">
        <f>'01_WHOQOL_Items'!D257</f>
        <v>4</v>
      </c>
      <c r="AA257" s="1">
        <f>'01_WHOQOL_Items'!AD257</f>
        <v>3</v>
      </c>
      <c r="AB257" s="1">
        <f>'01_WHOQOL_Items'!E257</f>
        <v>3</v>
      </c>
      <c r="AC257" s="1">
        <f>'01_WHOQOL_Items'!AE257</f>
        <v>3</v>
      </c>
    </row>
    <row r="258" spans="1:29">
      <c r="A258" s="1" t="str">
        <f>'01_WHOQOL_Items'!A258</f>
        <v>EXP-257</v>
      </c>
      <c r="B258" s="1" t="str">
        <f>'01_WHOQOL_Items'!B258</f>
        <v>Experimental</v>
      </c>
      <c r="C258" s="4">
        <f>4*(((6-'01_WHOQOL_Items'!F258) + (6-'01_WHOQOL_Items'!G258) + '01_WHOQOL_Items'!M258 + '01_WHOQOL_Items'!R258 + '01_WHOQOL_Items'!S258 + '01_WHOQOL_Items'!T258 + '01_WHOQOL_Items'!U258)/7)</f>
        <v>12.571428571428571</v>
      </c>
      <c r="D258" s="4">
        <f>4*(((6-'01_WHOQOL_Items'!AF258) + (6-'01_WHOQOL_Items'!AG258) + '01_WHOQOL_Items'!AM258 + '01_WHOQOL_Items'!AR258 + '01_WHOQOL_Items'!AS258 + '01_WHOQOL_Items'!AT258 + '01_WHOQOL_Items'!AU258)/7)</f>
        <v>14.285714285714286</v>
      </c>
      <c r="E258" s="4">
        <f t="shared" ref="E258:E321" si="60">(C258-4)*100/16</f>
        <v>53.571428571428569</v>
      </c>
      <c r="F258" s="4">
        <f t="shared" ref="F258:F321" si="61">(D258-4)*100/16</f>
        <v>64.285714285714292</v>
      </c>
      <c r="G258" s="5">
        <f t="shared" ref="G258:G321" si="62">IFERROR((F258-E258)/E258,"")</f>
        <v>0.20000000000000015</v>
      </c>
      <c r="H258" s="4">
        <f>4*(('01_WHOQOL_Items'!H258 + '01_WHOQOL_Items'!I258 + '01_WHOQOL_Items'!J258 + '01_WHOQOL_Items'!N258 + '01_WHOQOL_Items'!V258 + (6-'01_WHOQOL_Items'!AC258))/6)</f>
        <v>14.666666666666666</v>
      </c>
      <c r="I258" s="4">
        <f>4*(('01_WHOQOL_Items'!AH258 + '01_WHOQOL_Items'!AI258 + '01_WHOQOL_Items'!AJ258 + '01_WHOQOL_Items'!AN258 + '01_WHOQOL_Items'!AV258 + (6-'01_WHOQOL_Items'!BC258))/6)</f>
        <v>14.666666666666666</v>
      </c>
      <c r="J258" s="4">
        <f t="shared" ref="J258:J321" si="63">(H258-4)*100/16</f>
        <v>66.666666666666657</v>
      </c>
      <c r="K258" s="4">
        <f t="shared" ref="K258:K321" si="64">(I258-4)*100/16</f>
        <v>66.666666666666657</v>
      </c>
      <c r="L258" s="5">
        <f t="shared" ref="L258:L321" si="65">IFERROR((K258-J258)/J258,"")</f>
        <v>0</v>
      </c>
      <c r="M258" s="4">
        <f>4*(('01_WHOQOL_Items'!W258 + '01_WHOQOL_Items'!X258 + '01_WHOQOL_Items'!Y258)/3)</f>
        <v>12</v>
      </c>
      <c r="N258" s="4">
        <f>4*(('01_WHOQOL_Items'!AW258 + '01_WHOQOL_Items'!AX258 + '01_WHOQOL_Items'!AY258)/3)</f>
        <v>10.666666666666666</v>
      </c>
      <c r="O258" s="4">
        <f t="shared" ref="O258:O321" si="66">(M258-4)*100/16</f>
        <v>50</v>
      </c>
      <c r="P258" s="4">
        <f t="shared" ref="P258:P321" si="67">(N258-4)*100/16</f>
        <v>41.666666666666664</v>
      </c>
      <c r="Q258" s="5">
        <f t="shared" ref="Q258:Q321" si="68">IFERROR((P258-O258)/O258,"")</f>
        <v>-0.16666666666666671</v>
      </c>
      <c r="R258" s="4">
        <f>4*(('01_WHOQOL_Items'!K258 + '01_WHOQOL_Items'!L258 + '01_WHOQOL_Items'!O258 + '01_WHOQOL_Items'!P258 + '01_WHOQOL_Items'!Q258 + '01_WHOQOL_Items'!Z258 + '01_WHOQOL_Items'!AA258 + '01_WHOQOL_Items'!AB258)/8)</f>
        <v>15.5</v>
      </c>
      <c r="S258" s="4">
        <f>4*(('01_WHOQOL_Items'!AK258 + '01_WHOQOL_Items'!AL258 + '01_WHOQOL_Items'!AO258 + '01_WHOQOL_Items'!AP258 + '01_WHOQOL_Items'!AQ258 + '01_WHOQOL_Items'!AZ258 + '01_WHOQOL_Items'!BA258 + '01_WHOQOL_Items'!BB258)/8)</f>
        <v>13.5</v>
      </c>
      <c r="T258" s="4">
        <f t="shared" ref="T258:T321" si="69">(R258-4)*100/16</f>
        <v>71.875</v>
      </c>
      <c r="U258" s="4">
        <f t="shared" ref="U258:U321" si="70">(S258-4)*100/16</f>
        <v>59.375</v>
      </c>
      <c r="V258" s="5">
        <f t="shared" ref="V258:V321" si="71">IFERROR((U258-T258)/T258,"")</f>
        <v>-0.17391304347826086</v>
      </c>
      <c r="W258" s="4">
        <f t="shared" ref="W258:W321" si="72">AVERAGE(E258,J258,O258,T258)</f>
        <v>60.52827380952381</v>
      </c>
      <c r="X258" s="4">
        <f t="shared" ref="X258:X321" si="73">AVERAGE(F258,K258,P258,U258)</f>
        <v>57.998511904761905</v>
      </c>
      <c r="Y258" s="5">
        <f t="shared" ref="Y258:Y321" si="74">IFERROR((X258-W258)/W258,"")</f>
        <v>-4.1794714197910268E-2</v>
      </c>
      <c r="Z258" s="1">
        <f>'01_WHOQOL_Items'!D258</f>
        <v>4</v>
      </c>
      <c r="AA258" s="1">
        <f>'01_WHOQOL_Items'!AD258</f>
        <v>3</v>
      </c>
      <c r="AB258" s="1">
        <f>'01_WHOQOL_Items'!E258</f>
        <v>3</v>
      </c>
      <c r="AC258" s="1">
        <f>'01_WHOQOL_Items'!AE258</f>
        <v>4</v>
      </c>
    </row>
    <row r="259" spans="1:29">
      <c r="A259" s="1" t="str">
        <f>'01_WHOQOL_Items'!A259</f>
        <v>EXP-258</v>
      </c>
      <c r="B259" s="1" t="str">
        <f>'01_WHOQOL_Items'!B259</f>
        <v>Experimental</v>
      </c>
      <c r="C259" s="4">
        <f>4*(((6-'01_WHOQOL_Items'!F259) + (6-'01_WHOQOL_Items'!G259) + '01_WHOQOL_Items'!M259 + '01_WHOQOL_Items'!R259 + '01_WHOQOL_Items'!S259 + '01_WHOQOL_Items'!T259 + '01_WHOQOL_Items'!U259)/7)</f>
        <v>14.285714285714286</v>
      </c>
      <c r="D259" s="4">
        <f>4*(((6-'01_WHOQOL_Items'!AF259) + (6-'01_WHOQOL_Items'!AG259) + '01_WHOQOL_Items'!AM259 + '01_WHOQOL_Items'!AR259 + '01_WHOQOL_Items'!AS259 + '01_WHOQOL_Items'!AT259 + '01_WHOQOL_Items'!AU259)/7)</f>
        <v>13.142857142857142</v>
      </c>
      <c r="E259" s="4">
        <f t="shared" si="60"/>
        <v>64.285714285714292</v>
      </c>
      <c r="F259" s="4">
        <f t="shared" si="61"/>
        <v>57.142857142857139</v>
      </c>
      <c r="G259" s="5">
        <f t="shared" si="62"/>
        <v>-0.11111111111111126</v>
      </c>
      <c r="H259" s="4">
        <f>4*(('01_WHOQOL_Items'!H259 + '01_WHOQOL_Items'!I259 + '01_WHOQOL_Items'!J259 + '01_WHOQOL_Items'!N259 + '01_WHOQOL_Items'!V259 + (6-'01_WHOQOL_Items'!AC259))/6)</f>
        <v>9.3333333333333339</v>
      </c>
      <c r="I259" s="4">
        <f>4*(('01_WHOQOL_Items'!AH259 + '01_WHOQOL_Items'!AI259 + '01_WHOQOL_Items'!AJ259 + '01_WHOQOL_Items'!AN259 + '01_WHOQOL_Items'!AV259 + (6-'01_WHOQOL_Items'!BC259))/6)</f>
        <v>12</v>
      </c>
      <c r="J259" s="4">
        <f t="shared" si="63"/>
        <v>33.333333333333336</v>
      </c>
      <c r="K259" s="4">
        <f t="shared" si="64"/>
        <v>50</v>
      </c>
      <c r="L259" s="5">
        <f t="shared" si="65"/>
        <v>0.49999999999999989</v>
      </c>
      <c r="M259" s="4">
        <f>4*(('01_WHOQOL_Items'!W259 + '01_WHOQOL_Items'!X259 + '01_WHOQOL_Items'!Y259)/3)</f>
        <v>8</v>
      </c>
      <c r="N259" s="4">
        <f>4*(('01_WHOQOL_Items'!AW259 + '01_WHOQOL_Items'!AX259 + '01_WHOQOL_Items'!AY259)/3)</f>
        <v>12</v>
      </c>
      <c r="O259" s="4">
        <f t="shared" si="66"/>
        <v>25</v>
      </c>
      <c r="P259" s="4">
        <f t="shared" si="67"/>
        <v>50</v>
      </c>
      <c r="Q259" s="5">
        <f t="shared" si="68"/>
        <v>1</v>
      </c>
      <c r="R259" s="4">
        <f>4*(('01_WHOQOL_Items'!K259 + '01_WHOQOL_Items'!L259 + '01_WHOQOL_Items'!O259 + '01_WHOQOL_Items'!P259 + '01_WHOQOL_Items'!Q259 + '01_WHOQOL_Items'!Z259 + '01_WHOQOL_Items'!AA259 + '01_WHOQOL_Items'!AB259)/8)</f>
        <v>9</v>
      </c>
      <c r="S259" s="4">
        <f>4*(('01_WHOQOL_Items'!AK259 + '01_WHOQOL_Items'!AL259 + '01_WHOQOL_Items'!AO259 + '01_WHOQOL_Items'!AP259 + '01_WHOQOL_Items'!AQ259 + '01_WHOQOL_Items'!AZ259 + '01_WHOQOL_Items'!BA259 + '01_WHOQOL_Items'!BB259)/8)</f>
        <v>11</v>
      </c>
      <c r="T259" s="4">
        <f t="shared" si="69"/>
        <v>31.25</v>
      </c>
      <c r="U259" s="4">
        <f t="shared" si="70"/>
        <v>43.75</v>
      </c>
      <c r="V259" s="5">
        <f t="shared" si="71"/>
        <v>0.4</v>
      </c>
      <c r="W259" s="4">
        <f t="shared" si="72"/>
        <v>38.467261904761905</v>
      </c>
      <c r="X259" s="4">
        <f t="shared" si="73"/>
        <v>50.223214285714285</v>
      </c>
      <c r="Y259" s="5">
        <f t="shared" si="74"/>
        <v>0.30560928433268852</v>
      </c>
      <c r="Z259" s="1">
        <f>'01_WHOQOL_Items'!D259</f>
        <v>3</v>
      </c>
      <c r="AA259" s="1">
        <f>'01_WHOQOL_Items'!AD259</f>
        <v>4</v>
      </c>
      <c r="AB259" s="1">
        <f>'01_WHOQOL_Items'!E259</f>
        <v>4</v>
      </c>
      <c r="AC259" s="1">
        <f>'01_WHOQOL_Items'!AE259</f>
        <v>4</v>
      </c>
    </row>
    <row r="260" spans="1:29">
      <c r="A260" s="1" t="str">
        <f>'01_WHOQOL_Items'!A260</f>
        <v>EXP-259</v>
      </c>
      <c r="B260" s="1" t="str">
        <f>'01_WHOQOL_Items'!B260</f>
        <v>Experimental</v>
      </c>
      <c r="C260" s="4">
        <f>4*(((6-'01_WHOQOL_Items'!F260) + (6-'01_WHOQOL_Items'!G260) + '01_WHOQOL_Items'!M260 + '01_WHOQOL_Items'!R260 + '01_WHOQOL_Items'!S260 + '01_WHOQOL_Items'!T260 + '01_WHOQOL_Items'!U260)/7)</f>
        <v>14.857142857142858</v>
      </c>
      <c r="D260" s="4">
        <f>4*(((6-'01_WHOQOL_Items'!AF260) + (6-'01_WHOQOL_Items'!AG260) + '01_WHOQOL_Items'!AM260 + '01_WHOQOL_Items'!AR260 + '01_WHOQOL_Items'!AS260 + '01_WHOQOL_Items'!AT260 + '01_WHOQOL_Items'!AU260)/7)</f>
        <v>17.142857142857142</v>
      </c>
      <c r="E260" s="4">
        <f t="shared" si="60"/>
        <v>67.857142857142861</v>
      </c>
      <c r="F260" s="4">
        <f t="shared" si="61"/>
        <v>82.142857142857139</v>
      </c>
      <c r="G260" s="5">
        <f t="shared" si="62"/>
        <v>0.21052631578947356</v>
      </c>
      <c r="H260" s="4">
        <f>4*(('01_WHOQOL_Items'!H260 + '01_WHOQOL_Items'!I260 + '01_WHOQOL_Items'!J260 + '01_WHOQOL_Items'!N260 + '01_WHOQOL_Items'!V260 + (6-'01_WHOQOL_Items'!AC260))/6)</f>
        <v>9.3333333333333339</v>
      </c>
      <c r="I260" s="4">
        <f>4*(('01_WHOQOL_Items'!AH260 + '01_WHOQOL_Items'!AI260 + '01_WHOQOL_Items'!AJ260 + '01_WHOQOL_Items'!AN260 + '01_WHOQOL_Items'!AV260 + (6-'01_WHOQOL_Items'!BC260))/6)</f>
        <v>12</v>
      </c>
      <c r="J260" s="4">
        <f t="shared" si="63"/>
        <v>33.333333333333336</v>
      </c>
      <c r="K260" s="4">
        <f t="shared" si="64"/>
        <v>50</v>
      </c>
      <c r="L260" s="5">
        <f t="shared" si="65"/>
        <v>0.49999999999999989</v>
      </c>
      <c r="M260" s="4">
        <f>4*(('01_WHOQOL_Items'!W260 + '01_WHOQOL_Items'!X260 + '01_WHOQOL_Items'!Y260)/3)</f>
        <v>9.3333333333333339</v>
      </c>
      <c r="N260" s="4">
        <f>4*(('01_WHOQOL_Items'!AW260 + '01_WHOQOL_Items'!AX260 + '01_WHOQOL_Items'!AY260)/3)</f>
        <v>12</v>
      </c>
      <c r="O260" s="4">
        <f t="shared" si="66"/>
        <v>33.333333333333336</v>
      </c>
      <c r="P260" s="4">
        <f t="shared" si="67"/>
        <v>50</v>
      </c>
      <c r="Q260" s="5">
        <f t="shared" si="68"/>
        <v>0.49999999999999989</v>
      </c>
      <c r="R260" s="4">
        <f>4*(('01_WHOQOL_Items'!K260 + '01_WHOQOL_Items'!L260 + '01_WHOQOL_Items'!O260 + '01_WHOQOL_Items'!P260 + '01_WHOQOL_Items'!Q260 + '01_WHOQOL_Items'!Z260 + '01_WHOQOL_Items'!AA260 + '01_WHOQOL_Items'!AB260)/8)</f>
        <v>7.5</v>
      </c>
      <c r="S260" s="4">
        <f>4*(('01_WHOQOL_Items'!AK260 + '01_WHOQOL_Items'!AL260 + '01_WHOQOL_Items'!AO260 + '01_WHOQOL_Items'!AP260 + '01_WHOQOL_Items'!AQ260 + '01_WHOQOL_Items'!AZ260 + '01_WHOQOL_Items'!BA260 + '01_WHOQOL_Items'!BB260)/8)</f>
        <v>10</v>
      </c>
      <c r="T260" s="4">
        <f t="shared" si="69"/>
        <v>21.875</v>
      </c>
      <c r="U260" s="4">
        <f t="shared" si="70"/>
        <v>37.5</v>
      </c>
      <c r="V260" s="5">
        <f t="shared" si="71"/>
        <v>0.7142857142857143</v>
      </c>
      <c r="W260" s="4">
        <f t="shared" si="72"/>
        <v>39.099702380952387</v>
      </c>
      <c r="X260" s="4">
        <f t="shared" si="73"/>
        <v>54.910714285714285</v>
      </c>
      <c r="Y260" s="5">
        <f t="shared" si="74"/>
        <v>0.40437678401522337</v>
      </c>
      <c r="Z260" s="1">
        <f>'01_WHOQOL_Items'!D260</f>
        <v>2</v>
      </c>
      <c r="AA260" s="1">
        <f>'01_WHOQOL_Items'!AD260</f>
        <v>4</v>
      </c>
      <c r="AB260" s="1">
        <f>'01_WHOQOL_Items'!E260</f>
        <v>3</v>
      </c>
      <c r="AC260" s="1">
        <f>'01_WHOQOL_Items'!AE260</f>
        <v>4</v>
      </c>
    </row>
    <row r="261" spans="1:29">
      <c r="A261" s="1" t="str">
        <f>'01_WHOQOL_Items'!A261</f>
        <v>EXP-260</v>
      </c>
      <c r="B261" s="1" t="str">
        <f>'01_WHOQOL_Items'!B261</f>
        <v>Experimental</v>
      </c>
      <c r="C261" s="4">
        <f>4*(((6-'01_WHOQOL_Items'!F261) + (6-'01_WHOQOL_Items'!G261) + '01_WHOQOL_Items'!M261 + '01_WHOQOL_Items'!R261 + '01_WHOQOL_Items'!S261 + '01_WHOQOL_Items'!T261 + '01_WHOQOL_Items'!U261)/7)</f>
        <v>12</v>
      </c>
      <c r="D261" s="4">
        <f>4*(((6-'01_WHOQOL_Items'!AF261) + (6-'01_WHOQOL_Items'!AG261) + '01_WHOQOL_Items'!AM261 + '01_WHOQOL_Items'!AR261 + '01_WHOQOL_Items'!AS261 + '01_WHOQOL_Items'!AT261 + '01_WHOQOL_Items'!AU261)/7)</f>
        <v>14.285714285714286</v>
      </c>
      <c r="E261" s="4">
        <f t="shared" si="60"/>
        <v>50</v>
      </c>
      <c r="F261" s="4">
        <f t="shared" si="61"/>
        <v>64.285714285714292</v>
      </c>
      <c r="G261" s="5">
        <f t="shared" si="62"/>
        <v>0.28571428571428581</v>
      </c>
      <c r="H261" s="4">
        <f>4*(('01_WHOQOL_Items'!H261 + '01_WHOQOL_Items'!I261 + '01_WHOQOL_Items'!J261 + '01_WHOQOL_Items'!N261 + '01_WHOQOL_Items'!V261 + (6-'01_WHOQOL_Items'!AC261))/6)</f>
        <v>14.666666666666666</v>
      </c>
      <c r="I261" s="4">
        <f>4*(('01_WHOQOL_Items'!AH261 + '01_WHOQOL_Items'!AI261 + '01_WHOQOL_Items'!AJ261 + '01_WHOQOL_Items'!AN261 + '01_WHOQOL_Items'!AV261 + (6-'01_WHOQOL_Items'!BC261))/6)</f>
        <v>14</v>
      </c>
      <c r="J261" s="4">
        <f t="shared" si="63"/>
        <v>66.666666666666657</v>
      </c>
      <c r="K261" s="4">
        <f t="shared" si="64"/>
        <v>62.5</v>
      </c>
      <c r="L261" s="5">
        <f t="shared" si="65"/>
        <v>-6.2499999999999868E-2</v>
      </c>
      <c r="M261" s="4">
        <f>4*(('01_WHOQOL_Items'!W261 + '01_WHOQOL_Items'!X261 + '01_WHOQOL_Items'!Y261)/3)</f>
        <v>12</v>
      </c>
      <c r="N261" s="4">
        <f>4*(('01_WHOQOL_Items'!AW261 + '01_WHOQOL_Items'!AX261 + '01_WHOQOL_Items'!AY261)/3)</f>
        <v>16</v>
      </c>
      <c r="O261" s="4">
        <f t="shared" si="66"/>
        <v>50</v>
      </c>
      <c r="P261" s="4">
        <f t="shared" si="67"/>
        <v>75</v>
      </c>
      <c r="Q261" s="5">
        <f t="shared" si="68"/>
        <v>0.5</v>
      </c>
      <c r="R261" s="4">
        <f>4*(('01_WHOQOL_Items'!K261 + '01_WHOQOL_Items'!L261 + '01_WHOQOL_Items'!O261 + '01_WHOQOL_Items'!P261 + '01_WHOQOL_Items'!Q261 + '01_WHOQOL_Items'!Z261 + '01_WHOQOL_Items'!AA261 + '01_WHOQOL_Items'!AB261)/8)</f>
        <v>14.5</v>
      </c>
      <c r="S261" s="4">
        <f>4*(('01_WHOQOL_Items'!AK261 + '01_WHOQOL_Items'!AL261 + '01_WHOQOL_Items'!AO261 + '01_WHOQOL_Items'!AP261 + '01_WHOQOL_Items'!AQ261 + '01_WHOQOL_Items'!AZ261 + '01_WHOQOL_Items'!BA261 + '01_WHOQOL_Items'!BB261)/8)</f>
        <v>16</v>
      </c>
      <c r="T261" s="4">
        <f t="shared" si="69"/>
        <v>65.625</v>
      </c>
      <c r="U261" s="4">
        <f t="shared" si="70"/>
        <v>75</v>
      </c>
      <c r="V261" s="5">
        <f t="shared" si="71"/>
        <v>0.14285714285714285</v>
      </c>
      <c r="W261" s="4">
        <f t="shared" si="72"/>
        <v>58.072916666666664</v>
      </c>
      <c r="X261" s="4">
        <f t="shared" si="73"/>
        <v>69.196428571428569</v>
      </c>
      <c r="Y261" s="5">
        <f t="shared" si="74"/>
        <v>0.19154388212684179</v>
      </c>
      <c r="Z261" s="1">
        <f>'01_WHOQOL_Items'!D261</f>
        <v>3</v>
      </c>
      <c r="AA261" s="1">
        <f>'01_WHOQOL_Items'!AD261</f>
        <v>3</v>
      </c>
      <c r="AB261" s="1">
        <f>'01_WHOQOL_Items'!E261</f>
        <v>2</v>
      </c>
      <c r="AC261" s="1">
        <f>'01_WHOQOL_Items'!AE261</f>
        <v>3</v>
      </c>
    </row>
    <row r="262" spans="1:29">
      <c r="A262" s="1" t="str">
        <f>'01_WHOQOL_Items'!A262</f>
        <v>EXP-261</v>
      </c>
      <c r="B262" s="1" t="str">
        <f>'01_WHOQOL_Items'!B262</f>
        <v>Experimental</v>
      </c>
      <c r="C262" s="4">
        <f>4*(((6-'01_WHOQOL_Items'!F262) + (6-'01_WHOQOL_Items'!G262) + '01_WHOQOL_Items'!M262 + '01_WHOQOL_Items'!R262 + '01_WHOQOL_Items'!S262 + '01_WHOQOL_Items'!T262 + '01_WHOQOL_Items'!U262)/7)</f>
        <v>10.857142857142858</v>
      </c>
      <c r="D262" s="4">
        <f>4*(((6-'01_WHOQOL_Items'!AF262) + (6-'01_WHOQOL_Items'!AG262) + '01_WHOQOL_Items'!AM262 + '01_WHOQOL_Items'!AR262 + '01_WHOQOL_Items'!AS262 + '01_WHOQOL_Items'!AT262 + '01_WHOQOL_Items'!AU262)/7)</f>
        <v>10.857142857142858</v>
      </c>
      <c r="E262" s="4">
        <f t="shared" si="60"/>
        <v>42.857142857142861</v>
      </c>
      <c r="F262" s="4">
        <f t="shared" si="61"/>
        <v>42.857142857142861</v>
      </c>
      <c r="G262" s="5">
        <f t="shared" si="62"/>
        <v>0</v>
      </c>
      <c r="H262" s="4">
        <f>4*(('01_WHOQOL_Items'!H262 + '01_WHOQOL_Items'!I262 + '01_WHOQOL_Items'!J262 + '01_WHOQOL_Items'!N262 + '01_WHOQOL_Items'!V262 + (6-'01_WHOQOL_Items'!AC262))/6)</f>
        <v>9.3333333333333339</v>
      </c>
      <c r="I262" s="4">
        <f>4*(('01_WHOQOL_Items'!AH262 + '01_WHOQOL_Items'!AI262 + '01_WHOQOL_Items'!AJ262 + '01_WHOQOL_Items'!AN262 + '01_WHOQOL_Items'!AV262 + (6-'01_WHOQOL_Items'!BC262))/6)</f>
        <v>12</v>
      </c>
      <c r="J262" s="4">
        <f t="shared" si="63"/>
        <v>33.333333333333336</v>
      </c>
      <c r="K262" s="4">
        <f t="shared" si="64"/>
        <v>50</v>
      </c>
      <c r="L262" s="5">
        <f t="shared" si="65"/>
        <v>0.49999999999999989</v>
      </c>
      <c r="M262" s="4">
        <f>4*(('01_WHOQOL_Items'!W262 + '01_WHOQOL_Items'!X262 + '01_WHOQOL_Items'!Y262)/3)</f>
        <v>9.3333333333333339</v>
      </c>
      <c r="N262" s="4">
        <f>4*(('01_WHOQOL_Items'!AW262 + '01_WHOQOL_Items'!AX262 + '01_WHOQOL_Items'!AY262)/3)</f>
        <v>13.333333333333334</v>
      </c>
      <c r="O262" s="4">
        <f t="shared" si="66"/>
        <v>33.333333333333336</v>
      </c>
      <c r="P262" s="4">
        <f t="shared" si="67"/>
        <v>58.333333333333336</v>
      </c>
      <c r="Q262" s="5">
        <f t="shared" si="68"/>
        <v>0.75</v>
      </c>
      <c r="R262" s="4">
        <f>4*(('01_WHOQOL_Items'!K262 + '01_WHOQOL_Items'!L262 + '01_WHOQOL_Items'!O262 + '01_WHOQOL_Items'!P262 + '01_WHOQOL_Items'!Q262 + '01_WHOQOL_Items'!Z262 + '01_WHOQOL_Items'!AA262 + '01_WHOQOL_Items'!AB262)/8)</f>
        <v>9.5</v>
      </c>
      <c r="S262" s="4">
        <f>4*(('01_WHOQOL_Items'!AK262 + '01_WHOQOL_Items'!AL262 + '01_WHOQOL_Items'!AO262 + '01_WHOQOL_Items'!AP262 + '01_WHOQOL_Items'!AQ262 + '01_WHOQOL_Items'!AZ262 + '01_WHOQOL_Items'!BA262 + '01_WHOQOL_Items'!BB262)/8)</f>
        <v>10.5</v>
      </c>
      <c r="T262" s="4">
        <f t="shared" si="69"/>
        <v>34.375</v>
      </c>
      <c r="U262" s="4">
        <f t="shared" si="70"/>
        <v>40.625</v>
      </c>
      <c r="V262" s="5">
        <f t="shared" si="71"/>
        <v>0.18181818181818182</v>
      </c>
      <c r="W262" s="4">
        <f t="shared" si="72"/>
        <v>35.974702380952387</v>
      </c>
      <c r="X262" s="4">
        <f t="shared" si="73"/>
        <v>47.953869047619051</v>
      </c>
      <c r="Y262" s="5">
        <f t="shared" si="74"/>
        <v>0.33298862461220258</v>
      </c>
      <c r="Z262" s="1">
        <f>'01_WHOQOL_Items'!D262</f>
        <v>4</v>
      </c>
      <c r="AA262" s="1">
        <f>'01_WHOQOL_Items'!AD262</f>
        <v>3</v>
      </c>
      <c r="AB262" s="1">
        <f>'01_WHOQOL_Items'!E262</f>
        <v>3</v>
      </c>
      <c r="AC262" s="1">
        <f>'01_WHOQOL_Items'!AE262</f>
        <v>3</v>
      </c>
    </row>
    <row r="263" spans="1:29">
      <c r="A263" s="1" t="str">
        <f>'01_WHOQOL_Items'!A263</f>
        <v>EXP-262</v>
      </c>
      <c r="B263" s="1" t="str">
        <f>'01_WHOQOL_Items'!B263</f>
        <v>Experimental</v>
      </c>
      <c r="C263" s="4">
        <f>4*(((6-'01_WHOQOL_Items'!F263) + (6-'01_WHOQOL_Items'!G263) + '01_WHOQOL_Items'!M263 + '01_WHOQOL_Items'!R263 + '01_WHOQOL_Items'!S263 + '01_WHOQOL_Items'!T263 + '01_WHOQOL_Items'!U263)/7)</f>
        <v>10.285714285714286</v>
      </c>
      <c r="D263" s="4">
        <f>4*(((6-'01_WHOQOL_Items'!AF263) + (6-'01_WHOQOL_Items'!AG263) + '01_WHOQOL_Items'!AM263 + '01_WHOQOL_Items'!AR263 + '01_WHOQOL_Items'!AS263 + '01_WHOQOL_Items'!AT263 + '01_WHOQOL_Items'!AU263)/7)</f>
        <v>12</v>
      </c>
      <c r="E263" s="4">
        <f t="shared" si="60"/>
        <v>39.285714285714292</v>
      </c>
      <c r="F263" s="4">
        <f t="shared" si="61"/>
        <v>50</v>
      </c>
      <c r="G263" s="5">
        <f t="shared" si="62"/>
        <v>0.27272727272727254</v>
      </c>
      <c r="H263" s="4">
        <f>4*(('01_WHOQOL_Items'!H263 + '01_WHOQOL_Items'!I263 + '01_WHOQOL_Items'!J263 + '01_WHOQOL_Items'!N263 + '01_WHOQOL_Items'!V263 + (6-'01_WHOQOL_Items'!AC263))/6)</f>
        <v>9.3333333333333339</v>
      </c>
      <c r="I263" s="4">
        <f>4*(('01_WHOQOL_Items'!AH263 + '01_WHOQOL_Items'!AI263 + '01_WHOQOL_Items'!AJ263 + '01_WHOQOL_Items'!AN263 + '01_WHOQOL_Items'!AV263 + (6-'01_WHOQOL_Items'!BC263))/6)</f>
        <v>11.333333333333334</v>
      </c>
      <c r="J263" s="4">
        <f t="shared" si="63"/>
        <v>33.333333333333336</v>
      </c>
      <c r="K263" s="4">
        <f t="shared" si="64"/>
        <v>45.833333333333336</v>
      </c>
      <c r="L263" s="5">
        <f t="shared" si="65"/>
        <v>0.375</v>
      </c>
      <c r="M263" s="4">
        <f>4*(('01_WHOQOL_Items'!W263 + '01_WHOQOL_Items'!X263 + '01_WHOQOL_Items'!Y263)/3)</f>
        <v>9.3333333333333339</v>
      </c>
      <c r="N263" s="4">
        <f>4*(('01_WHOQOL_Items'!AW263 + '01_WHOQOL_Items'!AX263 + '01_WHOQOL_Items'!AY263)/3)</f>
        <v>13.333333333333334</v>
      </c>
      <c r="O263" s="4">
        <f t="shared" si="66"/>
        <v>33.333333333333336</v>
      </c>
      <c r="P263" s="4">
        <f t="shared" si="67"/>
        <v>58.333333333333336</v>
      </c>
      <c r="Q263" s="5">
        <f t="shared" si="68"/>
        <v>0.75</v>
      </c>
      <c r="R263" s="4">
        <f>4*(('01_WHOQOL_Items'!K263 + '01_WHOQOL_Items'!L263 + '01_WHOQOL_Items'!O263 + '01_WHOQOL_Items'!P263 + '01_WHOQOL_Items'!Q263 + '01_WHOQOL_Items'!Z263 + '01_WHOQOL_Items'!AA263 + '01_WHOQOL_Items'!AB263)/8)</f>
        <v>14.5</v>
      </c>
      <c r="S263" s="4">
        <f>4*(('01_WHOQOL_Items'!AK263 + '01_WHOQOL_Items'!AL263 + '01_WHOQOL_Items'!AO263 + '01_WHOQOL_Items'!AP263 + '01_WHOQOL_Items'!AQ263 + '01_WHOQOL_Items'!AZ263 + '01_WHOQOL_Items'!BA263 + '01_WHOQOL_Items'!BB263)/8)</f>
        <v>16</v>
      </c>
      <c r="T263" s="4">
        <f t="shared" si="69"/>
        <v>65.625</v>
      </c>
      <c r="U263" s="4">
        <f t="shared" si="70"/>
        <v>75</v>
      </c>
      <c r="V263" s="5">
        <f t="shared" si="71"/>
        <v>0.14285714285714285</v>
      </c>
      <c r="W263" s="4">
        <f t="shared" si="72"/>
        <v>42.894345238095241</v>
      </c>
      <c r="X263" s="4">
        <f t="shared" si="73"/>
        <v>57.291666666666671</v>
      </c>
      <c r="Y263" s="5">
        <f t="shared" si="74"/>
        <v>0.33564614050303559</v>
      </c>
      <c r="Z263" s="1">
        <f>'01_WHOQOL_Items'!D263</f>
        <v>3</v>
      </c>
      <c r="AA263" s="1">
        <f>'01_WHOQOL_Items'!AD263</f>
        <v>4</v>
      </c>
      <c r="AB263" s="1">
        <f>'01_WHOQOL_Items'!E263</f>
        <v>3</v>
      </c>
      <c r="AC263" s="1">
        <f>'01_WHOQOL_Items'!AE263</f>
        <v>3</v>
      </c>
    </row>
    <row r="264" spans="1:29">
      <c r="A264" s="1" t="str">
        <f>'01_WHOQOL_Items'!A264</f>
        <v>EXP-263</v>
      </c>
      <c r="B264" s="1" t="str">
        <f>'01_WHOQOL_Items'!B264</f>
        <v>Experimental</v>
      </c>
      <c r="C264" s="4">
        <f>4*(((6-'01_WHOQOL_Items'!F264) + (6-'01_WHOQOL_Items'!G264) + '01_WHOQOL_Items'!M264 + '01_WHOQOL_Items'!R264 + '01_WHOQOL_Items'!S264 + '01_WHOQOL_Items'!T264 + '01_WHOQOL_Items'!U264)/7)</f>
        <v>11.428571428571429</v>
      </c>
      <c r="D264" s="4">
        <f>4*(((6-'01_WHOQOL_Items'!AF264) + (6-'01_WHOQOL_Items'!AG264) + '01_WHOQOL_Items'!AM264 + '01_WHOQOL_Items'!AR264 + '01_WHOQOL_Items'!AS264 + '01_WHOQOL_Items'!AT264 + '01_WHOQOL_Items'!AU264)/7)</f>
        <v>11.428571428571429</v>
      </c>
      <c r="E264" s="4">
        <f t="shared" si="60"/>
        <v>46.428571428571431</v>
      </c>
      <c r="F264" s="4">
        <f t="shared" si="61"/>
        <v>46.428571428571431</v>
      </c>
      <c r="G264" s="5">
        <f t="shared" si="62"/>
        <v>0</v>
      </c>
      <c r="H264" s="4">
        <f>4*(('01_WHOQOL_Items'!H264 + '01_WHOQOL_Items'!I264 + '01_WHOQOL_Items'!J264 + '01_WHOQOL_Items'!N264 + '01_WHOQOL_Items'!V264 + (6-'01_WHOQOL_Items'!AC264))/6)</f>
        <v>9.3333333333333339</v>
      </c>
      <c r="I264" s="4">
        <f>4*(('01_WHOQOL_Items'!AH264 + '01_WHOQOL_Items'!AI264 + '01_WHOQOL_Items'!AJ264 + '01_WHOQOL_Items'!AN264 + '01_WHOQOL_Items'!AV264 + (6-'01_WHOQOL_Items'!BC264))/6)</f>
        <v>13.333333333333334</v>
      </c>
      <c r="J264" s="4">
        <f t="shared" si="63"/>
        <v>33.333333333333336</v>
      </c>
      <c r="K264" s="4">
        <f t="shared" si="64"/>
        <v>58.333333333333336</v>
      </c>
      <c r="L264" s="5">
        <f t="shared" si="65"/>
        <v>0.75</v>
      </c>
      <c r="M264" s="4">
        <f>4*(('01_WHOQOL_Items'!W264 + '01_WHOQOL_Items'!X264 + '01_WHOQOL_Items'!Y264)/3)</f>
        <v>13.333333333333334</v>
      </c>
      <c r="N264" s="4">
        <f>4*(('01_WHOQOL_Items'!AW264 + '01_WHOQOL_Items'!AX264 + '01_WHOQOL_Items'!AY264)/3)</f>
        <v>13.333333333333334</v>
      </c>
      <c r="O264" s="4">
        <f t="shared" si="66"/>
        <v>58.333333333333336</v>
      </c>
      <c r="P264" s="4">
        <f t="shared" si="67"/>
        <v>58.333333333333336</v>
      </c>
      <c r="Q264" s="5">
        <f t="shared" si="68"/>
        <v>0</v>
      </c>
      <c r="R264" s="4">
        <f>4*(('01_WHOQOL_Items'!K264 + '01_WHOQOL_Items'!L264 + '01_WHOQOL_Items'!O264 + '01_WHOQOL_Items'!P264 + '01_WHOQOL_Items'!Q264 + '01_WHOQOL_Items'!Z264 + '01_WHOQOL_Items'!AA264 + '01_WHOQOL_Items'!AB264)/8)</f>
        <v>12</v>
      </c>
      <c r="S264" s="4">
        <f>4*(('01_WHOQOL_Items'!AK264 + '01_WHOQOL_Items'!AL264 + '01_WHOQOL_Items'!AO264 + '01_WHOQOL_Items'!AP264 + '01_WHOQOL_Items'!AQ264 + '01_WHOQOL_Items'!AZ264 + '01_WHOQOL_Items'!BA264 + '01_WHOQOL_Items'!BB264)/8)</f>
        <v>15</v>
      </c>
      <c r="T264" s="4">
        <f t="shared" si="69"/>
        <v>50</v>
      </c>
      <c r="U264" s="4">
        <f t="shared" si="70"/>
        <v>68.75</v>
      </c>
      <c r="V264" s="5">
        <f t="shared" si="71"/>
        <v>0.375</v>
      </c>
      <c r="W264" s="4">
        <f t="shared" si="72"/>
        <v>47.023809523809526</v>
      </c>
      <c r="X264" s="4">
        <f t="shared" si="73"/>
        <v>57.961309523809526</v>
      </c>
      <c r="Y264" s="5">
        <f t="shared" si="74"/>
        <v>0.23259493670886075</v>
      </c>
      <c r="Z264" s="1">
        <f>'01_WHOQOL_Items'!D264</f>
        <v>3</v>
      </c>
      <c r="AA264" s="1">
        <f>'01_WHOQOL_Items'!AD264</f>
        <v>4</v>
      </c>
      <c r="AB264" s="1">
        <f>'01_WHOQOL_Items'!E264</f>
        <v>3</v>
      </c>
      <c r="AC264" s="1">
        <f>'01_WHOQOL_Items'!AE264</f>
        <v>3</v>
      </c>
    </row>
    <row r="265" spans="1:29">
      <c r="A265" s="1" t="str">
        <f>'01_WHOQOL_Items'!A265</f>
        <v>EXP-264</v>
      </c>
      <c r="B265" s="1" t="str">
        <f>'01_WHOQOL_Items'!B265</f>
        <v>Experimental</v>
      </c>
      <c r="C265" s="4">
        <f>4*(((6-'01_WHOQOL_Items'!F265) + (6-'01_WHOQOL_Items'!G265) + '01_WHOQOL_Items'!M265 + '01_WHOQOL_Items'!R265 + '01_WHOQOL_Items'!S265 + '01_WHOQOL_Items'!T265 + '01_WHOQOL_Items'!U265)/7)</f>
        <v>13.714285714285714</v>
      </c>
      <c r="D265" s="4">
        <f>4*(((6-'01_WHOQOL_Items'!AF265) + (6-'01_WHOQOL_Items'!AG265) + '01_WHOQOL_Items'!AM265 + '01_WHOQOL_Items'!AR265 + '01_WHOQOL_Items'!AS265 + '01_WHOQOL_Items'!AT265 + '01_WHOQOL_Items'!AU265)/7)</f>
        <v>13.142857142857142</v>
      </c>
      <c r="E265" s="4">
        <f t="shared" si="60"/>
        <v>60.714285714285708</v>
      </c>
      <c r="F265" s="4">
        <f t="shared" si="61"/>
        <v>57.142857142857139</v>
      </c>
      <c r="G265" s="5">
        <f t="shared" si="62"/>
        <v>-5.8823529411764677E-2</v>
      </c>
      <c r="H265" s="4">
        <f>4*(('01_WHOQOL_Items'!H265 + '01_WHOQOL_Items'!I265 + '01_WHOQOL_Items'!J265 + '01_WHOQOL_Items'!N265 + '01_WHOQOL_Items'!V265 + (6-'01_WHOQOL_Items'!AC265))/6)</f>
        <v>10</v>
      </c>
      <c r="I265" s="4">
        <f>4*(('01_WHOQOL_Items'!AH265 + '01_WHOQOL_Items'!AI265 + '01_WHOQOL_Items'!AJ265 + '01_WHOQOL_Items'!AN265 + '01_WHOQOL_Items'!AV265 + (6-'01_WHOQOL_Items'!BC265))/6)</f>
        <v>13.333333333333334</v>
      </c>
      <c r="J265" s="4">
        <f t="shared" si="63"/>
        <v>37.5</v>
      </c>
      <c r="K265" s="4">
        <f t="shared" si="64"/>
        <v>58.333333333333336</v>
      </c>
      <c r="L265" s="5">
        <f t="shared" si="65"/>
        <v>0.55555555555555558</v>
      </c>
      <c r="M265" s="4">
        <f>4*(('01_WHOQOL_Items'!W265 + '01_WHOQOL_Items'!X265 + '01_WHOQOL_Items'!Y265)/3)</f>
        <v>13.333333333333334</v>
      </c>
      <c r="N265" s="4">
        <f>4*(('01_WHOQOL_Items'!AW265 + '01_WHOQOL_Items'!AX265 + '01_WHOQOL_Items'!AY265)/3)</f>
        <v>14.666666666666666</v>
      </c>
      <c r="O265" s="4">
        <f t="shared" si="66"/>
        <v>58.333333333333336</v>
      </c>
      <c r="P265" s="4">
        <f t="shared" si="67"/>
        <v>66.666666666666657</v>
      </c>
      <c r="Q265" s="5">
        <f t="shared" si="68"/>
        <v>0.14285714285714265</v>
      </c>
      <c r="R265" s="4">
        <f>4*(('01_WHOQOL_Items'!K265 + '01_WHOQOL_Items'!L265 + '01_WHOQOL_Items'!O265 + '01_WHOQOL_Items'!P265 + '01_WHOQOL_Items'!Q265 + '01_WHOQOL_Items'!Z265 + '01_WHOQOL_Items'!AA265 + '01_WHOQOL_Items'!AB265)/8)</f>
        <v>12.5</v>
      </c>
      <c r="S265" s="4">
        <f>4*(('01_WHOQOL_Items'!AK265 + '01_WHOQOL_Items'!AL265 + '01_WHOQOL_Items'!AO265 + '01_WHOQOL_Items'!AP265 + '01_WHOQOL_Items'!AQ265 + '01_WHOQOL_Items'!AZ265 + '01_WHOQOL_Items'!BA265 + '01_WHOQOL_Items'!BB265)/8)</f>
        <v>11.5</v>
      </c>
      <c r="T265" s="4">
        <f t="shared" si="69"/>
        <v>53.125</v>
      </c>
      <c r="U265" s="4">
        <f t="shared" si="70"/>
        <v>46.875</v>
      </c>
      <c r="V265" s="5">
        <f t="shared" si="71"/>
        <v>-0.11764705882352941</v>
      </c>
      <c r="W265" s="4">
        <f t="shared" si="72"/>
        <v>52.418154761904759</v>
      </c>
      <c r="X265" s="4">
        <f t="shared" si="73"/>
        <v>57.254464285714285</v>
      </c>
      <c r="Y265" s="5">
        <f t="shared" si="74"/>
        <v>9.2264017033357029E-2</v>
      </c>
      <c r="Z265" s="1">
        <f>'01_WHOQOL_Items'!D265</f>
        <v>3</v>
      </c>
      <c r="AA265" s="1">
        <f>'01_WHOQOL_Items'!AD265</f>
        <v>4</v>
      </c>
      <c r="AB265" s="1">
        <f>'01_WHOQOL_Items'!E265</f>
        <v>4</v>
      </c>
      <c r="AC265" s="1">
        <f>'01_WHOQOL_Items'!AE265</f>
        <v>4</v>
      </c>
    </row>
    <row r="266" spans="1:29">
      <c r="A266" s="1" t="str">
        <f>'01_WHOQOL_Items'!A266</f>
        <v>EXP-265</v>
      </c>
      <c r="B266" s="1" t="str">
        <f>'01_WHOQOL_Items'!B266</f>
        <v>Experimental</v>
      </c>
      <c r="C266" s="4">
        <f>4*(((6-'01_WHOQOL_Items'!F266) + (6-'01_WHOQOL_Items'!G266) + '01_WHOQOL_Items'!M266 + '01_WHOQOL_Items'!R266 + '01_WHOQOL_Items'!S266 + '01_WHOQOL_Items'!T266 + '01_WHOQOL_Items'!U266)/7)</f>
        <v>9.7142857142857135</v>
      </c>
      <c r="D266" s="4">
        <f>4*(((6-'01_WHOQOL_Items'!AF266) + (6-'01_WHOQOL_Items'!AG266) + '01_WHOQOL_Items'!AM266 + '01_WHOQOL_Items'!AR266 + '01_WHOQOL_Items'!AS266 + '01_WHOQOL_Items'!AT266 + '01_WHOQOL_Items'!AU266)/7)</f>
        <v>10.857142857142858</v>
      </c>
      <c r="E266" s="4">
        <f t="shared" si="60"/>
        <v>35.714285714285708</v>
      </c>
      <c r="F266" s="4">
        <f t="shared" si="61"/>
        <v>42.857142857142861</v>
      </c>
      <c r="G266" s="5">
        <f t="shared" si="62"/>
        <v>0.20000000000000032</v>
      </c>
      <c r="H266" s="4">
        <f>4*(('01_WHOQOL_Items'!H266 + '01_WHOQOL_Items'!I266 + '01_WHOQOL_Items'!J266 + '01_WHOQOL_Items'!N266 + '01_WHOQOL_Items'!V266 + (6-'01_WHOQOL_Items'!AC266))/6)</f>
        <v>10</v>
      </c>
      <c r="I266" s="4">
        <f>4*(('01_WHOQOL_Items'!AH266 + '01_WHOQOL_Items'!AI266 + '01_WHOQOL_Items'!AJ266 + '01_WHOQOL_Items'!AN266 + '01_WHOQOL_Items'!AV266 + (6-'01_WHOQOL_Items'!BC266))/6)</f>
        <v>12</v>
      </c>
      <c r="J266" s="4">
        <f t="shared" si="63"/>
        <v>37.5</v>
      </c>
      <c r="K266" s="4">
        <f t="shared" si="64"/>
        <v>50</v>
      </c>
      <c r="L266" s="5">
        <f t="shared" si="65"/>
        <v>0.33333333333333331</v>
      </c>
      <c r="M266" s="4">
        <f>4*(('01_WHOQOL_Items'!W266 + '01_WHOQOL_Items'!X266 + '01_WHOQOL_Items'!Y266)/3)</f>
        <v>16</v>
      </c>
      <c r="N266" s="4">
        <f>4*(('01_WHOQOL_Items'!AW266 + '01_WHOQOL_Items'!AX266 + '01_WHOQOL_Items'!AY266)/3)</f>
        <v>18.666666666666668</v>
      </c>
      <c r="O266" s="4">
        <f t="shared" si="66"/>
        <v>75</v>
      </c>
      <c r="P266" s="4">
        <f t="shared" si="67"/>
        <v>91.666666666666671</v>
      </c>
      <c r="Q266" s="5">
        <f t="shared" si="68"/>
        <v>0.22222222222222229</v>
      </c>
      <c r="R266" s="4">
        <f>4*(('01_WHOQOL_Items'!K266 + '01_WHOQOL_Items'!L266 + '01_WHOQOL_Items'!O266 + '01_WHOQOL_Items'!P266 + '01_WHOQOL_Items'!Q266 + '01_WHOQOL_Items'!Z266 + '01_WHOQOL_Items'!AA266 + '01_WHOQOL_Items'!AB266)/8)</f>
        <v>13.5</v>
      </c>
      <c r="S266" s="4">
        <f>4*(('01_WHOQOL_Items'!AK266 + '01_WHOQOL_Items'!AL266 + '01_WHOQOL_Items'!AO266 + '01_WHOQOL_Items'!AP266 + '01_WHOQOL_Items'!AQ266 + '01_WHOQOL_Items'!AZ266 + '01_WHOQOL_Items'!BA266 + '01_WHOQOL_Items'!BB266)/8)</f>
        <v>14.5</v>
      </c>
      <c r="T266" s="4">
        <f t="shared" si="69"/>
        <v>59.375</v>
      </c>
      <c r="U266" s="4">
        <f t="shared" si="70"/>
        <v>65.625</v>
      </c>
      <c r="V266" s="5">
        <f t="shared" si="71"/>
        <v>0.10526315789473684</v>
      </c>
      <c r="W266" s="4">
        <f t="shared" si="72"/>
        <v>51.897321428571431</v>
      </c>
      <c r="X266" s="4">
        <f t="shared" si="73"/>
        <v>62.53720238095238</v>
      </c>
      <c r="Y266" s="5">
        <f t="shared" si="74"/>
        <v>0.20501792114695333</v>
      </c>
      <c r="Z266" s="1">
        <f>'01_WHOQOL_Items'!D266</f>
        <v>3</v>
      </c>
      <c r="AA266" s="1">
        <f>'01_WHOQOL_Items'!AD266</f>
        <v>4</v>
      </c>
      <c r="AB266" s="1">
        <f>'01_WHOQOL_Items'!E266</f>
        <v>3</v>
      </c>
      <c r="AC266" s="1">
        <f>'01_WHOQOL_Items'!AE266</f>
        <v>3</v>
      </c>
    </row>
    <row r="267" spans="1:29">
      <c r="A267" s="1" t="str">
        <f>'01_WHOQOL_Items'!A267</f>
        <v>EXP-266</v>
      </c>
      <c r="B267" s="1" t="str">
        <f>'01_WHOQOL_Items'!B267</f>
        <v>Experimental</v>
      </c>
      <c r="C267" s="4">
        <f>4*(((6-'01_WHOQOL_Items'!F267) + (6-'01_WHOQOL_Items'!G267) + '01_WHOQOL_Items'!M267 + '01_WHOQOL_Items'!R267 + '01_WHOQOL_Items'!S267 + '01_WHOQOL_Items'!T267 + '01_WHOQOL_Items'!U267)/7)</f>
        <v>10.285714285714286</v>
      </c>
      <c r="D267" s="4">
        <f>4*(((6-'01_WHOQOL_Items'!AF267) + (6-'01_WHOQOL_Items'!AG267) + '01_WHOQOL_Items'!AM267 + '01_WHOQOL_Items'!AR267 + '01_WHOQOL_Items'!AS267 + '01_WHOQOL_Items'!AT267 + '01_WHOQOL_Items'!AU267)/7)</f>
        <v>12</v>
      </c>
      <c r="E267" s="4">
        <f t="shared" si="60"/>
        <v>39.285714285714292</v>
      </c>
      <c r="F267" s="4">
        <f t="shared" si="61"/>
        <v>50</v>
      </c>
      <c r="G267" s="5">
        <f t="shared" si="62"/>
        <v>0.27272727272727254</v>
      </c>
      <c r="H267" s="4">
        <f>4*(('01_WHOQOL_Items'!H267 + '01_WHOQOL_Items'!I267 + '01_WHOQOL_Items'!J267 + '01_WHOQOL_Items'!N267 + '01_WHOQOL_Items'!V267 + (6-'01_WHOQOL_Items'!AC267))/6)</f>
        <v>10.666666666666666</v>
      </c>
      <c r="I267" s="4">
        <f>4*(('01_WHOQOL_Items'!AH267 + '01_WHOQOL_Items'!AI267 + '01_WHOQOL_Items'!AJ267 + '01_WHOQOL_Items'!AN267 + '01_WHOQOL_Items'!AV267 + (6-'01_WHOQOL_Items'!BC267))/6)</f>
        <v>11.333333333333334</v>
      </c>
      <c r="J267" s="4">
        <f t="shared" si="63"/>
        <v>41.666666666666664</v>
      </c>
      <c r="K267" s="4">
        <f t="shared" si="64"/>
        <v>45.833333333333336</v>
      </c>
      <c r="L267" s="5">
        <f t="shared" si="65"/>
        <v>0.10000000000000012</v>
      </c>
      <c r="M267" s="4">
        <f>4*(('01_WHOQOL_Items'!W267 + '01_WHOQOL_Items'!X267 + '01_WHOQOL_Items'!Y267)/3)</f>
        <v>10.666666666666666</v>
      </c>
      <c r="N267" s="4">
        <f>4*(('01_WHOQOL_Items'!AW267 + '01_WHOQOL_Items'!AX267 + '01_WHOQOL_Items'!AY267)/3)</f>
        <v>17.333333333333332</v>
      </c>
      <c r="O267" s="4">
        <f t="shared" si="66"/>
        <v>41.666666666666664</v>
      </c>
      <c r="P267" s="4">
        <f t="shared" si="67"/>
        <v>83.333333333333329</v>
      </c>
      <c r="Q267" s="5">
        <f t="shared" si="68"/>
        <v>1</v>
      </c>
      <c r="R267" s="4">
        <f>4*(('01_WHOQOL_Items'!K267 + '01_WHOQOL_Items'!L267 + '01_WHOQOL_Items'!O267 + '01_WHOQOL_Items'!P267 + '01_WHOQOL_Items'!Q267 + '01_WHOQOL_Items'!Z267 + '01_WHOQOL_Items'!AA267 + '01_WHOQOL_Items'!AB267)/8)</f>
        <v>15</v>
      </c>
      <c r="S267" s="4">
        <f>4*(('01_WHOQOL_Items'!AK267 + '01_WHOQOL_Items'!AL267 + '01_WHOQOL_Items'!AO267 + '01_WHOQOL_Items'!AP267 + '01_WHOQOL_Items'!AQ267 + '01_WHOQOL_Items'!AZ267 + '01_WHOQOL_Items'!BA267 + '01_WHOQOL_Items'!BB267)/8)</f>
        <v>14.5</v>
      </c>
      <c r="T267" s="4">
        <f t="shared" si="69"/>
        <v>68.75</v>
      </c>
      <c r="U267" s="4">
        <f t="shared" si="70"/>
        <v>65.625</v>
      </c>
      <c r="V267" s="5">
        <f t="shared" si="71"/>
        <v>-4.5454545454545456E-2</v>
      </c>
      <c r="W267" s="4">
        <f t="shared" si="72"/>
        <v>47.842261904761905</v>
      </c>
      <c r="X267" s="4">
        <f t="shared" si="73"/>
        <v>61.197916666666671</v>
      </c>
      <c r="Y267" s="5">
        <f t="shared" si="74"/>
        <v>0.27916018662519448</v>
      </c>
      <c r="Z267" s="1">
        <f>'01_WHOQOL_Items'!D267</f>
        <v>3</v>
      </c>
      <c r="AA267" s="1">
        <f>'01_WHOQOL_Items'!AD267</f>
        <v>4</v>
      </c>
      <c r="AB267" s="1">
        <f>'01_WHOQOL_Items'!E267</f>
        <v>3</v>
      </c>
      <c r="AC267" s="1">
        <f>'01_WHOQOL_Items'!AE267</f>
        <v>2</v>
      </c>
    </row>
    <row r="268" spans="1:29">
      <c r="A268" s="1" t="str">
        <f>'01_WHOQOL_Items'!A268</f>
        <v>EXP-267</v>
      </c>
      <c r="B268" s="1" t="str">
        <f>'01_WHOQOL_Items'!B268</f>
        <v>Experimental</v>
      </c>
      <c r="C268" s="4">
        <f>4*(((6-'01_WHOQOL_Items'!F268) + (6-'01_WHOQOL_Items'!G268) + '01_WHOQOL_Items'!M268 + '01_WHOQOL_Items'!R268 + '01_WHOQOL_Items'!S268 + '01_WHOQOL_Items'!T268 + '01_WHOQOL_Items'!U268)/7)</f>
        <v>14.857142857142858</v>
      </c>
      <c r="D268" s="4">
        <f>4*(((6-'01_WHOQOL_Items'!AF268) + (6-'01_WHOQOL_Items'!AG268) + '01_WHOQOL_Items'!AM268 + '01_WHOQOL_Items'!AR268 + '01_WHOQOL_Items'!AS268 + '01_WHOQOL_Items'!AT268 + '01_WHOQOL_Items'!AU268)/7)</f>
        <v>16.571428571428573</v>
      </c>
      <c r="E268" s="4">
        <f t="shared" si="60"/>
        <v>67.857142857142861</v>
      </c>
      <c r="F268" s="4">
        <f t="shared" si="61"/>
        <v>78.571428571428584</v>
      </c>
      <c r="G268" s="5">
        <f t="shared" si="62"/>
        <v>0.15789473684210537</v>
      </c>
      <c r="H268" s="4">
        <f>4*(('01_WHOQOL_Items'!H268 + '01_WHOQOL_Items'!I268 + '01_WHOQOL_Items'!J268 + '01_WHOQOL_Items'!N268 + '01_WHOQOL_Items'!V268 + (6-'01_WHOQOL_Items'!AC268))/6)</f>
        <v>14.666666666666666</v>
      </c>
      <c r="I268" s="4">
        <f>4*(('01_WHOQOL_Items'!AH268 + '01_WHOQOL_Items'!AI268 + '01_WHOQOL_Items'!AJ268 + '01_WHOQOL_Items'!AN268 + '01_WHOQOL_Items'!AV268 + (6-'01_WHOQOL_Items'!BC268))/6)</f>
        <v>16.666666666666668</v>
      </c>
      <c r="J268" s="4">
        <f t="shared" si="63"/>
        <v>66.666666666666657</v>
      </c>
      <c r="K268" s="4">
        <f t="shared" si="64"/>
        <v>79.166666666666671</v>
      </c>
      <c r="L268" s="5">
        <f t="shared" si="65"/>
        <v>0.18750000000000025</v>
      </c>
      <c r="M268" s="4">
        <f>4*(('01_WHOQOL_Items'!W268 + '01_WHOQOL_Items'!X268 + '01_WHOQOL_Items'!Y268)/3)</f>
        <v>10.666666666666666</v>
      </c>
      <c r="N268" s="4">
        <f>4*(('01_WHOQOL_Items'!AW268 + '01_WHOQOL_Items'!AX268 + '01_WHOQOL_Items'!AY268)/3)</f>
        <v>16</v>
      </c>
      <c r="O268" s="4">
        <f t="shared" si="66"/>
        <v>41.666666666666664</v>
      </c>
      <c r="P268" s="4">
        <f t="shared" si="67"/>
        <v>75</v>
      </c>
      <c r="Q268" s="5">
        <f t="shared" si="68"/>
        <v>0.80000000000000016</v>
      </c>
      <c r="R268" s="4">
        <f>4*(('01_WHOQOL_Items'!K268 + '01_WHOQOL_Items'!L268 + '01_WHOQOL_Items'!O268 + '01_WHOQOL_Items'!P268 + '01_WHOQOL_Items'!Q268 + '01_WHOQOL_Items'!Z268 + '01_WHOQOL_Items'!AA268 + '01_WHOQOL_Items'!AB268)/8)</f>
        <v>17.5</v>
      </c>
      <c r="S268" s="4">
        <f>4*(('01_WHOQOL_Items'!AK268 + '01_WHOQOL_Items'!AL268 + '01_WHOQOL_Items'!AO268 + '01_WHOQOL_Items'!AP268 + '01_WHOQOL_Items'!AQ268 + '01_WHOQOL_Items'!AZ268 + '01_WHOQOL_Items'!BA268 + '01_WHOQOL_Items'!BB268)/8)</f>
        <v>17.5</v>
      </c>
      <c r="T268" s="4">
        <f t="shared" si="69"/>
        <v>84.375</v>
      </c>
      <c r="U268" s="4">
        <f t="shared" si="70"/>
        <v>84.375</v>
      </c>
      <c r="V268" s="5">
        <f t="shared" si="71"/>
        <v>0</v>
      </c>
      <c r="W268" s="4">
        <f t="shared" si="72"/>
        <v>65.141369047619037</v>
      </c>
      <c r="X268" s="4">
        <f t="shared" si="73"/>
        <v>79.27827380952381</v>
      </c>
      <c r="Y268" s="5">
        <f t="shared" si="74"/>
        <v>0.21701884637350108</v>
      </c>
      <c r="Z268" s="1">
        <f>'01_WHOQOL_Items'!D268</f>
        <v>4</v>
      </c>
      <c r="AA268" s="1">
        <f>'01_WHOQOL_Items'!AD268</f>
        <v>4</v>
      </c>
      <c r="AB268" s="1">
        <f>'01_WHOQOL_Items'!E268</f>
        <v>4</v>
      </c>
      <c r="AC268" s="1">
        <f>'01_WHOQOL_Items'!AE268</f>
        <v>4</v>
      </c>
    </row>
    <row r="269" spans="1:29">
      <c r="A269" s="1" t="str">
        <f>'01_WHOQOL_Items'!A269</f>
        <v>EXP-268</v>
      </c>
      <c r="B269" s="1" t="str">
        <f>'01_WHOQOL_Items'!B269</f>
        <v>Experimental</v>
      </c>
      <c r="C269" s="4">
        <f>4*(((6-'01_WHOQOL_Items'!F269) + (6-'01_WHOQOL_Items'!G269) + '01_WHOQOL_Items'!M269 + '01_WHOQOL_Items'!R269 + '01_WHOQOL_Items'!S269 + '01_WHOQOL_Items'!T269 + '01_WHOQOL_Items'!U269)/7)</f>
        <v>13.142857142857142</v>
      </c>
      <c r="D269" s="4">
        <f>4*(((6-'01_WHOQOL_Items'!AF269) + (6-'01_WHOQOL_Items'!AG269) + '01_WHOQOL_Items'!AM269 + '01_WHOQOL_Items'!AR269 + '01_WHOQOL_Items'!AS269 + '01_WHOQOL_Items'!AT269 + '01_WHOQOL_Items'!AU269)/7)</f>
        <v>12.571428571428571</v>
      </c>
      <c r="E269" s="4">
        <f t="shared" si="60"/>
        <v>57.142857142857139</v>
      </c>
      <c r="F269" s="4">
        <f t="shared" si="61"/>
        <v>53.571428571428569</v>
      </c>
      <c r="G269" s="5">
        <f t="shared" si="62"/>
        <v>-6.2499999999999972E-2</v>
      </c>
      <c r="H269" s="4">
        <f>4*(('01_WHOQOL_Items'!H269 + '01_WHOQOL_Items'!I269 + '01_WHOQOL_Items'!J269 + '01_WHOQOL_Items'!N269 + '01_WHOQOL_Items'!V269 + (6-'01_WHOQOL_Items'!AC269))/6)</f>
        <v>10</v>
      </c>
      <c r="I269" s="4">
        <f>4*(('01_WHOQOL_Items'!AH269 + '01_WHOQOL_Items'!AI269 + '01_WHOQOL_Items'!AJ269 + '01_WHOQOL_Items'!AN269 + '01_WHOQOL_Items'!AV269 + (6-'01_WHOQOL_Items'!BC269))/6)</f>
        <v>12</v>
      </c>
      <c r="J269" s="4">
        <f t="shared" si="63"/>
        <v>37.5</v>
      </c>
      <c r="K269" s="4">
        <f t="shared" si="64"/>
        <v>50</v>
      </c>
      <c r="L269" s="5">
        <f t="shared" si="65"/>
        <v>0.33333333333333331</v>
      </c>
      <c r="M269" s="4">
        <f>4*(('01_WHOQOL_Items'!W269 + '01_WHOQOL_Items'!X269 + '01_WHOQOL_Items'!Y269)/3)</f>
        <v>10.666666666666666</v>
      </c>
      <c r="N269" s="4">
        <f>4*(('01_WHOQOL_Items'!AW269 + '01_WHOQOL_Items'!AX269 + '01_WHOQOL_Items'!AY269)/3)</f>
        <v>16</v>
      </c>
      <c r="O269" s="4">
        <f t="shared" si="66"/>
        <v>41.666666666666664</v>
      </c>
      <c r="P269" s="4">
        <f t="shared" si="67"/>
        <v>75</v>
      </c>
      <c r="Q269" s="5">
        <f t="shared" si="68"/>
        <v>0.80000000000000016</v>
      </c>
      <c r="R269" s="4">
        <f>4*(('01_WHOQOL_Items'!K269 + '01_WHOQOL_Items'!L269 + '01_WHOQOL_Items'!O269 + '01_WHOQOL_Items'!P269 + '01_WHOQOL_Items'!Q269 + '01_WHOQOL_Items'!Z269 + '01_WHOQOL_Items'!AA269 + '01_WHOQOL_Items'!AB269)/8)</f>
        <v>14</v>
      </c>
      <c r="S269" s="4">
        <f>4*(('01_WHOQOL_Items'!AK269 + '01_WHOQOL_Items'!AL269 + '01_WHOQOL_Items'!AO269 + '01_WHOQOL_Items'!AP269 + '01_WHOQOL_Items'!AQ269 + '01_WHOQOL_Items'!AZ269 + '01_WHOQOL_Items'!BA269 + '01_WHOQOL_Items'!BB269)/8)</f>
        <v>14.5</v>
      </c>
      <c r="T269" s="4">
        <f t="shared" si="69"/>
        <v>62.5</v>
      </c>
      <c r="U269" s="4">
        <f t="shared" si="70"/>
        <v>65.625</v>
      </c>
      <c r="V269" s="5">
        <f t="shared" si="71"/>
        <v>0.05</v>
      </c>
      <c r="W269" s="4">
        <f t="shared" si="72"/>
        <v>49.702380952380949</v>
      </c>
      <c r="X269" s="4">
        <f t="shared" si="73"/>
        <v>61.049107142857139</v>
      </c>
      <c r="Y269" s="5">
        <f t="shared" si="74"/>
        <v>0.2282934131736527</v>
      </c>
      <c r="Z269" s="1">
        <f>'01_WHOQOL_Items'!D269</f>
        <v>2</v>
      </c>
      <c r="AA269" s="1">
        <f>'01_WHOQOL_Items'!AD269</f>
        <v>4</v>
      </c>
      <c r="AB269" s="1">
        <f>'01_WHOQOL_Items'!E269</f>
        <v>2</v>
      </c>
      <c r="AC269" s="1">
        <f>'01_WHOQOL_Items'!AE269</f>
        <v>2</v>
      </c>
    </row>
    <row r="270" spans="1:29">
      <c r="A270" s="1" t="str">
        <f>'01_WHOQOL_Items'!A270</f>
        <v>EXP-269</v>
      </c>
      <c r="B270" s="1" t="str">
        <f>'01_WHOQOL_Items'!B270</f>
        <v>Experimental</v>
      </c>
      <c r="C270" s="4">
        <f>4*(((6-'01_WHOQOL_Items'!F270) + (6-'01_WHOQOL_Items'!G270) + '01_WHOQOL_Items'!M270 + '01_WHOQOL_Items'!R270 + '01_WHOQOL_Items'!S270 + '01_WHOQOL_Items'!T270 + '01_WHOQOL_Items'!U270)/7)</f>
        <v>11.428571428571429</v>
      </c>
      <c r="D270" s="4">
        <f>4*(((6-'01_WHOQOL_Items'!AF270) + (6-'01_WHOQOL_Items'!AG270) + '01_WHOQOL_Items'!AM270 + '01_WHOQOL_Items'!AR270 + '01_WHOQOL_Items'!AS270 + '01_WHOQOL_Items'!AT270 + '01_WHOQOL_Items'!AU270)/7)</f>
        <v>14.285714285714286</v>
      </c>
      <c r="E270" s="4">
        <f t="shared" si="60"/>
        <v>46.428571428571431</v>
      </c>
      <c r="F270" s="4">
        <f t="shared" si="61"/>
        <v>64.285714285714292</v>
      </c>
      <c r="G270" s="5">
        <f t="shared" si="62"/>
        <v>0.38461538461538469</v>
      </c>
      <c r="H270" s="4">
        <f>4*(('01_WHOQOL_Items'!H270 + '01_WHOQOL_Items'!I270 + '01_WHOQOL_Items'!J270 + '01_WHOQOL_Items'!N270 + '01_WHOQOL_Items'!V270 + (6-'01_WHOQOL_Items'!AC270))/6)</f>
        <v>10.666666666666666</v>
      </c>
      <c r="I270" s="4">
        <f>4*(('01_WHOQOL_Items'!AH270 + '01_WHOQOL_Items'!AI270 + '01_WHOQOL_Items'!AJ270 + '01_WHOQOL_Items'!AN270 + '01_WHOQOL_Items'!AV270 + (6-'01_WHOQOL_Items'!BC270))/6)</f>
        <v>14</v>
      </c>
      <c r="J270" s="4">
        <f t="shared" si="63"/>
        <v>41.666666666666664</v>
      </c>
      <c r="K270" s="4">
        <f t="shared" si="64"/>
        <v>62.5</v>
      </c>
      <c r="L270" s="5">
        <f t="shared" si="65"/>
        <v>0.50000000000000011</v>
      </c>
      <c r="M270" s="4">
        <f>4*(('01_WHOQOL_Items'!W270 + '01_WHOQOL_Items'!X270 + '01_WHOQOL_Items'!Y270)/3)</f>
        <v>9.3333333333333339</v>
      </c>
      <c r="N270" s="4">
        <f>4*(('01_WHOQOL_Items'!AW270 + '01_WHOQOL_Items'!AX270 + '01_WHOQOL_Items'!AY270)/3)</f>
        <v>12</v>
      </c>
      <c r="O270" s="4">
        <f t="shared" si="66"/>
        <v>33.333333333333336</v>
      </c>
      <c r="P270" s="4">
        <f t="shared" si="67"/>
        <v>50</v>
      </c>
      <c r="Q270" s="5">
        <f t="shared" si="68"/>
        <v>0.49999999999999989</v>
      </c>
      <c r="R270" s="4">
        <f>4*(('01_WHOQOL_Items'!K270 + '01_WHOQOL_Items'!L270 + '01_WHOQOL_Items'!O270 + '01_WHOQOL_Items'!P270 + '01_WHOQOL_Items'!Q270 + '01_WHOQOL_Items'!Z270 + '01_WHOQOL_Items'!AA270 + '01_WHOQOL_Items'!AB270)/8)</f>
        <v>15.5</v>
      </c>
      <c r="S270" s="4">
        <f>4*(('01_WHOQOL_Items'!AK270 + '01_WHOQOL_Items'!AL270 + '01_WHOQOL_Items'!AO270 + '01_WHOQOL_Items'!AP270 + '01_WHOQOL_Items'!AQ270 + '01_WHOQOL_Items'!AZ270 + '01_WHOQOL_Items'!BA270 + '01_WHOQOL_Items'!BB270)/8)</f>
        <v>15.5</v>
      </c>
      <c r="T270" s="4">
        <f t="shared" si="69"/>
        <v>71.875</v>
      </c>
      <c r="U270" s="4">
        <f t="shared" si="70"/>
        <v>71.875</v>
      </c>
      <c r="V270" s="5">
        <f t="shared" si="71"/>
        <v>0</v>
      </c>
      <c r="W270" s="4">
        <f t="shared" si="72"/>
        <v>48.325892857142861</v>
      </c>
      <c r="X270" s="4">
        <f t="shared" si="73"/>
        <v>62.165178571428569</v>
      </c>
      <c r="Y270" s="5">
        <f t="shared" si="74"/>
        <v>0.28637413394919153</v>
      </c>
      <c r="Z270" s="1">
        <f>'01_WHOQOL_Items'!D270</f>
        <v>3</v>
      </c>
      <c r="AA270" s="1">
        <f>'01_WHOQOL_Items'!AD270</f>
        <v>4</v>
      </c>
      <c r="AB270" s="1">
        <f>'01_WHOQOL_Items'!E270</f>
        <v>2</v>
      </c>
      <c r="AC270" s="1">
        <f>'01_WHOQOL_Items'!AE270</f>
        <v>3</v>
      </c>
    </row>
    <row r="271" spans="1:29">
      <c r="A271" s="1" t="str">
        <f>'01_WHOQOL_Items'!A271</f>
        <v>EXP-270</v>
      </c>
      <c r="B271" s="1" t="str">
        <f>'01_WHOQOL_Items'!B271</f>
        <v>Experimental</v>
      </c>
      <c r="C271" s="4">
        <f>4*(((6-'01_WHOQOL_Items'!F271) + (6-'01_WHOQOL_Items'!G271) + '01_WHOQOL_Items'!M271 + '01_WHOQOL_Items'!R271 + '01_WHOQOL_Items'!S271 + '01_WHOQOL_Items'!T271 + '01_WHOQOL_Items'!U271)/7)</f>
        <v>13.142857142857142</v>
      </c>
      <c r="D271" s="4">
        <f>4*(((6-'01_WHOQOL_Items'!AF271) + (6-'01_WHOQOL_Items'!AG271) + '01_WHOQOL_Items'!AM271 + '01_WHOQOL_Items'!AR271 + '01_WHOQOL_Items'!AS271 + '01_WHOQOL_Items'!AT271 + '01_WHOQOL_Items'!AU271)/7)</f>
        <v>14.285714285714286</v>
      </c>
      <c r="E271" s="4">
        <f t="shared" si="60"/>
        <v>57.142857142857139</v>
      </c>
      <c r="F271" s="4">
        <f t="shared" si="61"/>
        <v>64.285714285714292</v>
      </c>
      <c r="G271" s="5">
        <f t="shared" si="62"/>
        <v>0.12500000000000019</v>
      </c>
      <c r="H271" s="4">
        <f>4*(('01_WHOQOL_Items'!H271 + '01_WHOQOL_Items'!I271 + '01_WHOQOL_Items'!J271 + '01_WHOQOL_Items'!N271 + '01_WHOQOL_Items'!V271 + (6-'01_WHOQOL_Items'!AC271))/6)</f>
        <v>12</v>
      </c>
      <c r="I271" s="4">
        <f>4*(('01_WHOQOL_Items'!AH271 + '01_WHOQOL_Items'!AI271 + '01_WHOQOL_Items'!AJ271 + '01_WHOQOL_Items'!AN271 + '01_WHOQOL_Items'!AV271 + (6-'01_WHOQOL_Items'!BC271))/6)</f>
        <v>14.666666666666666</v>
      </c>
      <c r="J271" s="4">
        <f t="shared" si="63"/>
        <v>50</v>
      </c>
      <c r="K271" s="4">
        <f t="shared" si="64"/>
        <v>66.666666666666657</v>
      </c>
      <c r="L271" s="5">
        <f t="shared" si="65"/>
        <v>0.33333333333333315</v>
      </c>
      <c r="M271" s="4">
        <f>4*(('01_WHOQOL_Items'!W271 + '01_WHOQOL_Items'!X271 + '01_WHOQOL_Items'!Y271)/3)</f>
        <v>13.333333333333334</v>
      </c>
      <c r="N271" s="4">
        <f>4*(('01_WHOQOL_Items'!AW271 + '01_WHOQOL_Items'!AX271 + '01_WHOQOL_Items'!AY271)/3)</f>
        <v>18.666666666666668</v>
      </c>
      <c r="O271" s="4">
        <f t="shared" si="66"/>
        <v>58.333333333333336</v>
      </c>
      <c r="P271" s="4">
        <f t="shared" si="67"/>
        <v>91.666666666666671</v>
      </c>
      <c r="Q271" s="5">
        <f t="shared" si="68"/>
        <v>0.5714285714285714</v>
      </c>
      <c r="R271" s="4">
        <f>4*(('01_WHOQOL_Items'!K271 + '01_WHOQOL_Items'!L271 + '01_WHOQOL_Items'!O271 + '01_WHOQOL_Items'!P271 + '01_WHOQOL_Items'!Q271 + '01_WHOQOL_Items'!Z271 + '01_WHOQOL_Items'!AA271 + '01_WHOQOL_Items'!AB271)/8)</f>
        <v>11</v>
      </c>
      <c r="S271" s="4">
        <f>4*(('01_WHOQOL_Items'!AK271 + '01_WHOQOL_Items'!AL271 + '01_WHOQOL_Items'!AO271 + '01_WHOQOL_Items'!AP271 + '01_WHOQOL_Items'!AQ271 + '01_WHOQOL_Items'!AZ271 + '01_WHOQOL_Items'!BA271 + '01_WHOQOL_Items'!BB271)/8)</f>
        <v>13</v>
      </c>
      <c r="T271" s="4">
        <f t="shared" si="69"/>
        <v>43.75</v>
      </c>
      <c r="U271" s="4">
        <f t="shared" si="70"/>
        <v>56.25</v>
      </c>
      <c r="V271" s="5">
        <f t="shared" si="71"/>
        <v>0.2857142857142857</v>
      </c>
      <c r="W271" s="4">
        <f t="shared" si="72"/>
        <v>52.30654761904762</v>
      </c>
      <c r="X271" s="4">
        <f t="shared" si="73"/>
        <v>69.717261904761912</v>
      </c>
      <c r="Y271" s="5">
        <f t="shared" si="74"/>
        <v>0.33285917496443823</v>
      </c>
      <c r="Z271" s="1">
        <f>'01_WHOQOL_Items'!D271</f>
        <v>3</v>
      </c>
      <c r="AA271" s="1">
        <f>'01_WHOQOL_Items'!AD271</f>
        <v>4</v>
      </c>
      <c r="AB271" s="1">
        <f>'01_WHOQOL_Items'!E271</f>
        <v>4</v>
      </c>
      <c r="AC271" s="1">
        <f>'01_WHOQOL_Items'!AE271</f>
        <v>3</v>
      </c>
    </row>
    <row r="272" spans="1:29">
      <c r="A272" s="1" t="str">
        <f>'01_WHOQOL_Items'!A272</f>
        <v>EXP-271</v>
      </c>
      <c r="B272" s="1" t="str">
        <f>'01_WHOQOL_Items'!B272</f>
        <v>Experimental</v>
      </c>
      <c r="C272" s="4">
        <f>4*(((6-'01_WHOQOL_Items'!F272) + (6-'01_WHOQOL_Items'!G272) + '01_WHOQOL_Items'!M272 + '01_WHOQOL_Items'!R272 + '01_WHOQOL_Items'!S272 + '01_WHOQOL_Items'!T272 + '01_WHOQOL_Items'!U272)/7)</f>
        <v>12</v>
      </c>
      <c r="D272" s="4">
        <f>4*(((6-'01_WHOQOL_Items'!AF272) + (6-'01_WHOQOL_Items'!AG272) + '01_WHOQOL_Items'!AM272 + '01_WHOQOL_Items'!AR272 + '01_WHOQOL_Items'!AS272 + '01_WHOQOL_Items'!AT272 + '01_WHOQOL_Items'!AU272)/7)</f>
        <v>14.857142857142858</v>
      </c>
      <c r="E272" s="4">
        <f t="shared" si="60"/>
        <v>50</v>
      </c>
      <c r="F272" s="4">
        <f t="shared" si="61"/>
        <v>67.857142857142861</v>
      </c>
      <c r="G272" s="5">
        <f t="shared" si="62"/>
        <v>0.35714285714285721</v>
      </c>
      <c r="H272" s="4">
        <f>4*(('01_WHOQOL_Items'!H272 + '01_WHOQOL_Items'!I272 + '01_WHOQOL_Items'!J272 + '01_WHOQOL_Items'!N272 + '01_WHOQOL_Items'!V272 + (6-'01_WHOQOL_Items'!AC272))/6)</f>
        <v>13.333333333333334</v>
      </c>
      <c r="I272" s="4">
        <f>4*(('01_WHOQOL_Items'!AH272 + '01_WHOQOL_Items'!AI272 + '01_WHOQOL_Items'!AJ272 + '01_WHOQOL_Items'!AN272 + '01_WHOQOL_Items'!AV272 + (6-'01_WHOQOL_Items'!BC272))/6)</f>
        <v>14.666666666666666</v>
      </c>
      <c r="J272" s="4">
        <f t="shared" si="63"/>
        <v>58.333333333333336</v>
      </c>
      <c r="K272" s="4">
        <f t="shared" si="64"/>
        <v>66.666666666666657</v>
      </c>
      <c r="L272" s="5">
        <f t="shared" si="65"/>
        <v>0.14285714285714265</v>
      </c>
      <c r="M272" s="4">
        <f>4*(('01_WHOQOL_Items'!W272 + '01_WHOQOL_Items'!X272 + '01_WHOQOL_Items'!Y272)/3)</f>
        <v>13.333333333333334</v>
      </c>
      <c r="N272" s="4">
        <f>4*(('01_WHOQOL_Items'!AW272 + '01_WHOQOL_Items'!AX272 + '01_WHOQOL_Items'!AY272)/3)</f>
        <v>16</v>
      </c>
      <c r="O272" s="4">
        <f t="shared" si="66"/>
        <v>58.333333333333336</v>
      </c>
      <c r="P272" s="4">
        <f t="shared" si="67"/>
        <v>75</v>
      </c>
      <c r="Q272" s="5">
        <f t="shared" si="68"/>
        <v>0.28571428571428564</v>
      </c>
      <c r="R272" s="4">
        <f>4*(('01_WHOQOL_Items'!K272 + '01_WHOQOL_Items'!L272 + '01_WHOQOL_Items'!O272 + '01_WHOQOL_Items'!P272 + '01_WHOQOL_Items'!Q272 + '01_WHOQOL_Items'!Z272 + '01_WHOQOL_Items'!AA272 + '01_WHOQOL_Items'!AB272)/8)</f>
        <v>9.5</v>
      </c>
      <c r="S272" s="4">
        <f>4*(('01_WHOQOL_Items'!AK272 + '01_WHOQOL_Items'!AL272 + '01_WHOQOL_Items'!AO272 + '01_WHOQOL_Items'!AP272 + '01_WHOQOL_Items'!AQ272 + '01_WHOQOL_Items'!AZ272 + '01_WHOQOL_Items'!BA272 + '01_WHOQOL_Items'!BB272)/8)</f>
        <v>11</v>
      </c>
      <c r="T272" s="4">
        <f t="shared" si="69"/>
        <v>34.375</v>
      </c>
      <c r="U272" s="4">
        <f t="shared" si="70"/>
        <v>43.75</v>
      </c>
      <c r="V272" s="5">
        <f t="shared" si="71"/>
        <v>0.27272727272727271</v>
      </c>
      <c r="W272" s="4">
        <f t="shared" si="72"/>
        <v>50.260416666666671</v>
      </c>
      <c r="X272" s="4">
        <f t="shared" si="73"/>
        <v>63.31845238095238</v>
      </c>
      <c r="Y272" s="5">
        <f t="shared" si="74"/>
        <v>0.25980754996299021</v>
      </c>
      <c r="Z272" s="1">
        <f>'01_WHOQOL_Items'!D272</f>
        <v>3</v>
      </c>
      <c r="AA272" s="1">
        <f>'01_WHOQOL_Items'!AD272</f>
        <v>4</v>
      </c>
      <c r="AB272" s="1">
        <f>'01_WHOQOL_Items'!E272</f>
        <v>3</v>
      </c>
      <c r="AC272" s="1">
        <f>'01_WHOQOL_Items'!AE272</f>
        <v>3</v>
      </c>
    </row>
    <row r="273" spans="1:29">
      <c r="A273" s="1" t="str">
        <f>'01_WHOQOL_Items'!A273</f>
        <v>EXP-272</v>
      </c>
      <c r="B273" s="1" t="str">
        <f>'01_WHOQOL_Items'!B273</f>
        <v>Experimental</v>
      </c>
      <c r="C273" s="4">
        <f>4*(((6-'01_WHOQOL_Items'!F273) + (6-'01_WHOQOL_Items'!G273) + '01_WHOQOL_Items'!M273 + '01_WHOQOL_Items'!R273 + '01_WHOQOL_Items'!S273 + '01_WHOQOL_Items'!T273 + '01_WHOQOL_Items'!U273)/7)</f>
        <v>12</v>
      </c>
      <c r="D273" s="4">
        <f>4*(((6-'01_WHOQOL_Items'!AF273) + (6-'01_WHOQOL_Items'!AG273) + '01_WHOQOL_Items'!AM273 + '01_WHOQOL_Items'!AR273 + '01_WHOQOL_Items'!AS273 + '01_WHOQOL_Items'!AT273 + '01_WHOQOL_Items'!AU273)/7)</f>
        <v>13.714285714285714</v>
      </c>
      <c r="E273" s="4">
        <f t="shared" si="60"/>
        <v>50</v>
      </c>
      <c r="F273" s="4">
        <f t="shared" si="61"/>
        <v>60.714285714285708</v>
      </c>
      <c r="G273" s="5">
        <f t="shared" si="62"/>
        <v>0.21428571428571416</v>
      </c>
      <c r="H273" s="4">
        <f>4*(('01_WHOQOL_Items'!H273 + '01_WHOQOL_Items'!I273 + '01_WHOQOL_Items'!J273 + '01_WHOQOL_Items'!N273 + '01_WHOQOL_Items'!V273 + (6-'01_WHOQOL_Items'!AC273))/6)</f>
        <v>12</v>
      </c>
      <c r="I273" s="4">
        <f>4*(('01_WHOQOL_Items'!AH273 + '01_WHOQOL_Items'!AI273 + '01_WHOQOL_Items'!AJ273 + '01_WHOQOL_Items'!AN273 + '01_WHOQOL_Items'!AV273 + (6-'01_WHOQOL_Items'!BC273))/6)</f>
        <v>15.333333333333334</v>
      </c>
      <c r="J273" s="4">
        <f t="shared" si="63"/>
        <v>50</v>
      </c>
      <c r="K273" s="4">
        <f t="shared" si="64"/>
        <v>70.833333333333343</v>
      </c>
      <c r="L273" s="5">
        <f t="shared" si="65"/>
        <v>0.41666666666666685</v>
      </c>
      <c r="M273" s="4">
        <f>4*(('01_WHOQOL_Items'!W273 + '01_WHOQOL_Items'!X273 + '01_WHOQOL_Items'!Y273)/3)</f>
        <v>12</v>
      </c>
      <c r="N273" s="4">
        <f>4*(('01_WHOQOL_Items'!AW273 + '01_WHOQOL_Items'!AX273 + '01_WHOQOL_Items'!AY273)/3)</f>
        <v>13.333333333333334</v>
      </c>
      <c r="O273" s="4">
        <f t="shared" si="66"/>
        <v>50</v>
      </c>
      <c r="P273" s="4">
        <f t="shared" si="67"/>
        <v>58.333333333333336</v>
      </c>
      <c r="Q273" s="5">
        <f t="shared" si="68"/>
        <v>0.16666666666666671</v>
      </c>
      <c r="R273" s="4">
        <f>4*(('01_WHOQOL_Items'!K273 + '01_WHOQOL_Items'!L273 + '01_WHOQOL_Items'!O273 + '01_WHOQOL_Items'!P273 + '01_WHOQOL_Items'!Q273 + '01_WHOQOL_Items'!Z273 + '01_WHOQOL_Items'!AA273 + '01_WHOQOL_Items'!AB273)/8)</f>
        <v>13.5</v>
      </c>
      <c r="S273" s="4">
        <f>4*(('01_WHOQOL_Items'!AK273 + '01_WHOQOL_Items'!AL273 + '01_WHOQOL_Items'!AO273 + '01_WHOQOL_Items'!AP273 + '01_WHOQOL_Items'!AQ273 + '01_WHOQOL_Items'!AZ273 + '01_WHOQOL_Items'!BA273 + '01_WHOQOL_Items'!BB273)/8)</f>
        <v>14.5</v>
      </c>
      <c r="T273" s="4">
        <f t="shared" si="69"/>
        <v>59.375</v>
      </c>
      <c r="U273" s="4">
        <f t="shared" si="70"/>
        <v>65.625</v>
      </c>
      <c r="V273" s="5">
        <f t="shared" si="71"/>
        <v>0.10526315789473684</v>
      </c>
      <c r="W273" s="4">
        <f t="shared" si="72"/>
        <v>52.34375</v>
      </c>
      <c r="X273" s="4">
        <f t="shared" si="73"/>
        <v>63.876488095238095</v>
      </c>
      <c r="Y273" s="5">
        <f t="shared" si="74"/>
        <v>0.22032693674484718</v>
      </c>
      <c r="Z273" s="1">
        <f>'01_WHOQOL_Items'!D273</f>
        <v>3</v>
      </c>
      <c r="AA273" s="1">
        <f>'01_WHOQOL_Items'!AD273</f>
        <v>3</v>
      </c>
      <c r="AB273" s="1">
        <f>'01_WHOQOL_Items'!E273</f>
        <v>3</v>
      </c>
      <c r="AC273" s="1">
        <f>'01_WHOQOL_Items'!AE273</f>
        <v>4</v>
      </c>
    </row>
    <row r="274" spans="1:29">
      <c r="A274" s="1" t="str">
        <f>'01_WHOQOL_Items'!A274</f>
        <v>EXP-273</v>
      </c>
      <c r="B274" s="1" t="str">
        <f>'01_WHOQOL_Items'!B274</f>
        <v>Experimental</v>
      </c>
      <c r="C274" s="4">
        <f>4*(((6-'01_WHOQOL_Items'!F274) + (6-'01_WHOQOL_Items'!G274) + '01_WHOQOL_Items'!M274 + '01_WHOQOL_Items'!R274 + '01_WHOQOL_Items'!S274 + '01_WHOQOL_Items'!T274 + '01_WHOQOL_Items'!U274)/7)</f>
        <v>13.714285714285714</v>
      </c>
      <c r="D274" s="4">
        <f>4*(((6-'01_WHOQOL_Items'!AF274) + (6-'01_WHOQOL_Items'!AG274) + '01_WHOQOL_Items'!AM274 + '01_WHOQOL_Items'!AR274 + '01_WHOQOL_Items'!AS274 + '01_WHOQOL_Items'!AT274 + '01_WHOQOL_Items'!AU274)/7)</f>
        <v>14.285714285714286</v>
      </c>
      <c r="E274" s="4">
        <f t="shared" si="60"/>
        <v>60.714285714285708</v>
      </c>
      <c r="F274" s="4">
        <f t="shared" si="61"/>
        <v>64.285714285714292</v>
      </c>
      <c r="G274" s="5">
        <f t="shared" si="62"/>
        <v>5.8823529411764913E-2</v>
      </c>
      <c r="H274" s="4">
        <f>4*(('01_WHOQOL_Items'!H274 + '01_WHOQOL_Items'!I274 + '01_WHOQOL_Items'!J274 + '01_WHOQOL_Items'!N274 + '01_WHOQOL_Items'!V274 + (6-'01_WHOQOL_Items'!AC274))/6)</f>
        <v>16</v>
      </c>
      <c r="I274" s="4">
        <f>4*(('01_WHOQOL_Items'!AH274 + '01_WHOQOL_Items'!AI274 + '01_WHOQOL_Items'!AJ274 + '01_WHOQOL_Items'!AN274 + '01_WHOQOL_Items'!AV274 + (6-'01_WHOQOL_Items'!BC274))/6)</f>
        <v>14.666666666666666</v>
      </c>
      <c r="J274" s="4">
        <f t="shared" si="63"/>
        <v>75</v>
      </c>
      <c r="K274" s="4">
        <f t="shared" si="64"/>
        <v>66.666666666666657</v>
      </c>
      <c r="L274" s="5">
        <f t="shared" si="65"/>
        <v>-0.11111111111111124</v>
      </c>
      <c r="M274" s="4">
        <f>4*(('01_WHOQOL_Items'!W274 + '01_WHOQOL_Items'!X274 + '01_WHOQOL_Items'!Y274)/3)</f>
        <v>12</v>
      </c>
      <c r="N274" s="4">
        <f>4*(('01_WHOQOL_Items'!AW274 + '01_WHOQOL_Items'!AX274 + '01_WHOQOL_Items'!AY274)/3)</f>
        <v>13.333333333333334</v>
      </c>
      <c r="O274" s="4">
        <f t="shared" si="66"/>
        <v>50</v>
      </c>
      <c r="P274" s="4">
        <f t="shared" si="67"/>
        <v>58.333333333333336</v>
      </c>
      <c r="Q274" s="5">
        <f t="shared" si="68"/>
        <v>0.16666666666666671</v>
      </c>
      <c r="R274" s="4">
        <f>4*(('01_WHOQOL_Items'!K274 + '01_WHOQOL_Items'!L274 + '01_WHOQOL_Items'!O274 + '01_WHOQOL_Items'!P274 + '01_WHOQOL_Items'!Q274 + '01_WHOQOL_Items'!Z274 + '01_WHOQOL_Items'!AA274 + '01_WHOQOL_Items'!AB274)/8)</f>
        <v>14</v>
      </c>
      <c r="S274" s="4">
        <f>4*(('01_WHOQOL_Items'!AK274 + '01_WHOQOL_Items'!AL274 + '01_WHOQOL_Items'!AO274 + '01_WHOQOL_Items'!AP274 + '01_WHOQOL_Items'!AQ274 + '01_WHOQOL_Items'!AZ274 + '01_WHOQOL_Items'!BA274 + '01_WHOQOL_Items'!BB274)/8)</f>
        <v>16</v>
      </c>
      <c r="T274" s="4">
        <f t="shared" si="69"/>
        <v>62.5</v>
      </c>
      <c r="U274" s="4">
        <f t="shared" si="70"/>
        <v>75</v>
      </c>
      <c r="V274" s="5">
        <f t="shared" si="71"/>
        <v>0.2</v>
      </c>
      <c r="W274" s="4">
        <f t="shared" si="72"/>
        <v>62.053571428571431</v>
      </c>
      <c r="X274" s="4">
        <f t="shared" si="73"/>
        <v>66.071428571428584</v>
      </c>
      <c r="Y274" s="5">
        <f t="shared" si="74"/>
        <v>6.4748201438849087E-2</v>
      </c>
      <c r="Z274" s="1">
        <f>'01_WHOQOL_Items'!D274</f>
        <v>4</v>
      </c>
      <c r="AA274" s="1">
        <f>'01_WHOQOL_Items'!AD274</f>
        <v>4</v>
      </c>
      <c r="AB274" s="1">
        <f>'01_WHOQOL_Items'!E274</f>
        <v>3</v>
      </c>
      <c r="AC274" s="1">
        <f>'01_WHOQOL_Items'!AE274</f>
        <v>3</v>
      </c>
    </row>
    <row r="275" spans="1:29">
      <c r="A275" s="1" t="str">
        <f>'01_WHOQOL_Items'!A275</f>
        <v>EXP-274</v>
      </c>
      <c r="B275" s="1" t="str">
        <f>'01_WHOQOL_Items'!B275</f>
        <v>Experimental</v>
      </c>
      <c r="C275" s="4">
        <f>4*(((6-'01_WHOQOL_Items'!F275) + (6-'01_WHOQOL_Items'!G275) + '01_WHOQOL_Items'!M275 + '01_WHOQOL_Items'!R275 + '01_WHOQOL_Items'!S275 + '01_WHOQOL_Items'!T275 + '01_WHOQOL_Items'!U275)/7)</f>
        <v>12.571428571428571</v>
      </c>
      <c r="D275" s="4">
        <f>4*(((6-'01_WHOQOL_Items'!AF275) + (6-'01_WHOQOL_Items'!AG275) + '01_WHOQOL_Items'!AM275 + '01_WHOQOL_Items'!AR275 + '01_WHOQOL_Items'!AS275 + '01_WHOQOL_Items'!AT275 + '01_WHOQOL_Items'!AU275)/7)</f>
        <v>15.428571428571429</v>
      </c>
      <c r="E275" s="4">
        <f t="shared" si="60"/>
        <v>53.571428571428569</v>
      </c>
      <c r="F275" s="4">
        <f t="shared" si="61"/>
        <v>71.428571428571431</v>
      </c>
      <c r="G275" s="5">
        <f t="shared" si="62"/>
        <v>0.33333333333333343</v>
      </c>
      <c r="H275" s="4">
        <f>4*(('01_WHOQOL_Items'!H275 + '01_WHOQOL_Items'!I275 + '01_WHOQOL_Items'!J275 + '01_WHOQOL_Items'!N275 + '01_WHOQOL_Items'!V275 + (6-'01_WHOQOL_Items'!AC275))/6)</f>
        <v>13.333333333333334</v>
      </c>
      <c r="I275" s="4">
        <f>4*(('01_WHOQOL_Items'!AH275 + '01_WHOQOL_Items'!AI275 + '01_WHOQOL_Items'!AJ275 + '01_WHOQOL_Items'!AN275 + '01_WHOQOL_Items'!AV275 + (6-'01_WHOQOL_Items'!BC275))/6)</f>
        <v>14</v>
      </c>
      <c r="J275" s="4">
        <f t="shared" si="63"/>
        <v>58.333333333333336</v>
      </c>
      <c r="K275" s="4">
        <f t="shared" si="64"/>
        <v>62.5</v>
      </c>
      <c r="L275" s="5">
        <f t="shared" si="65"/>
        <v>7.1428571428571383E-2</v>
      </c>
      <c r="M275" s="4">
        <f>4*(('01_WHOQOL_Items'!W275 + '01_WHOQOL_Items'!X275 + '01_WHOQOL_Items'!Y275)/3)</f>
        <v>14.666666666666666</v>
      </c>
      <c r="N275" s="4">
        <f>4*(('01_WHOQOL_Items'!AW275 + '01_WHOQOL_Items'!AX275 + '01_WHOQOL_Items'!AY275)/3)</f>
        <v>13.333333333333334</v>
      </c>
      <c r="O275" s="4">
        <f t="shared" si="66"/>
        <v>66.666666666666657</v>
      </c>
      <c r="P275" s="4">
        <f t="shared" si="67"/>
        <v>58.333333333333336</v>
      </c>
      <c r="Q275" s="5">
        <f t="shared" si="68"/>
        <v>-0.12499999999999983</v>
      </c>
      <c r="R275" s="4">
        <f>4*(('01_WHOQOL_Items'!K275 + '01_WHOQOL_Items'!L275 + '01_WHOQOL_Items'!O275 + '01_WHOQOL_Items'!P275 + '01_WHOQOL_Items'!Q275 + '01_WHOQOL_Items'!Z275 + '01_WHOQOL_Items'!AA275 + '01_WHOQOL_Items'!AB275)/8)</f>
        <v>12.5</v>
      </c>
      <c r="S275" s="4">
        <f>4*(('01_WHOQOL_Items'!AK275 + '01_WHOQOL_Items'!AL275 + '01_WHOQOL_Items'!AO275 + '01_WHOQOL_Items'!AP275 + '01_WHOQOL_Items'!AQ275 + '01_WHOQOL_Items'!AZ275 + '01_WHOQOL_Items'!BA275 + '01_WHOQOL_Items'!BB275)/8)</f>
        <v>14.5</v>
      </c>
      <c r="T275" s="4">
        <f t="shared" si="69"/>
        <v>53.125</v>
      </c>
      <c r="U275" s="4">
        <f t="shared" si="70"/>
        <v>65.625</v>
      </c>
      <c r="V275" s="5">
        <f t="shared" si="71"/>
        <v>0.23529411764705882</v>
      </c>
      <c r="W275" s="4">
        <f t="shared" si="72"/>
        <v>57.924107142857139</v>
      </c>
      <c r="X275" s="4">
        <f t="shared" si="73"/>
        <v>64.471726190476204</v>
      </c>
      <c r="Y275" s="5">
        <f t="shared" si="74"/>
        <v>0.11303789338471451</v>
      </c>
      <c r="Z275" s="1">
        <f>'01_WHOQOL_Items'!D275</f>
        <v>3</v>
      </c>
      <c r="AA275" s="1">
        <f>'01_WHOQOL_Items'!AD275</f>
        <v>4</v>
      </c>
      <c r="AB275" s="1">
        <f>'01_WHOQOL_Items'!E275</f>
        <v>3</v>
      </c>
      <c r="AC275" s="1">
        <f>'01_WHOQOL_Items'!AE275</f>
        <v>4</v>
      </c>
    </row>
    <row r="276" spans="1:29">
      <c r="A276" s="1" t="str">
        <f>'01_WHOQOL_Items'!A276</f>
        <v>EXP-275</v>
      </c>
      <c r="B276" s="1" t="str">
        <f>'01_WHOQOL_Items'!B276</f>
        <v>Experimental</v>
      </c>
      <c r="C276" s="4">
        <f>4*(((6-'01_WHOQOL_Items'!F276) + (6-'01_WHOQOL_Items'!G276) + '01_WHOQOL_Items'!M276 + '01_WHOQOL_Items'!R276 + '01_WHOQOL_Items'!S276 + '01_WHOQOL_Items'!T276 + '01_WHOQOL_Items'!U276)/7)</f>
        <v>11.428571428571429</v>
      </c>
      <c r="D276" s="4">
        <f>4*(((6-'01_WHOQOL_Items'!AF276) + (6-'01_WHOQOL_Items'!AG276) + '01_WHOQOL_Items'!AM276 + '01_WHOQOL_Items'!AR276 + '01_WHOQOL_Items'!AS276 + '01_WHOQOL_Items'!AT276 + '01_WHOQOL_Items'!AU276)/7)</f>
        <v>10.857142857142858</v>
      </c>
      <c r="E276" s="4">
        <f t="shared" si="60"/>
        <v>46.428571428571431</v>
      </c>
      <c r="F276" s="4">
        <f t="shared" si="61"/>
        <v>42.857142857142861</v>
      </c>
      <c r="G276" s="5">
        <f t="shared" si="62"/>
        <v>-7.6923076923076872E-2</v>
      </c>
      <c r="H276" s="4">
        <f>4*(('01_WHOQOL_Items'!H276 + '01_WHOQOL_Items'!I276 + '01_WHOQOL_Items'!J276 + '01_WHOQOL_Items'!N276 + '01_WHOQOL_Items'!V276 + (6-'01_WHOQOL_Items'!AC276))/6)</f>
        <v>14.666666666666666</v>
      </c>
      <c r="I276" s="4">
        <f>4*(('01_WHOQOL_Items'!AH276 + '01_WHOQOL_Items'!AI276 + '01_WHOQOL_Items'!AJ276 + '01_WHOQOL_Items'!AN276 + '01_WHOQOL_Items'!AV276 + (6-'01_WHOQOL_Items'!BC276))/6)</f>
        <v>13.333333333333334</v>
      </c>
      <c r="J276" s="4">
        <f t="shared" si="63"/>
        <v>66.666666666666657</v>
      </c>
      <c r="K276" s="4">
        <f t="shared" si="64"/>
        <v>58.333333333333336</v>
      </c>
      <c r="L276" s="5">
        <f t="shared" si="65"/>
        <v>-0.12499999999999983</v>
      </c>
      <c r="M276" s="4">
        <f>4*(('01_WHOQOL_Items'!W276 + '01_WHOQOL_Items'!X276 + '01_WHOQOL_Items'!Y276)/3)</f>
        <v>9.3333333333333339</v>
      </c>
      <c r="N276" s="4">
        <f>4*(('01_WHOQOL_Items'!AW276 + '01_WHOQOL_Items'!AX276 + '01_WHOQOL_Items'!AY276)/3)</f>
        <v>14.666666666666666</v>
      </c>
      <c r="O276" s="4">
        <f t="shared" si="66"/>
        <v>33.333333333333336</v>
      </c>
      <c r="P276" s="4">
        <f t="shared" si="67"/>
        <v>66.666666666666657</v>
      </c>
      <c r="Q276" s="5">
        <f t="shared" si="68"/>
        <v>0.99999999999999956</v>
      </c>
      <c r="R276" s="4">
        <f>4*(('01_WHOQOL_Items'!K276 + '01_WHOQOL_Items'!L276 + '01_WHOQOL_Items'!O276 + '01_WHOQOL_Items'!P276 + '01_WHOQOL_Items'!Q276 + '01_WHOQOL_Items'!Z276 + '01_WHOQOL_Items'!AA276 + '01_WHOQOL_Items'!AB276)/8)</f>
        <v>13</v>
      </c>
      <c r="S276" s="4">
        <f>4*(('01_WHOQOL_Items'!AK276 + '01_WHOQOL_Items'!AL276 + '01_WHOQOL_Items'!AO276 + '01_WHOQOL_Items'!AP276 + '01_WHOQOL_Items'!AQ276 + '01_WHOQOL_Items'!AZ276 + '01_WHOQOL_Items'!BA276 + '01_WHOQOL_Items'!BB276)/8)</f>
        <v>15.5</v>
      </c>
      <c r="T276" s="4">
        <f t="shared" si="69"/>
        <v>56.25</v>
      </c>
      <c r="U276" s="4">
        <f t="shared" si="70"/>
        <v>71.875</v>
      </c>
      <c r="V276" s="5">
        <f t="shared" si="71"/>
        <v>0.27777777777777779</v>
      </c>
      <c r="W276" s="4">
        <f t="shared" si="72"/>
        <v>50.669642857142854</v>
      </c>
      <c r="X276" s="4">
        <f t="shared" si="73"/>
        <v>59.933035714285715</v>
      </c>
      <c r="Y276" s="5">
        <f t="shared" si="74"/>
        <v>0.18281938325991198</v>
      </c>
      <c r="Z276" s="1">
        <f>'01_WHOQOL_Items'!D276</f>
        <v>3</v>
      </c>
      <c r="AA276" s="1">
        <f>'01_WHOQOL_Items'!AD276</f>
        <v>4</v>
      </c>
      <c r="AB276" s="1">
        <f>'01_WHOQOL_Items'!E276</f>
        <v>3</v>
      </c>
      <c r="AC276" s="1">
        <f>'01_WHOQOL_Items'!AE276</f>
        <v>2</v>
      </c>
    </row>
    <row r="277" spans="1:29">
      <c r="A277" s="1" t="str">
        <f>'01_WHOQOL_Items'!A277</f>
        <v>EXP-276</v>
      </c>
      <c r="B277" s="1" t="str">
        <f>'01_WHOQOL_Items'!B277</f>
        <v>Experimental</v>
      </c>
      <c r="C277" s="4">
        <f>4*(((6-'01_WHOQOL_Items'!F277) + (6-'01_WHOQOL_Items'!G277) + '01_WHOQOL_Items'!M277 + '01_WHOQOL_Items'!R277 + '01_WHOQOL_Items'!S277 + '01_WHOQOL_Items'!T277 + '01_WHOQOL_Items'!U277)/7)</f>
        <v>12.571428571428571</v>
      </c>
      <c r="D277" s="4">
        <f>4*(((6-'01_WHOQOL_Items'!AF277) + (6-'01_WHOQOL_Items'!AG277) + '01_WHOQOL_Items'!AM277 + '01_WHOQOL_Items'!AR277 + '01_WHOQOL_Items'!AS277 + '01_WHOQOL_Items'!AT277 + '01_WHOQOL_Items'!AU277)/7)</f>
        <v>10.857142857142858</v>
      </c>
      <c r="E277" s="4">
        <f t="shared" si="60"/>
        <v>53.571428571428569</v>
      </c>
      <c r="F277" s="4">
        <f t="shared" si="61"/>
        <v>42.857142857142861</v>
      </c>
      <c r="G277" s="5">
        <f t="shared" si="62"/>
        <v>-0.1999999999999999</v>
      </c>
      <c r="H277" s="4">
        <f>4*(('01_WHOQOL_Items'!H277 + '01_WHOQOL_Items'!I277 + '01_WHOQOL_Items'!J277 + '01_WHOQOL_Items'!N277 + '01_WHOQOL_Items'!V277 + (6-'01_WHOQOL_Items'!AC277))/6)</f>
        <v>12</v>
      </c>
      <c r="I277" s="4">
        <f>4*(('01_WHOQOL_Items'!AH277 + '01_WHOQOL_Items'!AI277 + '01_WHOQOL_Items'!AJ277 + '01_WHOQOL_Items'!AN277 + '01_WHOQOL_Items'!AV277 + (6-'01_WHOQOL_Items'!BC277))/6)</f>
        <v>15.333333333333334</v>
      </c>
      <c r="J277" s="4">
        <f t="shared" si="63"/>
        <v>50</v>
      </c>
      <c r="K277" s="4">
        <f t="shared" si="64"/>
        <v>70.833333333333343</v>
      </c>
      <c r="L277" s="5">
        <f t="shared" si="65"/>
        <v>0.41666666666666685</v>
      </c>
      <c r="M277" s="4">
        <f>4*(('01_WHOQOL_Items'!W277 + '01_WHOQOL_Items'!X277 + '01_WHOQOL_Items'!Y277)/3)</f>
        <v>13.333333333333334</v>
      </c>
      <c r="N277" s="4">
        <f>4*(('01_WHOQOL_Items'!AW277 + '01_WHOQOL_Items'!AX277 + '01_WHOQOL_Items'!AY277)/3)</f>
        <v>13.333333333333334</v>
      </c>
      <c r="O277" s="4">
        <f t="shared" si="66"/>
        <v>58.333333333333336</v>
      </c>
      <c r="P277" s="4">
        <f t="shared" si="67"/>
        <v>58.333333333333336</v>
      </c>
      <c r="Q277" s="5">
        <f t="shared" si="68"/>
        <v>0</v>
      </c>
      <c r="R277" s="4">
        <f>4*(('01_WHOQOL_Items'!K277 + '01_WHOQOL_Items'!L277 + '01_WHOQOL_Items'!O277 + '01_WHOQOL_Items'!P277 + '01_WHOQOL_Items'!Q277 + '01_WHOQOL_Items'!Z277 + '01_WHOQOL_Items'!AA277 + '01_WHOQOL_Items'!AB277)/8)</f>
        <v>11.5</v>
      </c>
      <c r="S277" s="4">
        <f>4*(('01_WHOQOL_Items'!AK277 + '01_WHOQOL_Items'!AL277 + '01_WHOQOL_Items'!AO277 + '01_WHOQOL_Items'!AP277 + '01_WHOQOL_Items'!AQ277 + '01_WHOQOL_Items'!AZ277 + '01_WHOQOL_Items'!BA277 + '01_WHOQOL_Items'!BB277)/8)</f>
        <v>14.5</v>
      </c>
      <c r="T277" s="4">
        <f t="shared" si="69"/>
        <v>46.875</v>
      </c>
      <c r="U277" s="4">
        <f t="shared" si="70"/>
        <v>65.625</v>
      </c>
      <c r="V277" s="5">
        <f t="shared" si="71"/>
        <v>0.4</v>
      </c>
      <c r="W277" s="4">
        <f t="shared" si="72"/>
        <v>52.194940476190474</v>
      </c>
      <c r="X277" s="4">
        <f t="shared" si="73"/>
        <v>59.412202380952387</v>
      </c>
      <c r="Y277" s="5">
        <f t="shared" si="74"/>
        <v>0.13827512473271575</v>
      </c>
      <c r="Z277" s="1">
        <f>'01_WHOQOL_Items'!D277</f>
        <v>3</v>
      </c>
      <c r="AA277" s="1">
        <f>'01_WHOQOL_Items'!AD277</f>
        <v>4</v>
      </c>
      <c r="AB277" s="1">
        <f>'01_WHOQOL_Items'!E277</f>
        <v>4</v>
      </c>
      <c r="AC277" s="1">
        <f>'01_WHOQOL_Items'!AE277</f>
        <v>2</v>
      </c>
    </row>
    <row r="278" spans="1:29">
      <c r="A278" s="1" t="str">
        <f>'01_WHOQOL_Items'!A278</f>
        <v>EXP-277</v>
      </c>
      <c r="B278" s="1" t="str">
        <f>'01_WHOQOL_Items'!B278</f>
        <v>Experimental</v>
      </c>
      <c r="C278" s="4">
        <f>4*(((6-'01_WHOQOL_Items'!F278) + (6-'01_WHOQOL_Items'!G278) + '01_WHOQOL_Items'!M278 + '01_WHOQOL_Items'!R278 + '01_WHOQOL_Items'!S278 + '01_WHOQOL_Items'!T278 + '01_WHOQOL_Items'!U278)/7)</f>
        <v>12.571428571428571</v>
      </c>
      <c r="D278" s="4">
        <f>4*(((6-'01_WHOQOL_Items'!AF278) + (6-'01_WHOQOL_Items'!AG278) + '01_WHOQOL_Items'!AM278 + '01_WHOQOL_Items'!AR278 + '01_WHOQOL_Items'!AS278 + '01_WHOQOL_Items'!AT278 + '01_WHOQOL_Items'!AU278)/7)</f>
        <v>12.571428571428571</v>
      </c>
      <c r="E278" s="4">
        <f t="shared" si="60"/>
        <v>53.571428571428569</v>
      </c>
      <c r="F278" s="4">
        <f t="shared" si="61"/>
        <v>53.571428571428569</v>
      </c>
      <c r="G278" s="5">
        <f t="shared" si="62"/>
        <v>0</v>
      </c>
      <c r="H278" s="4">
        <f>4*(('01_WHOQOL_Items'!H278 + '01_WHOQOL_Items'!I278 + '01_WHOQOL_Items'!J278 + '01_WHOQOL_Items'!N278 + '01_WHOQOL_Items'!V278 + (6-'01_WHOQOL_Items'!AC278))/6)</f>
        <v>14</v>
      </c>
      <c r="I278" s="4">
        <f>4*(('01_WHOQOL_Items'!AH278 + '01_WHOQOL_Items'!AI278 + '01_WHOQOL_Items'!AJ278 + '01_WHOQOL_Items'!AN278 + '01_WHOQOL_Items'!AV278 + (6-'01_WHOQOL_Items'!BC278))/6)</f>
        <v>18</v>
      </c>
      <c r="J278" s="4">
        <f t="shared" si="63"/>
        <v>62.5</v>
      </c>
      <c r="K278" s="4">
        <f t="shared" si="64"/>
        <v>87.5</v>
      </c>
      <c r="L278" s="5">
        <f t="shared" si="65"/>
        <v>0.4</v>
      </c>
      <c r="M278" s="4">
        <f>4*(('01_WHOQOL_Items'!W278 + '01_WHOQOL_Items'!X278 + '01_WHOQOL_Items'!Y278)/3)</f>
        <v>9.3333333333333339</v>
      </c>
      <c r="N278" s="4">
        <f>4*(('01_WHOQOL_Items'!AW278 + '01_WHOQOL_Items'!AX278 + '01_WHOQOL_Items'!AY278)/3)</f>
        <v>9.3333333333333339</v>
      </c>
      <c r="O278" s="4">
        <f t="shared" si="66"/>
        <v>33.333333333333336</v>
      </c>
      <c r="P278" s="4">
        <f t="shared" si="67"/>
        <v>33.333333333333336</v>
      </c>
      <c r="Q278" s="5">
        <f t="shared" si="68"/>
        <v>0</v>
      </c>
      <c r="R278" s="4">
        <f>4*(('01_WHOQOL_Items'!K278 + '01_WHOQOL_Items'!L278 + '01_WHOQOL_Items'!O278 + '01_WHOQOL_Items'!P278 + '01_WHOQOL_Items'!Q278 + '01_WHOQOL_Items'!Z278 + '01_WHOQOL_Items'!AA278 + '01_WHOQOL_Items'!AB278)/8)</f>
        <v>12</v>
      </c>
      <c r="S278" s="4">
        <f>4*(('01_WHOQOL_Items'!AK278 + '01_WHOQOL_Items'!AL278 + '01_WHOQOL_Items'!AO278 + '01_WHOQOL_Items'!AP278 + '01_WHOQOL_Items'!AQ278 + '01_WHOQOL_Items'!AZ278 + '01_WHOQOL_Items'!BA278 + '01_WHOQOL_Items'!BB278)/8)</f>
        <v>12.5</v>
      </c>
      <c r="T278" s="4">
        <f t="shared" si="69"/>
        <v>50</v>
      </c>
      <c r="U278" s="4">
        <f t="shared" si="70"/>
        <v>53.125</v>
      </c>
      <c r="V278" s="5">
        <f t="shared" si="71"/>
        <v>6.25E-2</v>
      </c>
      <c r="W278" s="4">
        <f t="shared" si="72"/>
        <v>49.851190476190474</v>
      </c>
      <c r="X278" s="4">
        <f t="shared" si="73"/>
        <v>56.882440476190474</v>
      </c>
      <c r="Y278" s="5">
        <f t="shared" si="74"/>
        <v>0.141044776119403</v>
      </c>
      <c r="Z278" s="1">
        <f>'01_WHOQOL_Items'!D278</f>
        <v>3</v>
      </c>
      <c r="AA278" s="1">
        <f>'01_WHOQOL_Items'!AD278</f>
        <v>3</v>
      </c>
      <c r="AB278" s="1">
        <f>'01_WHOQOL_Items'!E278</f>
        <v>3</v>
      </c>
      <c r="AC278" s="1">
        <f>'01_WHOQOL_Items'!AE278</f>
        <v>3</v>
      </c>
    </row>
    <row r="279" spans="1:29">
      <c r="A279" s="1" t="str">
        <f>'01_WHOQOL_Items'!A279</f>
        <v>EXP-278</v>
      </c>
      <c r="B279" s="1" t="str">
        <f>'01_WHOQOL_Items'!B279</f>
        <v>Experimental</v>
      </c>
      <c r="C279" s="4">
        <f>4*(((6-'01_WHOQOL_Items'!F279) + (6-'01_WHOQOL_Items'!G279) + '01_WHOQOL_Items'!M279 + '01_WHOQOL_Items'!R279 + '01_WHOQOL_Items'!S279 + '01_WHOQOL_Items'!T279 + '01_WHOQOL_Items'!U279)/7)</f>
        <v>11.428571428571429</v>
      </c>
      <c r="D279" s="4">
        <f>4*(((6-'01_WHOQOL_Items'!AF279) + (6-'01_WHOQOL_Items'!AG279) + '01_WHOQOL_Items'!AM279 + '01_WHOQOL_Items'!AR279 + '01_WHOQOL_Items'!AS279 + '01_WHOQOL_Items'!AT279 + '01_WHOQOL_Items'!AU279)/7)</f>
        <v>14.857142857142858</v>
      </c>
      <c r="E279" s="4">
        <f t="shared" si="60"/>
        <v>46.428571428571431</v>
      </c>
      <c r="F279" s="4">
        <f t="shared" si="61"/>
        <v>67.857142857142861</v>
      </c>
      <c r="G279" s="5">
        <f t="shared" si="62"/>
        <v>0.46153846153846156</v>
      </c>
      <c r="H279" s="4">
        <f>4*(('01_WHOQOL_Items'!H279 + '01_WHOQOL_Items'!I279 + '01_WHOQOL_Items'!J279 + '01_WHOQOL_Items'!N279 + '01_WHOQOL_Items'!V279 + (6-'01_WHOQOL_Items'!AC279))/6)</f>
        <v>9.3333333333333339</v>
      </c>
      <c r="I279" s="4">
        <f>4*(('01_WHOQOL_Items'!AH279 + '01_WHOQOL_Items'!AI279 + '01_WHOQOL_Items'!AJ279 + '01_WHOQOL_Items'!AN279 + '01_WHOQOL_Items'!AV279 + (6-'01_WHOQOL_Items'!BC279))/6)</f>
        <v>12.666666666666666</v>
      </c>
      <c r="J279" s="4">
        <f t="shared" si="63"/>
        <v>33.333333333333336</v>
      </c>
      <c r="K279" s="4">
        <f t="shared" si="64"/>
        <v>54.166666666666664</v>
      </c>
      <c r="L279" s="5">
        <f t="shared" si="65"/>
        <v>0.62499999999999978</v>
      </c>
      <c r="M279" s="4">
        <f>4*(('01_WHOQOL_Items'!W279 + '01_WHOQOL_Items'!X279 + '01_WHOQOL_Items'!Y279)/3)</f>
        <v>9.3333333333333339</v>
      </c>
      <c r="N279" s="4">
        <f>4*(('01_WHOQOL_Items'!AW279 + '01_WHOQOL_Items'!AX279 + '01_WHOQOL_Items'!AY279)/3)</f>
        <v>8</v>
      </c>
      <c r="O279" s="4">
        <f t="shared" si="66"/>
        <v>33.333333333333336</v>
      </c>
      <c r="P279" s="4">
        <f t="shared" si="67"/>
        <v>25</v>
      </c>
      <c r="Q279" s="5">
        <f t="shared" si="68"/>
        <v>-0.25000000000000006</v>
      </c>
      <c r="R279" s="4">
        <f>4*(('01_WHOQOL_Items'!K279 + '01_WHOQOL_Items'!L279 + '01_WHOQOL_Items'!O279 + '01_WHOQOL_Items'!P279 + '01_WHOQOL_Items'!Q279 + '01_WHOQOL_Items'!Z279 + '01_WHOQOL_Items'!AA279 + '01_WHOQOL_Items'!AB279)/8)</f>
        <v>13</v>
      </c>
      <c r="S279" s="4">
        <f>4*(('01_WHOQOL_Items'!AK279 + '01_WHOQOL_Items'!AL279 + '01_WHOQOL_Items'!AO279 + '01_WHOQOL_Items'!AP279 + '01_WHOQOL_Items'!AQ279 + '01_WHOQOL_Items'!AZ279 + '01_WHOQOL_Items'!BA279 + '01_WHOQOL_Items'!BB279)/8)</f>
        <v>14.5</v>
      </c>
      <c r="T279" s="4">
        <f t="shared" si="69"/>
        <v>56.25</v>
      </c>
      <c r="U279" s="4">
        <f t="shared" si="70"/>
        <v>65.625</v>
      </c>
      <c r="V279" s="5">
        <f t="shared" si="71"/>
        <v>0.16666666666666666</v>
      </c>
      <c r="W279" s="4">
        <f t="shared" si="72"/>
        <v>42.336309523809526</v>
      </c>
      <c r="X279" s="4">
        <f t="shared" si="73"/>
        <v>53.16220238095238</v>
      </c>
      <c r="Y279" s="5">
        <f t="shared" si="74"/>
        <v>0.25571177504393666</v>
      </c>
      <c r="Z279" s="1">
        <f>'01_WHOQOL_Items'!D279</f>
        <v>2</v>
      </c>
      <c r="AA279" s="1">
        <f>'01_WHOQOL_Items'!AD279</f>
        <v>3</v>
      </c>
      <c r="AB279" s="1">
        <f>'01_WHOQOL_Items'!E279</f>
        <v>3</v>
      </c>
      <c r="AC279" s="1">
        <f>'01_WHOQOL_Items'!AE279</f>
        <v>4</v>
      </c>
    </row>
    <row r="280" spans="1:29">
      <c r="A280" s="1" t="str">
        <f>'01_WHOQOL_Items'!A280</f>
        <v>EXP-279</v>
      </c>
      <c r="B280" s="1" t="str">
        <f>'01_WHOQOL_Items'!B280</f>
        <v>Experimental</v>
      </c>
      <c r="C280" s="4">
        <f>4*(((6-'01_WHOQOL_Items'!F280) + (6-'01_WHOQOL_Items'!G280) + '01_WHOQOL_Items'!M280 + '01_WHOQOL_Items'!R280 + '01_WHOQOL_Items'!S280 + '01_WHOQOL_Items'!T280 + '01_WHOQOL_Items'!U280)/7)</f>
        <v>9.7142857142857135</v>
      </c>
      <c r="D280" s="4">
        <f>4*(((6-'01_WHOQOL_Items'!AF280) + (6-'01_WHOQOL_Items'!AG280) + '01_WHOQOL_Items'!AM280 + '01_WHOQOL_Items'!AR280 + '01_WHOQOL_Items'!AS280 + '01_WHOQOL_Items'!AT280 + '01_WHOQOL_Items'!AU280)/7)</f>
        <v>13.142857142857142</v>
      </c>
      <c r="E280" s="4">
        <f t="shared" si="60"/>
        <v>35.714285714285708</v>
      </c>
      <c r="F280" s="4">
        <f t="shared" si="61"/>
        <v>57.142857142857139</v>
      </c>
      <c r="G280" s="5">
        <f t="shared" si="62"/>
        <v>0.6000000000000002</v>
      </c>
      <c r="H280" s="4">
        <f>4*(('01_WHOQOL_Items'!H280 + '01_WHOQOL_Items'!I280 + '01_WHOQOL_Items'!J280 + '01_WHOQOL_Items'!N280 + '01_WHOQOL_Items'!V280 + (6-'01_WHOQOL_Items'!AC280))/6)</f>
        <v>9.3333333333333339</v>
      </c>
      <c r="I280" s="4">
        <f>4*(('01_WHOQOL_Items'!AH280 + '01_WHOQOL_Items'!AI280 + '01_WHOQOL_Items'!AJ280 + '01_WHOQOL_Items'!AN280 + '01_WHOQOL_Items'!AV280 + (6-'01_WHOQOL_Items'!BC280))/6)</f>
        <v>11.333333333333334</v>
      </c>
      <c r="J280" s="4">
        <f t="shared" si="63"/>
        <v>33.333333333333336</v>
      </c>
      <c r="K280" s="4">
        <f t="shared" si="64"/>
        <v>45.833333333333336</v>
      </c>
      <c r="L280" s="5">
        <f t="shared" si="65"/>
        <v>0.375</v>
      </c>
      <c r="M280" s="4">
        <f>4*(('01_WHOQOL_Items'!W280 + '01_WHOQOL_Items'!X280 + '01_WHOQOL_Items'!Y280)/3)</f>
        <v>8</v>
      </c>
      <c r="N280" s="4">
        <f>4*(('01_WHOQOL_Items'!AW280 + '01_WHOQOL_Items'!AX280 + '01_WHOQOL_Items'!AY280)/3)</f>
        <v>14.666666666666666</v>
      </c>
      <c r="O280" s="4">
        <f t="shared" si="66"/>
        <v>25</v>
      </c>
      <c r="P280" s="4">
        <f t="shared" si="67"/>
        <v>66.666666666666657</v>
      </c>
      <c r="Q280" s="5">
        <f t="shared" si="68"/>
        <v>1.6666666666666663</v>
      </c>
      <c r="R280" s="4">
        <f>4*(('01_WHOQOL_Items'!K280 + '01_WHOQOL_Items'!L280 + '01_WHOQOL_Items'!O280 + '01_WHOQOL_Items'!P280 + '01_WHOQOL_Items'!Q280 + '01_WHOQOL_Items'!Z280 + '01_WHOQOL_Items'!AA280 + '01_WHOQOL_Items'!AB280)/8)</f>
        <v>14</v>
      </c>
      <c r="S280" s="4">
        <f>4*(('01_WHOQOL_Items'!AK280 + '01_WHOQOL_Items'!AL280 + '01_WHOQOL_Items'!AO280 + '01_WHOQOL_Items'!AP280 + '01_WHOQOL_Items'!AQ280 + '01_WHOQOL_Items'!AZ280 + '01_WHOQOL_Items'!BA280 + '01_WHOQOL_Items'!BB280)/8)</f>
        <v>15.5</v>
      </c>
      <c r="T280" s="4">
        <f t="shared" si="69"/>
        <v>62.5</v>
      </c>
      <c r="U280" s="4">
        <f t="shared" si="70"/>
        <v>71.875</v>
      </c>
      <c r="V280" s="5">
        <f t="shared" si="71"/>
        <v>0.15</v>
      </c>
      <c r="W280" s="4">
        <f t="shared" si="72"/>
        <v>39.136904761904759</v>
      </c>
      <c r="X280" s="4">
        <f t="shared" si="73"/>
        <v>60.379464285714285</v>
      </c>
      <c r="Y280" s="5">
        <f t="shared" si="74"/>
        <v>0.5427756653992396</v>
      </c>
      <c r="Z280" s="1">
        <f>'01_WHOQOL_Items'!D280</f>
        <v>2</v>
      </c>
      <c r="AA280" s="1">
        <f>'01_WHOQOL_Items'!AD280</f>
        <v>2</v>
      </c>
      <c r="AB280" s="1">
        <f>'01_WHOQOL_Items'!E280</f>
        <v>3</v>
      </c>
      <c r="AC280" s="1">
        <f>'01_WHOQOL_Items'!AE280</f>
        <v>4</v>
      </c>
    </row>
    <row r="281" spans="1:29">
      <c r="A281" s="1" t="str">
        <f>'01_WHOQOL_Items'!A281</f>
        <v>EXP-280</v>
      </c>
      <c r="B281" s="1" t="str">
        <f>'01_WHOQOL_Items'!B281</f>
        <v>Experimental</v>
      </c>
      <c r="C281" s="4">
        <f>4*(((6-'01_WHOQOL_Items'!F281) + (6-'01_WHOQOL_Items'!G281) + '01_WHOQOL_Items'!M281 + '01_WHOQOL_Items'!R281 + '01_WHOQOL_Items'!S281 + '01_WHOQOL_Items'!T281 + '01_WHOQOL_Items'!U281)/7)</f>
        <v>12.571428571428571</v>
      </c>
      <c r="D281" s="4">
        <f>4*(((6-'01_WHOQOL_Items'!AF281) + (6-'01_WHOQOL_Items'!AG281) + '01_WHOQOL_Items'!AM281 + '01_WHOQOL_Items'!AR281 + '01_WHOQOL_Items'!AS281 + '01_WHOQOL_Items'!AT281 + '01_WHOQOL_Items'!AU281)/7)</f>
        <v>13.714285714285714</v>
      </c>
      <c r="E281" s="4">
        <f t="shared" si="60"/>
        <v>53.571428571428569</v>
      </c>
      <c r="F281" s="4">
        <f t="shared" si="61"/>
        <v>60.714285714285708</v>
      </c>
      <c r="G281" s="5">
        <f t="shared" si="62"/>
        <v>0.13333333333333328</v>
      </c>
      <c r="H281" s="4">
        <f>4*(('01_WHOQOL_Items'!H281 + '01_WHOQOL_Items'!I281 + '01_WHOQOL_Items'!J281 + '01_WHOQOL_Items'!N281 + '01_WHOQOL_Items'!V281 + (6-'01_WHOQOL_Items'!AC281))/6)</f>
        <v>14</v>
      </c>
      <c r="I281" s="4">
        <f>4*(('01_WHOQOL_Items'!AH281 + '01_WHOQOL_Items'!AI281 + '01_WHOQOL_Items'!AJ281 + '01_WHOQOL_Items'!AN281 + '01_WHOQOL_Items'!AV281 + (6-'01_WHOQOL_Items'!BC281))/6)</f>
        <v>18.666666666666668</v>
      </c>
      <c r="J281" s="4">
        <f t="shared" si="63"/>
        <v>62.5</v>
      </c>
      <c r="K281" s="4">
        <f t="shared" si="64"/>
        <v>91.666666666666671</v>
      </c>
      <c r="L281" s="5">
        <f t="shared" si="65"/>
        <v>0.46666666666666673</v>
      </c>
      <c r="M281" s="4">
        <f>4*(('01_WHOQOL_Items'!W281 + '01_WHOQOL_Items'!X281 + '01_WHOQOL_Items'!Y281)/3)</f>
        <v>13.333333333333334</v>
      </c>
      <c r="N281" s="4">
        <f>4*(('01_WHOQOL_Items'!AW281 + '01_WHOQOL_Items'!AX281 + '01_WHOQOL_Items'!AY281)/3)</f>
        <v>18.666666666666668</v>
      </c>
      <c r="O281" s="4">
        <f t="shared" si="66"/>
        <v>58.333333333333336</v>
      </c>
      <c r="P281" s="4">
        <f t="shared" si="67"/>
        <v>91.666666666666671</v>
      </c>
      <c r="Q281" s="5">
        <f t="shared" si="68"/>
        <v>0.5714285714285714</v>
      </c>
      <c r="R281" s="4">
        <f>4*(('01_WHOQOL_Items'!K281 + '01_WHOQOL_Items'!L281 + '01_WHOQOL_Items'!O281 + '01_WHOQOL_Items'!P281 + '01_WHOQOL_Items'!Q281 + '01_WHOQOL_Items'!Z281 + '01_WHOQOL_Items'!AA281 + '01_WHOQOL_Items'!AB281)/8)</f>
        <v>10</v>
      </c>
      <c r="S281" s="4">
        <f>4*(('01_WHOQOL_Items'!AK281 + '01_WHOQOL_Items'!AL281 + '01_WHOQOL_Items'!AO281 + '01_WHOQOL_Items'!AP281 + '01_WHOQOL_Items'!AQ281 + '01_WHOQOL_Items'!AZ281 + '01_WHOQOL_Items'!BA281 + '01_WHOQOL_Items'!BB281)/8)</f>
        <v>13.5</v>
      </c>
      <c r="T281" s="4">
        <f t="shared" si="69"/>
        <v>37.5</v>
      </c>
      <c r="U281" s="4">
        <f t="shared" si="70"/>
        <v>59.375</v>
      </c>
      <c r="V281" s="5">
        <f t="shared" si="71"/>
        <v>0.58333333333333337</v>
      </c>
      <c r="W281" s="4">
        <f t="shared" si="72"/>
        <v>52.976190476190474</v>
      </c>
      <c r="X281" s="4">
        <f t="shared" si="73"/>
        <v>75.855654761904759</v>
      </c>
      <c r="Y281" s="5">
        <f t="shared" si="74"/>
        <v>0.4318820224719101</v>
      </c>
      <c r="Z281" s="1">
        <f>'01_WHOQOL_Items'!D281</f>
        <v>3</v>
      </c>
      <c r="AA281" s="1">
        <f>'01_WHOQOL_Items'!AD281</f>
        <v>3</v>
      </c>
      <c r="AB281" s="1">
        <f>'01_WHOQOL_Items'!E281</f>
        <v>3</v>
      </c>
      <c r="AC281" s="1">
        <f>'01_WHOQOL_Items'!AE281</f>
        <v>4</v>
      </c>
    </row>
    <row r="282" spans="1:29">
      <c r="A282" s="1" t="str">
        <f>'01_WHOQOL_Items'!A282</f>
        <v>EXP-281</v>
      </c>
      <c r="B282" s="1" t="str">
        <f>'01_WHOQOL_Items'!B282</f>
        <v>Experimental</v>
      </c>
      <c r="C282" s="4">
        <f>4*(((6-'01_WHOQOL_Items'!F282) + (6-'01_WHOQOL_Items'!G282) + '01_WHOQOL_Items'!M282 + '01_WHOQOL_Items'!R282 + '01_WHOQOL_Items'!S282 + '01_WHOQOL_Items'!T282 + '01_WHOQOL_Items'!U282)/7)</f>
        <v>15.428571428571429</v>
      </c>
      <c r="D282" s="4">
        <f>4*(((6-'01_WHOQOL_Items'!AF282) + (6-'01_WHOQOL_Items'!AG282) + '01_WHOQOL_Items'!AM282 + '01_WHOQOL_Items'!AR282 + '01_WHOQOL_Items'!AS282 + '01_WHOQOL_Items'!AT282 + '01_WHOQOL_Items'!AU282)/7)</f>
        <v>16.571428571428573</v>
      </c>
      <c r="E282" s="4">
        <f t="shared" si="60"/>
        <v>71.428571428571431</v>
      </c>
      <c r="F282" s="4">
        <f t="shared" si="61"/>
        <v>78.571428571428584</v>
      </c>
      <c r="G282" s="5">
        <f t="shared" si="62"/>
        <v>0.10000000000000014</v>
      </c>
      <c r="H282" s="4">
        <f>4*(('01_WHOQOL_Items'!H282 + '01_WHOQOL_Items'!I282 + '01_WHOQOL_Items'!J282 + '01_WHOQOL_Items'!N282 + '01_WHOQOL_Items'!V282 + (6-'01_WHOQOL_Items'!AC282))/6)</f>
        <v>14</v>
      </c>
      <c r="I282" s="4">
        <f>4*(('01_WHOQOL_Items'!AH282 + '01_WHOQOL_Items'!AI282 + '01_WHOQOL_Items'!AJ282 + '01_WHOQOL_Items'!AN282 + '01_WHOQOL_Items'!AV282 + (6-'01_WHOQOL_Items'!BC282))/6)</f>
        <v>14.666666666666666</v>
      </c>
      <c r="J282" s="4">
        <f t="shared" si="63"/>
        <v>62.5</v>
      </c>
      <c r="K282" s="4">
        <f t="shared" si="64"/>
        <v>66.666666666666657</v>
      </c>
      <c r="L282" s="5">
        <f t="shared" si="65"/>
        <v>6.6666666666666513E-2</v>
      </c>
      <c r="M282" s="4">
        <f>4*(('01_WHOQOL_Items'!W282 + '01_WHOQOL_Items'!X282 + '01_WHOQOL_Items'!Y282)/3)</f>
        <v>8</v>
      </c>
      <c r="N282" s="4">
        <f>4*(('01_WHOQOL_Items'!AW282 + '01_WHOQOL_Items'!AX282 + '01_WHOQOL_Items'!AY282)/3)</f>
        <v>12</v>
      </c>
      <c r="O282" s="4">
        <f t="shared" si="66"/>
        <v>25</v>
      </c>
      <c r="P282" s="4">
        <f t="shared" si="67"/>
        <v>50</v>
      </c>
      <c r="Q282" s="5">
        <f t="shared" si="68"/>
        <v>1</v>
      </c>
      <c r="R282" s="4">
        <f>4*(('01_WHOQOL_Items'!K282 + '01_WHOQOL_Items'!L282 + '01_WHOQOL_Items'!O282 + '01_WHOQOL_Items'!P282 + '01_WHOQOL_Items'!Q282 + '01_WHOQOL_Items'!Z282 + '01_WHOQOL_Items'!AA282 + '01_WHOQOL_Items'!AB282)/8)</f>
        <v>9.5</v>
      </c>
      <c r="S282" s="4">
        <f>4*(('01_WHOQOL_Items'!AK282 + '01_WHOQOL_Items'!AL282 + '01_WHOQOL_Items'!AO282 + '01_WHOQOL_Items'!AP282 + '01_WHOQOL_Items'!AQ282 + '01_WHOQOL_Items'!AZ282 + '01_WHOQOL_Items'!BA282 + '01_WHOQOL_Items'!BB282)/8)</f>
        <v>10.5</v>
      </c>
      <c r="T282" s="4">
        <f t="shared" si="69"/>
        <v>34.375</v>
      </c>
      <c r="U282" s="4">
        <f t="shared" si="70"/>
        <v>40.625</v>
      </c>
      <c r="V282" s="5">
        <f t="shared" si="71"/>
        <v>0.18181818181818182</v>
      </c>
      <c r="W282" s="4">
        <f t="shared" si="72"/>
        <v>48.325892857142861</v>
      </c>
      <c r="X282" s="4">
        <f t="shared" si="73"/>
        <v>58.96577380952381</v>
      </c>
      <c r="Y282" s="5">
        <f t="shared" si="74"/>
        <v>0.22016936104695911</v>
      </c>
      <c r="Z282" s="1">
        <f>'01_WHOQOL_Items'!D282</f>
        <v>3</v>
      </c>
      <c r="AA282" s="1">
        <f>'01_WHOQOL_Items'!AD282</f>
        <v>4</v>
      </c>
      <c r="AB282" s="1">
        <f>'01_WHOQOL_Items'!E282</f>
        <v>4</v>
      </c>
      <c r="AC282" s="1">
        <f>'01_WHOQOL_Items'!AE282</f>
        <v>5</v>
      </c>
    </row>
    <row r="283" spans="1:29">
      <c r="A283" s="1" t="str">
        <f>'01_WHOQOL_Items'!A283</f>
        <v>CON-001</v>
      </c>
      <c r="B283" s="1" t="str">
        <f>'01_WHOQOL_Items'!B283</f>
        <v>Control</v>
      </c>
      <c r="C283" s="4">
        <f>4*(((6-'01_WHOQOL_Items'!F283) + (6-'01_WHOQOL_Items'!G283) + '01_WHOQOL_Items'!M283 + '01_WHOQOL_Items'!R283 + '01_WHOQOL_Items'!S283 + '01_WHOQOL_Items'!T283 + '01_WHOQOL_Items'!U283)/7)</f>
        <v>13.142857142857142</v>
      </c>
      <c r="D283" s="4">
        <f>4*(((6-'01_WHOQOL_Items'!AF283) + (6-'01_WHOQOL_Items'!AG283) + '01_WHOQOL_Items'!AM283 + '01_WHOQOL_Items'!AR283 + '01_WHOQOL_Items'!AS283 + '01_WHOQOL_Items'!AT283 + '01_WHOQOL_Items'!AU283)/7)</f>
        <v>11.428571428571429</v>
      </c>
      <c r="E283" s="4">
        <f t="shared" si="60"/>
        <v>57.142857142857139</v>
      </c>
      <c r="F283" s="4">
        <f t="shared" si="61"/>
        <v>46.428571428571431</v>
      </c>
      <c r="G283" s="5">
        <f t="shared" si="62"/>
        <v>-0.18749999999999992</v>
      </c>
      <c r="H283" s="4">
        <f>4*(('01_WHOQOL_Items'!H283 + '01_WHOQOL_Items'!I283 + '01_WHOQOL_Items'!J283 + '01_WHOQOL_Items'!N283 + '01_WHOQOL_Items'!V283 + (6-'01_WHOQOL_Items'!AC283))/6)</f>
        <v>9.3333333333333339</v>
      </c>
      <c r="I283" s="4">
        <f>4*(('01_WHOQOL_Items'!AH283 + '01_WHOQOL_Items'!AI283 + '01_WHOQOL_Items'!AJ283 + '01_WHOQOL_Items'!AN283 + '01_WHOQOL_Items'!AV283 + (6-'01_WHOQOL_Items'!BC283))/6)</f>
        <v>9.3333333333333339</v>
      </c>
      <c r="J283" s="4">
        <f t="shared" si="63"/>
        <v>33.333333333333336</v>
      </c>
      <c r="K283" s="4">
        <f t="shared" si="64"/>
        <v>33.333333333333336</v>
      </c>
      <c r="L283" s="5">
        <f t="shared" si="65"/>
        <v>0</v>
      </c>
      <c r="M283" s="4">
        <f>4*(('01_WHOQOL_Items'!W283 + '01_WHOQOL_Items'!X283 + '01_WHOQOL_Items'!Y283)/3)</f>
        <v>12</v>
      </c>
      <c r="N283" s="4">
        <f>4*(('01_WHOQOL_Items'!AW283 + '01_WHOQOL_Items'!AX283 + '01_WHOQOL_Items'!AY283)/3)</f>
        <v>10.666666666666666</v>
      </c>
      <c r="O283" s="4">
        <f t="shared" si="66"/>
        <v>50</v>
      </c>
      <c r="P283" s="4">
        <f t="shared" si="67"/>
        <v>41.666666666666664</v>
      </c>
      <c r="Q283" s="5">
        <f t="shared" si="68"/>
        <v>-0.16666666666666671</v>
      </c>
      <c r="R283" s="4">
        <f>4*(('01_WHOQOL_Items'!K283 + '01_WHOQOL_Items'!L283 + '01_WHOQOL_Items'!O283 + '01_WHOQOL_Items'!P283 + '01_WHOQOL_Items'!Q283 + '01_WHOQOL_Items'!Z283 + '01_WHOQOL_Items'!AA283 + '01_WHOQOL_Items'!AB283)/8)</f>
        <v>12</v>
      </c>
      <c r="S283" s="4">
        <f>4*(('01_WHOQOL_Items'!AK283 + '01_WHOQOL_Items'!AL283 + '01_WHOQOL_Items'!AO283 + '01_WHOQOL_Items'!AP283 + '01_WHOQOL_Items'!AQ283 + '01_WHOQOL_Items'!AZ283 + '01_WHOQOL_Items'!BA283 + '01_WHOQOL_Items'!BB283)/8)</f>
        <v>14</v>
      </c>
      <c r="T283" s="4">
        <f t="shared" si="69"/>
        <v>50</v>
      </c>
      <c r="U283" s="4">
        <f t="shared" si="70"/>
        <v>62.5</v>
      </c>
      <c r="V283" s="5">
        <f t="shared" si="71"/>
        <v>0.25</v>
      </c>
      <c r="W283" s="4">
        <f t="shared" si="72"/>
        <v>47.61904761904762</v>
      </c>
      <c r="X283" s="4">
        <f t="shared" si="73"/>
        <v>45.982142857142854</v>
      </c>
      <c r="Y283" s="5">
        <f t="shared" si="74"/>
        <v>-3.4375000000000093E-2</v>
      </c>
      <c r="Z283" s="1">
        <f>'01_WHOQOL_Items'!D283</f>
        <v>3</v>
      </c>
      <c r="AA283" s="1">
        <f>'01_WHOQOL_Items'!AD283</f>
        <v>3</v>
      </c>
      <c r="AB283" s="1">
        <f>'01_WHOQOL_Items'!E283</f>
        <v>3</v>
      </c>
      <c r="AC283" s="1">
        <f>'01_WHOQOL_Items'!AE283</f>
        <v>2</v>
      </c>
    </row>
    <row r="284" spans="1:29">
      <c r="A284" s="1" t="str">
        <f>'01_WHOQOL_Items'!A284</f>
        <v>CON-002</v>
      </c>
      <c r="B284" s="1" t="str">
        <f>'01_WHOQOL_Items'!B284</f>
        <v>Control</v>
      </c>
      <c r="C284" s="4">
        <f>4*(((6-'01_WHOQOL_Items'!F284) + (6-'01_WHOQOL_Items'!G284) + '01_WHOQOL_Items'!M284 + '01_WHOQOL_Items'!R284 + '01_WHOQOL_Items'!S284 + '01_WHOQOL_Items'!T284 + '01_WHOQOL_Items'!U284)/7)</f>
        <v>13.142857142857142</v>
      </c>
      <c r="D284" s="4">
        <f>4*(((6-'01_WHOQOL_Items'!AF284) + (6-'01_WHOQOL_Items'!AG284) + '01_WHOQOL_Items'!AM284 + '01_WHOQOL_Items'!AR284 + '01_WHOQOL_Items'!AS284 + '01_WHOQOL_Items'!AT284 + '01_WHOQOL_Items'!AU284)/7)</f>
        <v>13.714285714285714</v>
      </c>
      <c r="E284" s="4">
        <f t="shared" si="60"/>
        <v>57.142857142857139</v>
      </c>
      <c r="F284" s="4">
        <f t="shared" si="61"/>
        <v>60.714285714285708</v>
      </c>
      <c r="G284" s="5">
        <f t="shared" si="62"/>
        <v>6.2499999999999972E-2</v>
      </c>
      <c r="H284" s="4">
        <f>4*(('01_WHOQOL_Items'!H284 + '01_WHOQOL_Items'!I284 + '01_WHOQOL_Items'!J284 + '01_WHOQOL_Items'!N284 + '01_WHOQOL_Items'!V284 + (6-'01_WHOQOL_Items'!AC284))/6)</f>
        <v>13.333333333333334</v>
      </c>
      <c r="I284" s="4">
        <f>4*(('01_WHOQOL_Items'!AH284 + '01_WHOQOL_Items'!AI284 + '01_WHOQOL_Items'!AJ284 + '01_WHOQOL_Items'!AN284 + '01_WHOQOL_Items'!AV284 + (6-'01_WHOQOL_Items'!BC284))/6)</f>
        <v>14</v>
      </c>
      <c r="J284" s="4">
        <f t="shared" si="63"/>
        <v>58.333333333333336</v>
      </c>
      <c r="K284" s="4">
        <f t="shared" si="64"/>
        <v>62.5</v>
      </c>
      <c r="L284" s="5">
        <f t="shared" si="65"/>
        <v>7.1428571428571383E-2</v>
      </c>
      <c r="M284" s="4">
        <f>4*(('01_WHOQOL_Items'!W284 + '01_WHOQOL_Items'!X284 + '01_WHOQOL_Items'!Y284)/3)</f>
        <v>14.666666666666666</v>
      </c>
      <c r="N284" s="4">
        <f>4*(('01_WHOQOL_Items'!AW284 + '01_WHOQOL_Items'!AX284 + '01_WHOQOL_Items'!AY284)/3)</f>
        <v>14.666666666666666</v>
      </c>
      <c r="O284" s="4">
        <f t="shared" si="66"/>
        <v>66.666666666666657</v>
      </c>
      <c r="P284" s="4">
        <f t="shared" si="67"/>
        <v>66.666666666666657</v>
      </c>
      <c r="Q284" s="5">
        <f t="shared" si="68"/>
        <v>0</v>
      </c>
      <c r="R284" s="4">
        <f>4*(('01_WHOQOL_Items'!K284 + '01_WHOQOL_Items'!L284 + '01_WHOQOL_Items'!O284 + '01_WHOQOL_Items'!P284 + '01_WHOQOL_Items'!Q284 + '01_WHOQOL_Items'!Z284 + '01_WHOQOL_Items'!AA284 + '01_WHOQOL_Items'!AB284)/8)</f>
        <v>10.5</v>
      </c>
      <c r="S284" s="4">
        <f>4*(('01_WHOQOL_Items'!AK284 + '01_WHOQOL_Items'!AL284 + '01_WHOQOL_Items'!AO284 + '01_WHOQOL_Items'!AP284 + '01_WHOQOL_Items'!AQ284 + '01_WHOQOL_Items'!AZ284 + '01_WHOQOL_Items'!BA284 + '01_WHOQOL_Items'!BB284)/8)</f>
        <v>11.5</v>
      </c>
      <c r="T284" s="4">
        <f t="shared" si="69"/>
        <v>40.625</v>
      </c>
      <c r="U284" s="4">
        <f t="shared" si="70"/>
        <v>46.875</v>
      </c>
      <c r="V284" s="5">
        <f t="shared" si="71"/>
        <v>0.15384615384615385</v>
      </c>
      <c r="W284" s="4">
        <f t="shared" si="72"/>
        <v>55.691964285714285</v>
      </c>
      <c r="X284" s="4">
        <f t="shared" si="73"/>
        <v>59.188988095238088</v>
      </c>
      <c r="Y284" s="5">
        <f t="shared" si="74"/>
        <v>6.2792251169004568E-2</v>
      </c>
      <c r="Z284" s="1">
        <f>'01_WHOQOL_Items'!D284</f>
        <v>4</v>
      </c>
      <c r="AA284" s="1">
        <f>'01_WHOQOL_Items'!AD284</f>
        <v>3</v>
      </c>
      <c r="AB284" s="1">
        <f>'01_WHOQOL_Items'!E284</f>
        <v>4</v>
      </c>
      <c r="AC284" s="1">
        <f>'01_WHOQOL_Items'!AE284</f>
        <v>3</v>
      </c>
    </row>
    <row r="285" spans="1:29">
      <c r="A285" s="1" t="str">
        <f>'01_WHOQOL_Items'!A285</f>
        <v>CON-003</v>
      </c>
      <c r="B285" s="1" t="str">
        <f>'01_WHOQOL_Items'!B285</f>
        <v>Control</v>
      </c>
      <c r="C285" s="4">
        <f>4*(((6-'01_WHOQOL_Items'!F285) + (6-'01_WHOQOL_Items'!G285) + '01_WHOQOL_Items'!M285 + '01_WHOQOL_Items'!R285 + '01_WHOQOL_Items'!S285 + '01_WHOQOL_Items'!T285 + '01_WHOQOL_Items'!U285)/7)</f>
        <v>7.4285714285714288</v>
      </c>
      <c r="D285" s="4">
        <f>4*(((6-'01_WHOQOL_Items'!AF285) + (6-'01_WHOQOL_Items'!AG285) + '01_WHOQOL_Items'!AM285 + '01_WHOQOL_Items'!AR285 + '01_WHOQOL_Items'!AS285 + '01_WHOQOL_Items'!AT285 + '01_WHOQOL_Items'!AU285)/7)</f>
        <v>6.8571428571428568</v>
      </c>
      <c r="E285" s="4">
        <f t="shared" si="60"/>
        <v>21.428571428571431</v>
      </c>
      <c r="F285" s="4">
        <f t="shared" si="61"/>
        <v>17.857142857142854</v>
      </c>
      <c r="G285" s="5">
        <f t="shared" si="62"/>
        <v>-0.16666666666666688</v>
      </c>
      <c r="H285" s="4">
        <f>4*(('01_WHOQOL_Items'!H285 + '01_WHOQOL_Items'!I285 + '01_WHOQOL_Items'!J285 + '01_WHOQOL_Items'!N285 + '01_WHOQOL_Items'!V285 + (6-'01_WHOQOL_Items'!AC285))/6)</f>
        <v>13.333333333333334</v>
      </c>
      <c r="I285" s="4">
        <f>4*(('01_WHOQOL_Items'!AH285 + '01_WHOQOL_Items'!AI285 + '01_WHOQOL_Items'!AJ285 + '01_WHOQOL_Items'!AN285 + '01_WHOQOL_Items'!AV285 + (6-'01_WHOQOL_Items'!BC285))/6)</f>
        <v>12</v>
      </c>
      <c r="J285" s="4">
        <f t="shared" si="63"/>
        <v>58.333333333333336</v>
      </c>
      <c r="K285" s="4">
        <f t="shared" si="64"/>
        <v>50</v>
      </c>
      <c r="L285" s="5">
        <f t="shared" si="65"/>
        <v>-0.1428571428571429</v>
      </c>
      <c r="M285" s="4">
        <f>4*(('01_WHOQOL_Items'!W285 + '01_WHOQOL_Items'!X285 + '01_WHOQOL_Items'!Y285)/3)</f>
        <v>10.666666666666666</v>
      </c>
      <c r="N285" s="4">
        <f>4*(('01_WHOQOL_Items'!AW285 + '01_WHOQOL_Items'!AX285 + '01_WHOQOL_Items'!AY285)/3)</f>
        <v>12</v>
      </c>
      <c r="O285" s="4">
        <f t="shared" si="66"/>
        <v>41.666666666666664</v>
      </c>
      <c r="P285" s="4">
        <f t="shared" si="67"/>
        <v>50</v>
      </c>
      <c r="Q285" s="5">
        <f t="shared" si="68"/>
        <v>0.20000000000000007</v>
      </c>
      <c r="R285" s="4">
        <f>4*(('01_WHOQOL_Items'!K285 + '01_WHOQOL_Items'!L285 + '01_WHOQOL_Items'!O285 + '01_WHOQOL_Items'!P285 + '01_WHOQOL_Items'!Q285 + '01_WHOQOL_Items'!Z285 + '01_WHOQOL_Items'!AA285 + '01_WHOQOL_Items'!AB285)/8)</f>
        <v>12</v>
      </c>
      <c r="S285" s="4">
        <f>4*(('01_WHOQOL_Items'!AK285 + '01_WHOQOL_Items'!AL285 + '01_WHOQOL_Items'!AO285 + '01_WHOQOL_Items'!AP285 + '01_WHOQOL_Items'!AQ285 + '01_WHOQOL_Items'!AZ285 + '01_WHOQOL_Items'!BA285 + '01_WHOQOL_Items'!BB285)/8)</f>
        <v>13.5</v>
      </c>
      <c r="T285" s="4">
        <f t="shared" si="69"/>
        <v>50</v>
      </c>
      <c r="U285" s="4">
        <f t="shared" si="70"/>
        <v>59.375</v>
      </c>
      <c r="V285" s="5">
        <f t="shared" si="71"/>
        <v>0.1875</v>
      </c>
      <c r="W285" s="4">
        <f t="shared" si="72"/>
        <v>42.857142857142854</v>
      </c>
      <c r="X285" s="4">
        <f t="shared" si="73"/>
        <v>44.308035714285715</v>
      </c>
      <c r="Y285" s="5">
        <f t="shared" si="74"/>
        <v>3.3854166666666761E-2</v>
      </c>
      <c r="Z285" s="1">
        <f>'01_WHOQOL_Items'!D285</f>
        <v>2</v>
      </c>
      <c r="AA285" s="1">
        <f>'01_WHOQOL_Items'!AD285</f>
        <v>2</v>
      </c>
      <c r="AB285" s="1">
        <f>'01_WHOQOL_Items'!E285</f>
        <v>2</v>
      </c>
      <c r="AC285" s="1">
        <f>'01_WHOQOL_Items'!AE285</f>
        <v>1</v>
      </c>
    </row>
    <row r="286" spans="1:29">
      <c r="A286" s="1" t="str">
        <f>'01_WHOQOL_Items'!A286</f>
        <v>CON-004</v>
      </c>
      <c r="B286" s="1" t="str">
        <f>'01_WHOQOL_Items'!B286</f>
        <v>Control</v>
      </c>
      <c r="C286" s="4">
        <f>4*(((6-'01_WHOQOL_Items'!F286) + (6-'01_WHOQOL_Items'!G286) + '01_WHOQOL_Items'!M286 + '01_WHOQOL_Items'!R286 + '01_WHOQOL_Items'!S286 + '01_WHOQOL_Items'!T286 + '01_WHOQOL_Items'!U286)/7)</f>
        <v>11.428571428571429</v>
      </c>
      <c r="D286" s="4">
        <f>4*(((6-'01_WHOQOL_Items'!AF286) + (6-'01_WHOQOL_Items'!AG286) + '01_WHOQOL_Items'!AM286 + '01_WHOQOL_Items'!AR286 + '01_WHOQOL_Items'!AS286 + '01_WHOQOL_Items'!AT286 + '01_WHOQOL_Items'!AU286)/7)</f>
        <v>10.857142857142858</v>
      </c>
      <c r="E286" s="4">
        <f t="shared" si="60"/>
        <v>46.428571428571431</v>
      </c>
      <c r="F286" s="4">
        <f t="shared" si="61"/>
        <v>42.857142857142861</v>
      </c>
      <c r="G286" s="5">
        <f t="shared" si="62"/>
        <v>-7.6923076923076872E-2</v>
      </c>
      <c r="H286" s="4">
        <f>4*(('01_WHOQOL_Items'!H286 + '01_WHOQOL_Items'!I286 + '01_WHOQOL_Items'!J286 + '01_WHOQOL_Items'!N286 + '01_WHOQOL_Items'!V286 + (6-'01_WHOQOL_Items'!AC286))/6)</f>
        <v>13.333333333333334</v>
      </c>
      <c r="I286" s="4">
        <f>4*(('01_WHOQOL_Items'!AH286 + '01_WHOQOL_Items'!AI286 + '01_WHOQOL_Items'!AJ286 + '01_WHOQOL_Items'!AN286 + '01_WHOQOL_Items'!AV286 + (6-'01_WHOQOL_Items'!BC286))/6)</f>
        <v>14</v>
      </c>
      <c r="J286" s="4">
        <f t="shared" si="63"/>
        <v>58.333333333333336</v>
      </c>
      <c r="K286" s="4">
        <f t="shared" si="64"/>
        <v>62.5</v>
      </c>
      <c r="L286" s="5">
        <f t="shared" si="65"/>
        <v>7.1428571428571383E-2</v>
      </c>
      <c r="M286" s="4">
        <f>4*(('01_WHOQOL_Items'!W286 + '01_WHOQOL_Items'!X286 + '01_WHOQOL_Items'!Y286)/3)</f>
        <v>13.333333333333334</v>
      </c>
      <c r="N286" s="4">
        <f>4*(('01_WHOQOL_Items'!AW286 + '01_WHOQOL_Items'!AX286 + '01_WHOQOL_Items'!AY286)/3)</f>
        <v>12</v>
      </c>
      <c r="O286" s="4">
        <f t="shared" si="66"/>
        <v>58.333333333333336</v>
      </c>
      <c r="P286" s="4">
        <f t="shared" si="67"/>
        <v>50</v>
      </c>
      <c r="Q286" s="5">
        <f t="shared" si="68"/>
        <v>-0.1428571428571429</v>
      </c>
      <c r="R286" s="4">
        <f>4*(('01_WHOQOL_Items'!K286 + '01_WHOQOL_Items'!L286 + '01_WHOQOL_Items'!O286 + '01_WHOQOL_Items'!P286 + '01_WHOQOL_Items'!Q286 + '01_WHOQOL_Items'!Z286 + '01_WHOQOL_Items'!AA286 + '01_WHOQOL_Items'!AB286)/8)</f>
        <v>9</v>
      </c>
      <c r="S286" s="4">
        <f>4*(('01_WHOQOL_Items'!AK286 + '01_WHOQOL_Items'!AL286 + '01_WHOQOL_Items'!AO286 + '01_WHOQOL_Items'!AP286 + '01_WHOQOL_Items'!AQ286 + '01_WHOQOL_Items'!AZ286 + '01_WHOQOL_Items'!BA286 + '01_WHOQOL_Items'!BB286)/8)</f>
        <v>10</v>
      </c>
      <c r="T286" s="4">
        <f t="shared" si="69"/>
        <v>31.25</v>
      </c>
      <c r="U286" s="4">
        <f t="shared" si="70"/>
        <v>37.5</v>
      </c>
      <c r="V286" s="5">
        <f t="shared" si="71"/>
        <v>0.2</v>
      </c>
      <c r="W286" s="4">
        <f t="shared" si="72"/>
        <v>48.586309523809526</v>
      </c>
      <c r="X286" s="4">
        <f t="shared" si="73"/>
        <v>48.214285714285715</v>
      </c>
      <c r="Y286" s="5">
        <f t="shared" si="74"/>
        <v>-7.6569678407350829E-3</v>
      </c>
      <c r="Z286" s="1">
        <f>'01_WHOQOL_Items'!D286</f>
        <v>2</v>
      </c>
      <c r="AA286" s="1">
        <f>'01_WHOQOL_Items'!AD286</f>
        <v>3</v>
      </c>
      <c r="AB286" s="1">
        <f>'01_WHOQOL_Items'!E286</f>
        <v>3</v>
      </c>
      <c r="AC286" s="1">
        <f>'01_WHOQOL_Items'!AE286</f>
        <v>3</v>
      </c>
    </row>
    <row r="287" spans="1:29">
      <c r="A287" s="1" t="str">
        <f>'01_WHOQOL_Items'!A287</f>
        <v>CON-005</v>
      </c>
      <c r="B287" s="1" t="str">
        <f>'01_WHOQOL_Items'!B287</f>
        <v>Control</v>
      </c>
      <c r="C287" s="4">
        <f>4*(((6-'01_WHOQOL_Items'!F287) + (6-'01_WHOQOL_Items'!G287) + '01_WHOQOL_Items'!M287 + '01_WHOQOL_Items'!R287 + '01_WHOQOL_Items'!S287 + '01_WHOQOL_Items'!T287 + '01_WHOQOL_Items'!U287)/7)</f>
        <v>12.571428571428571</v>
      </c>
      <c r="D287" s="4">
        <f>4*(((6-'01_WHOQOL_Items'!AF287) + (6-'01_WHOQOL_Items'!AG287) + '01_WHOQOL_Items'!AM287 + '01_WHOQOL_Items'!AR287 + '01_WHOQOL_Items'!AS287 + '01_WHOQOL_Items'!AT287 + '01_WHOQOL_Items'!AU287)/7)</f>
        <v>12.571428571428571</v>
      </c>
      <c r="E287" s="4">
        <f t="shared" si="60"/>
        <v>53.571428571428569</v>
      </c>
      <c r="F287" s="4">
        <f t="shared" si="61"/>
        <v>53.571428571428569</v>
      </c>
      <c r="G287" s="5">
        <f t="shared" si="62"/>
        <v>0</v>
      </c>
      <c r="H287" s="4">
        <f>4*(('01_WHOQOL_Items'!H287 + '01_WHOQOL_Items'!I287 + '01_WHOQOL_Items'!J287 + '01_WHOQOL_Items'!N287 + '01_WHOQOL_Items'!V287 + (6-'01_WHOQOL_Items'!AC287))/6)</f>
        <v>15.333333333333334</v>
      </c>
      <c r="I287" s="4">
        <f>4*(('01_WHOQOL_Items'!AH287 + '01_WHOQOL_Items'!AI287 + '01_WHOQOL_Items'!AJ287 + '01_WHOQOL_Items'!AN287 + '01_WHOQOL_Items'!AV287 + (6-'01_WHOQOL_Items'!BC287))/6)</f>
        <v>13.333333333333334</v>
      </c>
      <c r="J287" s="4">
        <f t="shared" si="63"/>
        <v>70.833333333333343</v>
      </c>
      <c r="K287" s="4">
        <f t="shared" si="64"/>
        <v>58.333333333333336</v>
      </c>
      <c r="L287" s="5">
        <f t="shared" si="65"/>
        <v>-0.17647058823529418</v>
      </c>
      <c r="M287" s="4">
        <f>4*(('01_WHOQOL_Items'!W287 + '01_WHOQOL_Items'!X287 + '01_WHOQOL_Items'!Y287)/3)</f>
        <v>12</v>
      </c>
      <c r="N287" s="4">
        <f>4*(('01_WHOQOL_Items'!AW287 + '01_WHOQOL_Items'!AX287 + '01_WHOQOL_Items'!AY287)/3)</f>
        <v>10.666666666666666</v>
      </c>
      <c r="O287" s="4">
        <f t="shared" si="66"/>
        <v>50</v>
      </c>
      <c r="P287" s="4">
        <f t="shared" si="67"/>
        <v>41.666666666666664</v>
      </c>
      <c r="Q287" s="5">
        <f t="shared" si="68"/>
        <v>-0.16666666666666671</v>
      </c>
      <c r="R287" s="4">
        <f>4*(('01_WHOQOL_Items'!K287 + '01_WHOQOL_Items'!L287 + '01_WHOQOL_Items'!O287 + '01_WHOQOL_Items'!P287 + '01_WHOQOL_Items'!Q287 + '01_WHOQOL_Items'!Z287 + '01_WHOQOL_Items'!AA287 + '01_WHOQOL_Items'!AB287)/8)</f>
        <v>12</v>
      </c>
      <c r="S287" s="4">
        <f>4*(('01_WHOQOL_Items'!AK287 + '01_WHOQOL_Items'!AL287 + '01_WHOQOL_Items'!AO287 + '01_WHOQOL_Items'!AP287 + '01_WHOQOL_Items'!AQ287 + '01_WHOQOL_Items'!AZ287 + '01_WHOQOL_Items'!BA287 + '01_WHOQOL_Items'!BB287)/8)</f>
        <v>13</v>
      </c>
      <c r="T287" s="4">
        <f t="shared" si="69"/>
        <v>50</v>
      </c>
      <c r="U287" s="4">
        <f t="shared" si="70"/>
        <v>56.25</v>
      </c>
      <c r="V287" s="5">
        <f t="shared" si="71"/>
        <v>0.125</v>
      </c>
      <c r="W287" s="4">
        <f t="shared" si="72"/>
        <v>56.101190476190482</v>
      </c>
      <c r="X287" s="4">
        <f t="shared" si="73"/>
        <v>52.455357142857139</v>
      </c>
      <c r="Y287" s="5">
        <f t="shared" si="74"/>
        <v>-6.4986737400530667E-2</v>
      </c>
      <c r="Z287" s="1">
        <f>'01_WHOQOL_Items'!D287</f>
        <v>3</v>
      </c>
      <c r="AA287" s="1">
        <f>'01_WHOQOL_Items'!AD287</f>
        <v>3</v>
      </c>
      <c r="AB287" s="1">
        <f>'01_WHOQOL_Items'!E287</f>
        <v>3</v>
      </c>
      <c r="AC287" s="1">
        <f>'01_WHOQOL_Items'!AE287</f>
        <v>3</v>
      </c>
    </row>
    <row r="288" spans="1:29">
      <c r="A288" s="1" t="str">
        <f>'01_WHOQOL_Items'!A288</f>
        <v>CON-006</v>
      </c>
      <c r="B288" s="1" t="str">
        <f>'01_WHOQOL_Items'!B288</f>
        <v>Control</v>
      </c>
      <c r="C288" s="4">
        <f>4*(((6-'01_WHOQOL_Items'!F288) + (6-'01_WHOQOL_Items'!G288) + '01_WHOQOL_Items'!M288 + '01_WHOQOL_Items'!R288 + '01_WHOQOL_Items'!S288 + '01_WHOQOL_Items'!T288 + '01_WHOQOL_Items'!U288)/7)</f>
        <v>13.142857142857142</v>
      </c>
      <c r="D288" s="4">
        <f>4*(((6-'01_WHOQOL_Items'!AF288) + (6-'01_WHOQOL_Items'!AG288) + '01_WHOQOL_Items'!AM288 + '01_WHOQOL_Items'!AR288 + '01_WHOQOL_Items'!AS288 + '01_WHOQOL_Items'!AT288 + '01_WHOQOL_Items'!AU288)/7)</f>
        <v>10.857142857142858</v>
      </c>
      <c r="E288" s="4">
        <f t="shared" si="60"/>
        <v>57.142857142857139</v>
      </c>
      <c r="F288" s="4">
        <f t="shared" si="61"/>
        <v>42.857142857142861</v>
      </c>
      <c r="G288" s="5">
        <f t="shared" si="62"/>
        <v>-0.24999999999999989</v>
      </c>
      <c r="H288" s="4">
        <f>4*(('01_WHOQOL_Items'!H288 + '01_WHOQOL_Items'!I288 + '01_WHOQOL_Items'!J288 + '01_WHOQOL_Items'!N288 + '01_WHOQOL_Items'!V288 + (6-'01_WHOQOL_Items'!AC288))/6)</f>
        <v>12</v>
      </c>
      <c r="I288" s="4">
        <f>4*(('01_WHOQOL_Items'!AH288 + '01_WHOQOL_Items'!AI288 + '01_WHOQOL_Items'!AJ288 + '01_WHOQOL_Items'!AN288 + '01_WHOQOL_Items'!AV288 + (6-'01_WHOQOL_Items'!BC288))/6)</f>
        <v>12</v>
      </c>
      <c r="J288" s="4">
        <f t="shared" si="63"/>
        <v>50</v>
      </c>
      <c r="K288" s="4">
        <f t="shared" si="64"/>
        <v>50</v>
      </c>
      <c r="L288" s="5">
        <f t="shared" si="65"/>
        <v>0</v>
      </c>
      <c r="M288" s="4">
        <f>4*(('01_WHOQOL_Items'!W288 + '01_WHOQOL_Items'!X288 + '01_WHOQOL_Items'!Y288)/3)</f>
        <v>12</v>
      </c>
      <c r="N288" s="4">
        <f>4*(('01_WHOQOL_Items'!AW288 + '01_WHOQOL_Items'!AX288 + '01_WHOQOL_Items'!AY288)/3)</f>
        <v>10.666666666666666</v>
      </c>
      <c r="O288" s="4">
        <f t="shared" si="66"/>
        <v>50</v>
      </c>
      <c r="P288" s="4">
        <f t="shared" si="67"/>
        <v>41.666666666666664</v>
      </c>
      <c r="Q288" s="5">
        <f t="shared" si="68"/>
        <v>-0.16666666666666671</v>
      </c>
      <c r="R288" s="4">
        <f>4*(('01_WHOQOL_Items'!K288 + '01_WHOQOL_Items'!L288 + '01_WHOQOL_Items'!O288 + '01_WHOQOL_Items'!P288 + '01_WHOQOL_Items'!Q288 + '01_WHOQOL_Items'!Z288 + '01_WHOQOL_Items'!AA288 + '01_WHOQOL_Items'!AB288)/8)</f>
        <v>13</v>
      </c>
      <c r="S288" s="4">
        <f>4*(('01_WHOQOL_Items'!AK288 + '01_WHOQOL_Items'!AL288 + '01_WHOQOL_Items'!AO288 + '01_WHOQOL_Items'!AP288 + '01_WHOQOL_Items'!AQ288 + '01_WHOQOL_Items'!AZ288 + '01_WHOQOL_Items'!BA288 + '01_WHOQOL_Items'!BB288)/8)</f>
        <v>15</v>
      </c>
      <c r="T288" s="4">
        <f t="shared" si="69"/>
        <v>56.25</v>
      </c>
      <c r="U288" s="4">
        <f t="shared" si="70"/>
        <v>68.75</v>
      </c>
      <c r="V288" s="5">
        <f t="shared" si="71"/>
        <v>0.22222222222222221</v>
      </c>
      <c r="W288" s="4">
        <f t="shared" si="72"/>
        <v>53.348214285714285</v>
      </c>
      <c r="X288" s="4">
        <f t="shared" si="73"/>
        <v>50.81845238095238</v>
      </c>
      <c r="Y288" s="5">
        <f t="shared" si="74"/>
        <v>-4.741980474198048E-2</v>
      </c>
      <c r="Z288" s="1">
        <f>'01_WHOQOL_Items'!D288</f>
        <v>3</v>
      </c>
      <c r="AA288" s="1">
        <f>'01_WHOQOL_Items'!AD288</f>
        <v>3</v>
      </c>
      <c r="AB288" s="1">
        <f>'01_WHOQOL_Items'!E288</f>
        <v>2</v>
      </c>
      <c r="AC288" s="1">
        <f>'01_WHOQOL_Items'!AE288</f>
        <v>3</v>
      </c>
    </row>
    <row r="289" spans="1:29">
      <c r="A289" s="1" t="str">
        <f>'01_WHOQOL_Items'!A289</f>
        <v>CON-007</v>
      </c>
      <c r="B289" s="1" t="str">
        <f>'01_WHOQOL_Items'!B289</f>
        <v>Control</v>
      </c>
      <c r="C289" s="4">
        <f>4*(((6-'01_WHOQOL_Items'!F289) + (6-'01_WHOQOL_Items'!G289) + '01_WHOQOL_Items'!M289 + '01_WHOQOL_Items'!R289 + '01_WHOQOL_Items'!S289 + '01_WHOQOL_Items'!T289 + '01_WHOQOL_Items'!U289)/7)</f>
        <v>13.142857142857142</v>
      </c>
      <c r="D289" s="4">
        <f>4*(((6-'01_WHOQOL_Items'!AF289) + (6-'01_WHOQOL_Items'!AG289) + '01_WHOQOL_Items'!AM289 + '01_WHOQOL_Items'!AR289 + '01_WHOQOL_Items'!AS289 + '01_WHOQOL_Items'!AT289 + '01_WHOQOL_Items'!AU289)/7)</f>
        <v>12.571428571428571</v>
      </c>
      <c r="E289" s="4">
        <f t="shared" si="60"/>
        <v>57.142857142857139</v>
      </c>
      <c r="F289" s="4">
        <f t="shared" si="61"/>
        <v>53.571428571428569</v>
      </c>
      <c r="G289" s="5">
        <f t="shared" si="62"/>
        <v>-6.2499999999999972E-2</v>
      </c>
      <c r="H289" s="4">
        <f>4*(('01_WHOQOL_Items'!H289 + '01_WHOQOL_Items'!I289 + '01_WHOQOL_Items'!J289 + '01_WHOQOL_Items'!N289 + '01_WHOQOL_Items'!V289 + (6-'01_WHOQOL_Items'!AC289))/6)</f>
        <v>15.333333333333334</v>
      </c>
      <c r="I289" s="4">
        <f>4*(('01_WHOQOL_Items'!AH289 + '01_WHOQOL_Items'!AI289 + '01_WHOQOL_Items'!AJ289 + '01_WHOQOL_Items'!AN289 + '01_WHOQOL_Items'!AV289 + (6-'01_WHOQOL_Items'!BC289))/6)</f>
        <v>14.666666666666666</v>
      </c>
      <c r="J289" s="4">
        <f t="shared" si="63"/>
        <v>70.833333333333343</v>
      </c>
      <c r="K289" s="4">
        <f t="shared" si="64"/>
        <v>66.666666666666657</v>
      </c>
      <c r="L289" s="5">
        <f t="shared" si="65"/>
        <v>-5.8823529411764969E-2</v>
      </c>
      <c r="M289" s="4">
        <f>4*(('01_WHOQOL_Items'!W289 + '01_WHOQOL_Items'!X289 + '01_WHOQOL_Items'!Y289)/3)</f>
        <v>13.333333333333334</v>
      </c>
      <c r="N289" s="4">
        <f>4*(('01_WHOQOL_Items'!AW289 + '01_WHOQOL_Items'!AX289 + '01_WHOQOL_Items'!AY289)/3)</f>
        <v>6.666666666666667</v>
      </c>
      <c r="O289" s="4">
        <f t="shared" si="66"/>
        <v>58.333333333333336</v>
      </c>
      <c r="P289" s="4">
        <f t="shared" si="67"/>
        <v>16.666666666666668</v>
      </c>
      <c r="Q289" s="5">
        <f t="shared" si="68"/>
        <v>-0.7142857142857143</v>
      </c>
      <c r="R289" s="4">
        <f>4*(('01_WHOQOL_Items'!K289 + '01_WHOQOL_Items'!L289 + '01_WHOQOL_Items'!O289 + '01_WHOQOL_Items'!P289 + '01_WHOQOL_Items'!Q289 + '01_WHOQOL_Items'!Z289 + '01_WHOQOL_Items'!AA289 + '01_WHOQOL_Items'!AB289)/8)</f>
        <v>14</v>
      </c>
      <c r="S289" s="4">
        <f>4*(('01_WHOQOL_Items'!AK289 + '01_WHOQOL_Items'!AL289 + '01_WHOQOL_Items'!AO289 + '01_WHOQOL_Items'!AP289 + '01_WHOQOL_Items'!AQ289 + '01_WHOQOL_Items'!AZ289 + '01_WHOQOL_Items'!BA289 + '01_WHOQOL_Items'!BB289)/8)</f>
        <v>11.5</v>
      </c>
      <c r="T289" s="4">
        <f t="shared" si="69"/>
        <v>62.5</v>
      </c>
      <c r="U289" s="4">
        <f t="shared" si="70"/>
        <v>46.875</v>
      </c>
      <c r="V289" s="5">
        <f t="shared" si="71"/>
        <v>-0.25</v>
      </c>
      <c r="W289" s="4">
        <f t="shared" si="72"/>
        <v>62.202380952380956</v>
      </c>
      <c r="X289" s="4">
        <f t="shared" si="73"/>
        <v>45.944940476190474</v>
      </c>
      <c r="Y289" s="5">
        <f t="shared" si="74"/>
        <v>-0.26136363636363641</v>
      </c>
      <c r="Z289" s="1">
        <f>'01_WHOQOL_Items'!D289</f>
        <v>3</v>
      </c>
      <c r="AA289" s="1">
        <f>'01_WHOQOL_Items'!AD289</f>
        <v>3</v>
      </c>
      <c r="AB289" s="1">
        <f>'01_WHOQOL_Items'!E289</f>
        <v>3</v>
      </c>
      <c r="AC289" s="1">
        <f>'01_WHOQOL_Items'!AE289</f>
        <v>4</v>
      </c>
    </row>
    <row r="290" spans="1:29">
      <c r="A290" s="1" t="str">
        <f>'01_WHOQOL_Items'!A290</f>
        <v>CON-008</v>
      </c>
      <c r="B290" s="1" t="str">
        <f>'01_WHOQOL_Items'!B290</f>
        <v>Control</v>
      </c>
      <c r="C290" s="4">
        <f>4*(((6-'01_WHOQOL_Items'!F290) + (6-'01_WHOQOL_Items'!G290) + '01_WHOQOL_Items'!M290 + '01_WHOQOL_Items'!R290 + '01_WHOQOL_Items'!S290 + '01_WHOQOL_Items'!T290 + '01_WHOQOL_Items'!U290)/7)</f>
        <v>14.285714285714286</v>
      </c>
      <c r="D290" s="4">
        <f>4*(((6-'01_WHOQOL_Items'!AF290) + (6-'01_WHOQOL_Items'!AG290) + '01_WHOQOL_Items'!AM290 + '01_WHOQOL_Items'!AR290 + '01_WHOQOL_Items'!AS290 + '01_WHOQOL_Items'!AT290 + '01_WHOQOL_Items'!AU290)/7)</f>
        <v>13.142857142857142</v>
      </c>
      <c r="E290" s="4">
        <f t="shared" si="60"/>
        <v>64.285714285714292</v>
      </c>
      <c r="F290" s="4">
        <f t="shared" si="61"/>
        <v>57.142857142857139</v>
      </c>
      <c r="G290" s="5">
        <f t="shared" si="62"/>
        <v>-0.11111111111111126</v>
      </c>
      <c r="H290" s="4">
        <f>4*(('01_WHOQOL_Items'!H290 + '01_WHOQOL_Items'!I290 + '01_WHOQOL_Items'!J290 + '01_WHOQOL_Items'!N290 + '01_WHOQOL_Items'!V290 + (6-'01_WHOQOL_Items'!AC290))/6)</f>
        <v>12.666666666666666</v>
      </c>
      <c r="I290" s="4">
        <f>4*(('01_WHOQOL_Items'!AH290 + '01_WHOQOL_Items'!AI290 + '01_WHOQOL_Items'!AJ290 + '01_WHOQOL_Items'!AN290 + '01_WHOQOL_Items'!AV290 + (6-'01_WHOQOL_Items'!BC290))/6)</f>
        <v>12.666666666666666</v>
      </c>
      <c r="J290" s="4">
        <f t="shared" si="63"/>
        <v>54.166666666666664</v>
      </c>
      <c r="K290" s="4">
        <f t="shared" si="64"/>
        <v>54.166666666666664</v>
      </c>
      <c r="L290" s="5">
        <f t="shared" si="65"/>
        <v>0</v>
      </c>
      <c r="M290" s="4">
        <f>4*(('01_WHOQOL_Items'!W290 + '01_WHOQOL_Items'!X290 + '01_WHOQOL_Items'!Y290)/3)</f>
        <v>13.333333333333334</v>
      </c>
      <c r="N290" s="4">
        <f>4*(('01_WHOQOL_Items'!AW290 + '01_WHOQOL_Items'!AX290 + '01_WHOQOL_Items'!AY290)/3)</f>
        <v>14.666666666666666</v>
      </c>
      <c r="O290" s="4">
        <f t="shared" si="66"/>
        <v>58.333333333333336</v>
      </c>
      <c r="P290" s="4">
        <f t="shared" si="67"/>
        <v>66.666666666666657</v>
      </c>
      <c r="Q290" s="5">
        <f t="shared" si="68"/>
        <v>0.14285714285714265</v>
      </c>
      <c r="R290" s="4">
        <f>4*(('01_WHOQOL_Items'!K290 + '01_WHOQOL_Items'!L290 + '01_WHOQOL_Items'!O290 + '01_WHOQOL_Items'!P290 + '01_WHOQOL_Items'!Q290 + '01_WHOQOL_Items'!Z290 + '01_WHOQOL_Items'!AA290 + '01_WHOQOL_Items'!AB290)/8)</f>
        <v>10</v>
      </c>
      <c r="S290" s="4">
        <f>4*(('01_WHOQOL_Items'!AK290 + '01_WHOQOL_Items'!AL290 + '01_WHOQOL_Items'!AO290 + '01_WHOQOL_Items'!AP290 + '01_WHOQOL_Items'!AQ290 + '01_WHOQOL_Items'!AZ290 + '01_WHOQOL_Items'!BA290 + '01_WHOQOL_Items'!BB290)/8)</f>
        <v>11.5</v>
      </c>
      <c r="T290" s="4">
        <f t="shared" si="69"/>
        <v>37.5</v>
      </c>
      <c r="U290" s="4">
        <f t="shared" si="70"/>
        <v>46.875</v>
      </c>
      <c r="V290" s="5">
        <f t="shared" si="71"/>
        <v>0.25</v>
      </c>
      <c r="W290" s="4">
        <f t="shared" si="72"/>
        <v>53.571428571428577</v>
      </c>
      <c r="X290" s="4">
        <f t="shared" si="73"/>
        <v>56.212797619047613</v>
      </c>
      <c r="Y290" s="5">
        <f t="shared" si="74"/>
        <v>4.9305555555555346E-2</v>
      </c>
      <c r="Z290" s="1">
        <f>'01_WHOQOL_Items'!D290</f>
        <v>3</v>
      </c>
      <c r="AA290" s="1">
        <f>'01_WHOQOL_Items'!AD290</f>
        <v>3</v>
      </c>
      <c r="AB290" s="1">
        <f>'01_WHOQOL_Items'!E290</f>
        <v>3</v>
      </c>
      <c r="AC290" s="1">
        <f>'01_WHOQOL_Items'!AE290</f>
        <v>3</v>
      </c>
    </row>
    <row r="291" spans="1:29">
      <c r="A291" s="1" t="str">
        <f>'01_WHOQOL_Items'!A291</f>
        <v>CON-009</v>
      </c>
      <c r="B291" s="1" t="str">
        <f>'01_WHOQOL_Items'!B291</f>
        <v>Control</v>
      </c>
      <c r="C291" s="4">
        <f>4*(((6-'01_WHOQOL_Items'!F291) + (6-'01_WHOQOL_Items'!G291) + '01_WHOQOL_Items'!M291 + '01_WHOQOL_Items'!R291 + '01_WHOQOL_Items'!S291 + '01_WHOQOL_Items'!T291 + '01_WHOQOL_Items'!U291)/7)</f>
        <v>15.428571428571429</v>
      </c>
      <c r="D291" s="4">
        <f>4*(((6-'01_WHOQOL_Items'!AF291) + (6-'01_WHOQOL_Items'!AG291) + '01_WHOQOL_Items'!AM291 + '01_WHOQOL_Items'!AR291 + '01_WHOQOL_Items'!AS291 + '01_WHOQOL_Items'!AT291 + '01_WHOQOL_Items'!AU291)/7)</f>
        <v>17.142857142857142</v>
      </c>
      <c r="E291" s="4">
        <f t="shared" si="60"/>
        <v>71.428571428571431</v>
      </c>
      <c r="F291" s="4">
        <f t="shared" si="61"/>
        <v>82.142857142857139</v>
      </c>
      <c r="G291" s="5">
        <f t="shared" si="62"/>
        <v>0.14999999999999991</v>
      </c>
      <c r="H291" s="4">
        <f>4*(('01_WHOQOL_Items'!H291 + '01_WHOQOL_Items'!I291 + '01_WHOQOL_Items'!J291 + '01_WHOQOL_Items'!N291 + '01_WHOQOL_Items'!V291 + (6-'01_WHOQOL_Items'!AC291))/6)</f>
        <v>11.333333333333334</v>
      </c>
      <c r="I291" s="4">
        <f>4*(('01_WHOQOL_Items'!AH291 + '01_WHOQOL_Items'!AI291 + '01_WHOQOL_Items'!AJ291 + '01_WHOQOL_Items'!AN291 + '01_WHOQOL_Items'!AV291 + (6-'01_WHOQOL_Items'!BC291))/6)</f>
        <v>12</v>
      </c>
      <c r="J291" s="4">
        <f t="shared" si="63"/>
        <v>45.833333333333336</v>
      </c>
      <c r="K291" s="4">
        <f t="shared" si="64"/>
        <v>50</v>
      </c>
      <c r="L291" s="5">
        <f t="shared" si="65"/>
        <v>9.0909090909090856E-2</v>
      </c>
      <c r="M291" s="4">
        <f>4*(('01_WHOQOL_Items'!W291 + '01_WHOQOL_Items'!X291 + '01_WHOQOL_Items'!Y291)/3)</f>
        <v>12</v>
      </c>
      <c r="N291" s="4">
        <f>4*(('01_WHOQOL_Items'!AW291 + '01_WHOQOL_Items'!AX291 + '01_WHOQOL_Items'!AY291)/3)</f>
        <v>8</v>
      </c>
      <c r="O291" s="4">
        <f t="shared" si="66"/>
        <v>50</v>
      </c>
      <c r="P291" s="4">
        <f t="shared" si="67"/>
        <v>25</v>
      </c>
      <c r="Q291" s="5">
        <f t="shared" si="68"/>
        <v>-0.5</v>
      </c>
      <c r="R291" s="4">
        <f>4*(('01_WHOQOL_Items'!K291 + '01_WHOQOL_Items'!L291 + '01_WHOQOL_Items'!O291 + '01_WHOQOL_Items'!P291 + '01_WHOQOL_Items'!Q291 + '01_WHOQOL_Items'!Z291 + '01_WHOQOL_Items'!AA291 + '01_WHOQOL_Items'!AB291)/8)</f>
        <v>10</v>
      </c>
      <c r="S291" s="4">
        <f>4*(('01_WHOQOL_Items'!AK291 + '01_WHOQOL_Items'!AL291 + '01_WHOQOL_Items'!AO291 + '01_WHOQOL_Items'!AP291 + '01_WHOQOL_Items'!AQ291 + '01_WHOQOL_Items'!AZ291 + '01_WHOQOL_Items'!BA291 + '01_WHOQOL_Items'!BB291)/8)</f>
        <v>11.5</v>
      </c>
      <c r="T291" s="4">
        <f t="shared" si="69"/>
        <v>37.5</v>
      </c>
      <c r="U291" s="4">
        <f t="shared" si="70"/>
        <v>46.875</v>
      </c>
      <c r="V291" s="5">
        <f t="shared" si="71"/>
        <v>0.25</v>
      </c>
      <c r="W291" s="4">
        <f t="shared" si="72"/>
        <v>51.19047619047619</v>
      </c>
      <c r="X291" s="4">
        <f t="shared" si="73"/>
        <v>51.004464285714285</v>
      </c>
      <c r="Y291" s="5">
        <f t="shared" si="74"/>
        <v>-3.6337209302325646E-3</v>
      </c>
      <c r="Z291" s="1">
        <f>'01_WHOQOL_Items'!D291</f>
        <v>3</v>
      </c>
      <c r="AA291" s="1">
        <f>'01_WHOQOL_Items'!AD291</f>
        <v>3</v>
      </c>
      <c r="AB291" s="1">
        <f>'01_WHOQOL_Items'!E291</f>
        <v>4</v>
      </c>
      <c r="AC291" s="1">
        <f>'01_WHOQOL_Items'!AE291</f>
        <v>4</v>
      </c>
    </row>
    <row r="292" spans="1:29">
      <c r="A292" s="1" t="str">
        <f>'01_WHOQOL_Items'!A292</f>
        <v>CON-010</v>
      </c>
      <c r="B292" s="1" t="str">
        <f>'01_WHOQOL_Items'!B292</f>
        <v>Control</v>
      </c>
      <c r="C292" s="4">
        <f>4*(((6-'01_WHOQOL_Items'!F292) + (6-'01_WHOQOL_Items'!G292) + '01_WHOQOL_Items'!M292 + '01_WHOQOL_Items'!R292 + '01_WHOQOL_Items'!S292 + '01_WHOQOL_Items'!T292 + '01_WHOQOL_Items'!U292)/7)</f>
        <v>12</v>
      </c>
      <c r="D292" s="4">
        <f>4*(((6-'01_WHOQOL_Items'!AF292) + (6-'01_WHOQOL_Items'!AG292) + '01_WHOQOL_Items'!AM292 + '01_WHOQOL_Items'!AR292 + '01_WHOQOL_Items'!AS292 + '01_WHOQOL_Items'!AT292 + '01_WHOQOL_Items'!AU292)/7)</f>
        <v>10.857142857142858</v>
      </c>
      <c r="E292" s="4">
        <f t="shared" si="60"/>
        <v>50</v>
      </c>
      <c r="F292" s="4">
        <f t="shared" si="61"/>
        <v>42.857142857142861</v>
      </c>
      <c r="G292" s="5">
        <f t="shared" si="62"/>
        <v>-0.14285714285714277</v>
      </c>
      <c r="H292" s="4">
        <f>4*(('01_WHOQOL_Items'!H292 + '01_WHOQOL_Items'!I292 + '01_WHOQOL_Items'!J292 + '01_WHOQOL_Items'!N292 + '01_WHOQOL_Items'!V292 + (6-'01_WHOQOL_Items'!AC292))/6)</f>
        <v>12.666666666666666</v>
      </c>
      <c r="I292" s="4">
        <f>4*(('01_WHOQOL_Items'!AH292 + '01_WHOQOL_Items'!AI292 + '01_WHOQOL_Items'!AJ292 + '01_WHOQOL_Items'!AN292 + '01_WHOQOL_Items'!AV292 + (6-'01_WHOQOL_Items'!BC292))/6)</f>
        <v>14</v>
      </c>
      <c r="J292" s="4">
        <f t="shared" si="63"/>
        <v>54.166666666666664</v>
      </c>
      <c r="K292" s="4">
        <f t="shared" si="64"/>
        <v>62.5</v>
      </c>
      <c r="L292" s="5">
        <f t="shared" si="65"/>
        <v>0.15384615384615391</v>
      </c>
      <c r="M292" s="4">
        <f>4*(('01_WHOQOL_Items'!W292 + '01_WHOQOL_Items'!X292 + '01_WHOQOL_Items'!Y292)/3)</f>
        <v>10.666666666666666</v>
      </c>
      <c r="N292" s="4">
        <f>4*(('01_WHOQOL_Items'!AW292 + '01_WHOQOL_Items'!AX292 + '01_WHOQOL_Items'!AY292)/3)</f>
        <v>10.666666666666666</v>
      </c>
      <c r="O292" s="4">
        <f t="shared" si="66"/>
        <v>41.666666666666664</v>
      </c>
      <c r="P292" s="4">
        <f t="shared" si="67"/>
        <v>41.666666666666664</v>
      </c>
      <c r="Q292" s="5">
        <f t="shared" si="68"/>
        <v>0</v>
      </c>
      <c r="R292" s="4">
        <f>4*(('01_WHOQOL_Items'!K292 + '01_WHOQOL_Items'!L292 + '01_WHOQOL_Items'!O292 + '01_WHOQOL_Items'!P292 + '01_WHOQOL_Items'!Q292 + '01_WHOQOL_Items'!Z292 + '01_WHOQOL_Items'!AA292 + '01_WHOQOL_Items'!AB292)/8)</f>
        <v>14</v>
      </c>
      <c r="S292" s="4">
        <f>4*(('01_WHOQOL_Items'!AK292 + '01_WHOQOL_Items'!AL292 + '01_WHOQOL_Items'!AO292 + '01_WHOQOL_Items'!AP292 + '01_WHOQOL_Items'!AQ292 + '01_WHOQOL_Items'!AZ292 + '01_WHOQOL_Items'!BA292 + '01_WHOQOL_Items'!BB292)/8)</f>
        <v>14.5</v>
      </c>
      <c r="T292" s="4">
        <f t="shared" si="69"/>
        <v>62.5</v>
      </c>
      <c r="U292" s="4">
        <f t="shared" si="70"/>
        <v>65.625</v>
      </c>
      <c r="V292" s="5">
        <f t="shared" si="71"/>
        <v>0.05</v>
      </c>
      <c r="W292" s="4">
        <f t="shared" si="72"/>
        <v>52.083333333333329</v>
      </c>
      <c r="X292" s="4">
        <f t="shared" si="73"/>
        <v>53.16220238095238</v>
      </c>
      <c r="Y292" s="5">
        <f t="shared" si="74"/>
        <v>2.0714285714285782E-2</v>
      </c>
      <c r="Z292" s="1">
        <f>'01_WHOQOL_Items'!D292</f>
        <v>3</v>
      </c>
      <c r="AA292" s="1">
        <f>'01_WHOQOL_Items'!AD292</f>
        <v>4</v>
      </c>
      <c r="AB292" s="1">
        <f>'01_WHOQOL_Items'!E292</f>
        <v>2</v>
      </c>
      <c r="AC292" s="1">
        <f>'01_WHOQOL_Items'!AE292</f>
        <v>3</v>
      </c>
    </row>
    <row r="293" spans="1:29">
      <c r="A293" s="1" t="str">
        <f>'01_WHOQOL_Items'!A293</f>
        <v>CON-011</v>
      </c>
      <c r="B293" s="1" t="str">
        <f>'01_WHOQOL_Items'!B293</f>
        <v>Control</v>
      </c>
      <c r="C293" s="4">
        <f>4*(((6-'01_WHOQOL_Items'!F293) + (6-'01_WHOQOL_Items'!G293) + '01_WHOQOL_Items'!M293 + '01_WHOQOL_Items'!R293 + '01_WHOQOL_Items'!S293 + '01_WHOQOL_Items'!T293 + '01_WHOQOL_Items'!U293)/7)</f>
        <v>12.571428571428571</v>
      </c>
      <c r="D293" s="4">
        <f>4*(((6-'01_WHOQOL_Items'!AF293) + (6-'01_WHOQOL_Items'!AG293) + '01_WHOQOL_Items'!AM293 + '01_WHOQOL_Items'!AR293 + '01_WHOQOL_Items'!AS293 + '01_WHOQOL_Items'!AT293 + '01_WHOQOL_Items'!AU293)/7)</f>
        <v>14.285714285714286</v>
      </c>
      <c r="E293" s="4">
        <f t="shared" si="60"/>
        <v>53.571428571428569</v>
      </c>
      <c r="F293" s="4">
        <f t="shared" si="61"/>
        <v>64.285714285714292</v>
      </c>
      <c r="G293" s="5">
        <f t="shared" si="62"/>
        <v>0.20000000000000015</v>
      </c>
      <c r="H293" s="4">
        <f>4*(('01_WHOQOL_Items'!H293 + '01_WHOQOL_Items'!I293 + '01_WHOQOL_Items'!J293 + '01_WHOQOL_Items'!N293 + '01_WHOQOL_Items'!V293 + (6-'01_WHOQOL_Items'!AC293))/6)</f>
        <v>10.666666666666666</v>
      </c>
      <c r="I293" s="4">
        <f>4*(('01_WHOQOL_Items'!AH293 + '01_WHOQOL_Items'!AI293 + '01_WHOQOL_Items'!AJ293 + '01_WHOQOL_Items'!AN293 + '01_WHOQOL_Items'!AV293 + (6-'01_WHOQOL_Items'!BC293))/6)</f>
        <v>8.6666666666666661</v>
      </c>
      <c r="J293" s="4">
        <f t="shared" si="63"/>
        <v>41.666666666666664</v>
      </c>
      <c r="K293" s="4">
        <f t="shared" si="64"/>
        <v>29.166666666666664</v>
      </c>
      <c r="L293" s="5">
        <f t="shared" si="65"/>
        <v>-0.30000000000000004</v>
      </c>
      <c r="M293" s="4">
        <f>4*(('01_WHOQOL_Items'!W293 + '01_WHOQOL_Items'!X293 + '01_WHOQOL_Items'!Y293)/3)</f>
        <v>10.666666666666666</v>
      </c>
      <c r="N293" s="4">
        <f>4*(('01_WHOQOL_Items'!AW293 + '01_WHOQOL_Items'!AX293 + '01_WHOQOL_Items'!AY293)/3)</f>
        <v>10.666666666666666</v>
      </c>
      <c r="O293" s="4">
        <f t="shared" si="66"/>
        <v>41.666666666666664</v>
      </c>
      <c r="P293" s="4">
        <f t="shared" si="67"/>
        <v>41.666666666666664</v>
      </c>
      <c r="Q293" s="5">
        <f t="shared" si="68"/>
        <v>0</v>
      </c>
      <c r="R293" s="4">
        <f>4*(('01_WHOQOL_Items'!K293 + '01_WHOQOL_Items'!L293 + '01_WHOQOL_Items'!O293 + '01_WHOQOL_Items'!P293 + '01_WHOQOL_Items'!Q293 + '01_WHOQOL_Items'!Z293 + '01_WHOQOL_Items'!AA293 + '01_WHOQOL_Items'!AB293)/8)</f>
        <v>15</v>
      </c>
      <c r="S293" s="4">
        <f>4*(('01_WHOQOL_Items'!AK293 + '01_WHOQOL_Items'!AL293 + '01_WHOQOL_Items'!AO293 + '01_WHOQOL_Items'!AP293 + '01_WHOQOL_Items'!AQ293 + '01_WHOQOL_Items'!AZ293 + '01_WHOQOL_Items'!BA293 + '01_WHOQOL_Items'!BB293)/8)</f>
        <v>14.5</v>
      </c>
      <c r="T293" s="4">
        <f t="shared" si="69"/>
        <v>68.75</v>
      </c>
      <c r="U293" s="4">
        <f t="shared" si="70"/>
        <v>65.625</v>
      </c>
      <c r="V293" s="5">
        <f t="shared" si="71"/>
        <v>-4.5454545454545456E-2</v>
      </c>
      <c r="W293" s="4">
        <f t="shared" si="72"/>
        <v>51.413690476190474</v>
      </c>
      <c r="X293" s="4">
        <f t="shared" si="73"/>
        <v>50.186011904761905</v>
      </c>
      <c r="Y293" s="5">
        <f t="shared" si="74"/>
        <v>-2.3878437047756836E-2</v>
      </c>
      <c r="Z293" s="1">
        <f>'01_WHOQOL_Items'!D293</f>
        <v>3</v>
      </c>
      <c r="AA293" s="1">
        <f>'01_WHOQOL_Items'!AD293</f>
        <v>4</v>
      </c>
      <c r="AB293" s="1">
        <f>'01_WHOQOL_Items'!E293</f>
        <v>4</v>
      </c>
      <c r="AC293" s="1">
        <f>'01_WHOQOL_Items'!AE293</f>
        <v>3</v>
      </c>
    </row>
    <row r="294" spans="1:29">
      <c r="A294" s="1" t="str">
        <f>'01_WHOQOL_Items'!A294</f>
        <v>CON-012</v>
      </c>
      <c r="B294" s="1" t="str">
        <f>'01_WHOQOL_Items'!B294</f>
        <v>Control</v>
      </c>
      <c r="C294" s="4">
        <f>4*(((6-'01_WHOQOL_Items'!F294) + (6-'01_WHOQOL_Items'!G294) + '01_WHOQOL_Items'!M294 + '01_WHOQOL_Items'!R294 + '01_WHOQOL_Items'!S294 + '01_WHOQOL_Items'!T294 + '01_WHOQOL_Items'!U294)/7)</f>
        <v>14.285714285714286</v>
      </c>
      <c r="D294" s="4">
        <f>4*(((6-'01_WHOQOL_Items'!AF294) + (6-'01_WHOQOL_Items'!AG294) + '01_WHOQOL_Items'!AM294 + '01_WHOQOL_Items'!AR294 + '01_WHOQOL_Items'!AS294 + '01_WHOQOL_Items'!AT294 + '01_WHOQOL_Items'!AU294)/7)</f>
        <v>14.857142857142858</v>
      </c>
      <c r="E294" s="4">
        <f t="shared" si="60"/>
        <v>64.285714285714292</v>
      </c>
      <c r="F294" s="4">
        <f t="shared" si="61"/>
        <v>67.857142857142861</v>
      </c>
      <c r="G294" s="5">
        <f t="shared" si="62"/>
        <v>5.5555555555555518E-2</v>
      </c>
      <c r="H294" s="4">
        <f>4*(('01_WHOQOL_Items'!H294 + '01_WHOQOL_Items'!I294 + '01_WHOQOL_Items'!J294 + '01_WHOQOL_Items'!N294 + '01_WHOQOL_Items'!V294 + (6-'01_WHOQOL_Items'!AC294))/6)</f>
        <v>11.333333333333334</v>
      </c>
      <c r="I294" s="4">
        <f>4*(('01_WHOQOL_Items'!AH294 + '01_WHOQOL_Items'!AI294 + '01_WHOQOL_Items'!AJ294 + '01_WHOQOL_Items'!AN294 + '01_WHOQOL_Items'!AV294 + (6-'01_WHOQOL_Items'!BC294))/6)</f>
        <v>10</v>
      </c>
      <c r="J294" s="4">
        <f t="shared" si="63"/>
        <v>45.833333333333336</v>
      </c>
      <c r="K294" s="4">
        <f t="shared" si="64"/>
        <v>37.5</v>
      </c>
      <c r="L294" s="5">
        <f t="shared" si="65"/>
        <v>-0.18181818181818185</v>
      </c>
      <c r="M294" s="4">
        <f>4*(('01_WHOQOL_Items'!W294 + '01_WHOQOL_Items'!X294 + '01_WHOQOL_Items'!Y294)/3)</f>
        <v>8</v>
      </c>
      <c r="N294" s="4">
        <f>4*(('01_WHOQOL_Items'!AW294 + '01_WHOQOL_Items'!AX294 + '01_WHOQOL_Items'!AY294)/3)</f>
        <v>8</v>
      </c>
      <c r="O294" s="4">
        <f t="shared" si="66"/>
        <v>25</v>
      </c>
      <c r="P294" s="4">
        <f t="shared" si="67"/>
        <v>25</v>
      </c>
      <c r="Q294" s="5">
        <f t="shared" si="68"/>
        <v>0</v>
      </c>
      <c r="R294" s="4">
        <f>4*(('01_WHOQOL_Items'!K294 + '01_WHOQOL_Items'!L294 + '01_WHOQOL_Items'!O294 + '01_WHOQOL_Items'!P294 + '01_WHOQOL_Items'!Q294 + '01_WHOQOL_Items'!Z294 + '01_WHOQOL_Items'!AA294 + '01_WHOQOL_Items'!AB294)/8)</f>
        <v>11.5</v>
      </c>
      <c r="S294" s="4">
        <f>4*(('01_WHOQOL_Items'!AK294 + '01_WHOQOL_Items'!AL294 + '01_WHOQOL_Items'!AO294 + '01_WHOQOL_Items'!AP294 + '01_WHOQOL_Items'!AQ294 + '01_WHOQOL_Items'!AZ294 + '01_WHOQOL_Items'!BA294 + '01_WHOQOL_Items'!BB294)/8)</f>
        <v>11</v>
      </c>
      <c r="T294" s="4">
        <f t="shared" si="69"/>
        <v>46.875</v>
      </c>
      <c r="U294" s="4">
        <f t="shared" si="70"/>
        <v>43.75</v>
      </c>
      <c r="V294" s="5">
        <f t="shared" si="71"/>
        <v>-6.6666666666666666E-2</v>
      </c>
      <c r="W294" s="4">
        <f t="shared" si="72"/>
        <v>45.498511904761905</v>
      </c>
      <c r="X294" s="4">
        <f t="shared" si="73"/>
        <v>43.526785714285715</v>
      </c>
      <c r="Y294" s="5">
        <f t="shared" si="74"/>
        <v>-4.3336058871627128E-2</v>
      </c>
      <c r="Z294" s="1">
        <f>'01_WHOQOL_Items'!D294</f>
        <v>3</v>
      </c>
      <c r="AA294" s="1">
        <f>'01_WHOQOL_Items'!AD294</f>
        <v>3</v>
      </c>
      <c r="AB294" s="1">
        <f>'01_WHOQOL_Items'!E294</f>
        <v>2</v>
      </c>
      <c r="AC294" s="1">
        <f>'01_WHOQOL_Items'!AE294</f>
        <v>4</v>
      </c>
    </row>
    <row r="295" spans="1:29">
      <c r="A295" s="1" t="str">
        <f>'01_WHOQOL_Items'!A295</f>
        <v>CON-013</v>
      </c>
      <c r="B295" s="1" t="str">
        <f>'01_WHOQOL_Items'!B295</f>
        <v>Control</v>
      </c>
      <c r="C295" s="4">
        <f>4*(((6-'01_WHOQOL_Items'!F295) + (6-'01_WHOQOL_Items'!G295) + '01_WHOQOL_Items'!M295 + '01_WHOQOL_Items'!R295 + '01_WHOQOL_Items'!S295 + '01_WHOQOL_Items'!T295 + '01_WHOQOL_Items'!U295)/7)</f>
        <v>15.428571428571429</v>
      </c>
      <c r="D295" s="4">
        <f>4*(((6-'01_WHOQOL_Items'!AF295) + (6-'01_WHOQOL_Items'!AG295) + '01_WHOQOL_Items'!AM295 + '01_WHOQOL_Items'!AR295 + '01_WHOQOL_Items'!AS295 + '01_WHOQOL_Items'!AT295 + '01_WHOQOL_Items'!AU295)/7)</f>
        <v>16.571428571428573</v>
      </c>
      <c r="E295" s="4">
        <f t="shared" si="60"/>
        <v>71.428571428571431</v>
      </c>
      <c r="F295" s="4">
        <f t="shared" si="61"/>
        <v>78.571428571428584</v>
      </c>
      <c r="G295" s="5">
        <f t="shared" si="62"/>
        <v>0.10000000000000014</v>
      </c>
      <c r="H295" s="4">
        <f>4*(('01_WHOQOL_Items'!H295 + '01_WHOQOL_Items'!I295 + '01_WHOQOL_Items'!J295 + '01_WHOQOL_Items'!N295 + '01_WHOQOL_Items'!V295 + (6-'01_WHOQOL_Items'!AC295))/6)</f>
        <v>12</v>
      </c>
      <c r="I295" s="4">
        <f>4*(('01_WHOQOL_Items'!AH295 + '01_WHOQOL_Items'!AI295 + '01_WHOQOL_Items'!AJ295 + '01_WHOQOL_Items'!AN295 + '01_WHOQOL_Items'!AV295 + (6-'01_WHOQOL_Items'!BC295))/6)</f>
        <v>10</v>
      </c>
      <c r="J295" s="4">
        <f t="shared" si="63"/>
        <v>50</v>
      </c>
      <c r="K295" s="4">
        <f t="shared" si="64"/>
        <v>37.5</v>
      </c>
      <c r="L295" s="5">
        <f t="shared" si="65"/>
        <v>-0.25</v>
      </c>
      <c r="M295" s="4">
        <f>4*(('01_WHOQOL_Items'!W295 + '01_WHOQOL_Items'!X295 + '01_WHOQOL_Items'!Y295)/3)</f>
        <v>10.666666666666666</v>
      </c>
      <c r="N295" s="4">
        <f>4*(('01_WHOQOL_Items'!AW295 + '01_WHOQOL_Items'!AX295 + '01_WHOQOL_Items'!AY295)/3)</f>
        <v>9.3333333333333339</v>
      </c>
      <c r="O295" s="4">
        <f t="shared" si="66"/>
        <v>41.666666666666664</v>
      </c>
      <c r="P295" s="4">
        <f t="shared" si="67"/>
        <v>33.333333333333336</v>
      </c>
      <c r="Q295" s="5">
        <f t="shared" si="68"/>
        <v>-0.1999999999999999</v>
      </c>
      <c r="R295" s="4">
        <f>4*(('01_WHOQOL_Items'!K295 + '01_WHOQOL_Items'!L295 + '01_WHOQOL_Items'!O295 + '01_WHOQOL_Items'!P295 + '01_WHOQOL_Items'!Q295 + '01_WHOQOL_Items'!Z295 + '01_WHOQOL_Items'!AA295 + '01_WHOQOL_Items'!AB295)/8)</f>
        <v>9</v>
      </c>
      <c r="S295" s="4">
        <f>4*(('01_WHOQOL_Items'!AK295 + '01_WHOQOL_Items'!AL295 + '01_WHOQOL_Items'!AO295 + '01_WHOQOL_Items'!AP295 + '01_WHOQOL_Items'!AQ295 + '01_WHOQOL_Items'!AZ295 + '01_WHOQOL_Items'!BA295 + '01_WHOQOL_Items'!BB295)/8)</f>
        <v>9</v>
      </c>
      <c r="T295" s="4">
        <f t="shared" si="69"/>
        <v>31.25</v>
      </c>
      <c r="U295" s="4">
        <f t="shared" si="70"/>
        <v>31.25</v>
      </c>
      <c r="V295" s="5">
        <f t="shared" si="71"/>
        <v>0</v>
      </c>
      <c r="W295" s="4">
        <f t="shared" si="72"/>
        <v>48.586309523809526</v>
      </c>
      <c r="X295" s="4">
        <f t="shared" si="73"/>
        <v>45.163690476190482</v>
      </c>
      <c r="Y295" s="5">
        <f t="shared" si="74"/>
        <v>-7.0444104134762556E-2</v>
      </c>
      <c r="Z295" s="1">
        <f>'01_WHOQOL_Items'!D295</f>
        <v>2</v>
      </c>
      <c r="AA295" s="1">
        <f>'01_WHOQOL_Items'!AD295</f>
        <v>3</v>
      </c>
      <c r="AB295" s="1">
        <f>'01_WHOQOL_Items'!E295</f>
        <v>4</v>
      </c>
      <c r="AC295" s="1">
        <f>'01_WHOQOL_Items'!AE295</f>
        <v>4</v>
      </c>
    </row>
    <row r="296" spans="1:29">
      <c r="A296" s="1" t="str">
        <f>'01_WHOQOL_Items'!A296</f>
        <v>CON-014</v>
      </c>
      <c r="B296" s="1" t="str">
        <f>'01_WHOQOL_Items'!B296</f>
        <v>Control</v>
      </c>
      <c r="C296" s="4">
        <f>4*(((6-'01_WHOQOL_Items'!F296) + (6-'01_WHOQOL_Items'!G296) + '01_WHOQOL_Items'!M296 + '01_WHOQOL_Items'!R296 + '01_WHOQOL_Items'!S296 + '01_WHOQOL_Items'!T296 + '01_WHOQOL_Items'!U296)/7)</f>
        <v>10.857142857142858</v>
      </c>
      <c r="D296" s="4">
        <f>4*(((6-'01_WHOQOL_Items'!AF296) + (6-'01_WHOQOL_Items'!AG296) + '01_WHOQOL_Items'!AM296 + '01_WHOQOL_Items'!AR296 + '01_WHOQOL_Items'!AS296 + '01_WHOQOL_Items'!AT296 + '01_WHOQOL_Items'!AU296)/7)</f>
        <v>12</v>
      </c>
      <c r="E296" s="4">
        <f t="shared" si="60"/>
        <v>42.857142857142861</v>
      </c>
      <c r="F296" s="4">
        <f t="shared" si="61"/>
        <v>50</v>
      </c>
      <c r="G296" s="5">
        <f t="shared" si="62"/>
        <v>0.16666666666666655</v>
      </c>
      <c r="H296" s="4">
        <f>4*(('01_WHOQOL_Items'!H296 + '01_WHOQOL_Items'!I296 + '01_WHOQOL_Items'!J296 + '01_WHOQOL_Items'!N296 + '01_WHOQOL_Items'!V296 + (6-'01_WHOQOL_Items'!AC296))/6)</f>
        <v>9.3333333333333339</v>
      </c>
      <c r="I296" s="4">
        <f>4*(('01_WHOQOL_Items'!AH296 + '01_WHOQOL_Items'!AI296 + '01_WHOQOL_Items'!AJ296 + '01_WHOQOL_Items'!AN296 + '01_WHOQOL_Items'!AV296 + (6-'01_WHOQOL_Items'!BC296))/6)</f>
        <v>10</v>
      </c>
      <c r="J296" s="4">
        <f t="shared" si="63"/>
        <v>33.333333333333336</v>
      </c>
      <c r="K296" s="4">
        <f t="shared" si="64"/>
        <v>37.5</v>
      </c>
      <c r="L296" s="5">
        <f t="shared" si="65"/>
        <v>0.12499999999999992</v>
      </c>
      <c r="M296" s="4">
        <f>4*(('01_WHOQOL_Items'!W296 + '01_WHOQOL_Items'!X296 + '01_WHOQOL_Items'!Y296)/3)</f>
        <v>13.333333333333334</v>
      </c>
      <c r="N296" s="4">
        <f>4*(('01_WHOQOL_Items'!AW296 + '01_WHOQOL_Items'!AX296 + '01_WHOQOL_Items'!AY296)/3)</f>
        <v>13.333333333333334</v>
      </c>
      <c r="O296" s="4">
        <f t="shared" si="66"/>
        <v>58.333333333333336</v>
      </c>
      <c r="P296" s="4">
        <f t="shared" si="67"/>
        <v>58.333333333333336</v>
      </c>
      <c r="Q296" s="5">
        <f t="shared" si="68"/>
        <v>0</v>
      </c>
      <c r="R296" s="4">
        <f>4*(('01_WHOQOL_Items'!K296 + '01_WHOQOL_Items'!L296 + '01_WHOQOL_Items'!O296 + '01_WHOQOL_Items'!P296 + '01_WHOQOL_Items'!Q296 + '01_WHOQOL_Items'!Z296 + '01_WHOQOL_Items'!AA296 + '01_WHOQOL_Items'!AB296)/8)</f>
        <v>14.5</v>
      </c>
      <c r="S296" s="4">
        <f>4*(('01_WHOQOL_Items'!AK296 + '01_WHOQOL_Items'!AL296 + '01_WHOQOL_Items'!AO296 + '01_WHOQOL_Items'!AP296 + '01_WHOQOL_Items'!AQ296 + '01_WHOQOL_Items'!AZ296 + '01_WHOQOL_Items'!BA296 + '01_WHOQOL_Items'!BB296)/8)</f>
        <v>13.5</v>
      </c>
      <c r="T296" s="4">
        <f t="shared" si="69"/>
        <v>65.625</v>
      </c>
      <c r="U296" s="4">
        <f t="shared" si="70"/>
        <v>59.375</v>
      </c>
      <c r="V296" s="5">
        <f t="shared" si="71"/>
        <v>-9.5238095238095233E-2</v>
      </c>
      <c r="W296" s="4">
        <f t="shared" si="72"/>
        <v>50.037202380952387</v>
      </c>
      <c r="X296" s="4">
        <f t="shared" si="73"/>
        <v>51.302083333333336</v>
      </c>
      <c r="Y296" s="5">
        <f t="shared" si="74"/>
        <v>2.5278810408921864E-2</v>
      </c>
      <c r="Z296" s="1">
        <f>'01_WHOQOL_Items'!D296</f>
        <v>4</v>
      </c>
      <c r="AA296" s="1">
        <f>'01_WHOQOL_Items'!AD296</f>
        <v>4</v>
      </c>
      <c r="AB296" s="1">
        <f>'01_WHOQOL_Items'!E296</f>
        <v>3</v>
      </c>
      <c r="AC296" s="1">
        <f>'01_WHOQOL_Items'!AE296</f>
        <v>3</v>
      </c>
    </row>
    <row r="297" spans="1:29">
      <c r="A297" s="1" t="str">
        <f>'01_WHOQOL_Items'!A297</f>
        <v>CON-015</v>
      </c>
      <c r="B297" s="1" t="str">
        <f>'01_WHOQOL_Items'!B297</f>
        <v>Control</v>
      </c>
      <c r="C297" s="4">
        <f>4*(((6-'01_WHOQOL_Items'!F297) + (6-'01_WHOQOL_Items'!G297) + '01_WHOQOL_Items'!M297 + '01_WHOQOL_Items'!R297 + '01_WHOQOL_Items'!S297 + '01_WHOQOL_Items'!T297 + '01_WHOQOL_Items'!U297)/7)</f>
        <v>10.857142857142858</v>
      </c>
      <c r="D297" s="4">
        <f>4*(((6-'01_WHOQOL_Items'!AF297) + (6-'01_WHOQOL_Items'!AG297) + '01_WHOQOL_Items'!AM297 + '01_WHOQOL_Items'!AR297 + '01_WHOQOL_Items'!AS297 + '01_WHOQOL_Items'!AT297 + '01_WHOQOL_Items'!AU297)/7)</f>
        <v>9.1428571428571423</v>
      </c>
      <c r="E297" s="4">
        <f t="shared" si="60"/>
        <v>42.857142857142861</v>
      </c>
      <c r="F297" s="4">
        <f t="shared" si="61"/>
        <v>32.142857142857139</v>
      </c>
      <c r="G297" s="5">
        <f t="shared" si="62"/>
        <v>-0.25000000000000017</v>
      </c>
      <c r="H297" s="4">
        <f>4*(('01_WHOQOL_Items'!H297 + '01_WHOQOL_Items'!I297 + '01_WHOQOL_Items'!J297 + '01_WHOQOL_Items'!N297 + '01_WHOQOL_Items'!V297 + (6-'01_WHOQOL_Items'!AC297))/6)</f>
        <v>10.666666666666666</v>
      </c>
      <c r="I297" s="4">
        <f>4*(('01_WHOQOL_Items'!AH297 + '01_WHOQOL_Items'!AI297 + '01_WHOQOL_Items'!AJ297 + '01_WHOQOL_Items'!AN297 + '01_WHOQOL_Items'!AV297 + (6-'01_WHOQOL_Items'!BC297))/6)</f>
        <v>12</v>
      </c>
      <c r="J297" s="4">
        <f t="shared" si="63"/>
        <v>41.666666666666664</v>
      </c>
      <c r="K297" s="4">
        <f t="shared" si="64"/>
        <v>50</v>
      </c>
      <c r="L297" s="5">
        <f t="shared" si="65"/>
        <v>0.20000000000000007</v>
      </c>
      <c r="M297" s="4">
        <f>4*(('01_WHOQOL_Items'!W297 + '01_WHOQOL_Items'!X297 + '01_WHOQOL_Items'!Y297)/3)</f>
        <v>5.333333333333333</v>
      </c>
      <c r="N297" s="4">
        <f>4*(('01_WHOQOL_Items'!AW297 + '01_WHOQOL_Items'!AX297 + '01_WHOQOL_Items'!AY297)/3)</f>
        <v>9.3333333333333339</v>
      </c>
      <c r="O297" s="4">
        <f t="shared" si="66"/>
        <v>8.3333333333333321</v>
      </c>
      <c r="P297" s="4">
        <f t="shared" si="67"/>
        <v>33.333333333333336</v>
      </c>
      <c r="Q297" s="5">
        <f t="shared" si="68"/>
        <v>3.0000000000000009</v>
      </c>
      <c r="R297" s="4">
        <f>4*(('01_WHOQOL_Items'!K297 + '01_WHOQOL_Items'!L297 + '01_WHOQOL_Items'!O297 + '01_WHOQOL_Items'!P297 + '01_WHOQOL_Items'!Q297 + '01_WHOQOL_Items'!Z297 + '01_WHOQOL_Items'!AA297 + '01_WHOQOL_Items'!AB297)/8)</f>
        <v>10</v>
      </c>
      <c r="S297" s="4">
        <f>4*(('01_WHOQOL_Items'!AK297 + '01_WHOQOL_Items'!AL297 + '01_WHOQOL_Items'!AO297 + '01_WHOQOL_Items'!AP297 + '01_WHOQOL_Items'!AQ297 + '01_WHOQOL_Items'!AZ297 + '01_WHOQOL_Items'!BA297 + '01_WHOQOL_Items'!BB297)/8)</f>
        <v>10.5</v>
      </c>
      <c r="T297" s="4">
        <f t="shared" si="69"/>
        <v>37.5</v>
      </c>
      <c r="U297" s="4">
        <f t="shared" si="70"/>
        <v>40.625</v>
      </c>
      <c r="V297" s="5">
        <f t="shared" si="71"/>
        <v>8.3333333333333329E-2</v>
      </c>
      <c r="W297" s="4">
        <f t="shared" si="72"/>
        <v>32.589285714285708</v>
      </c>
      <c r="X297" s="4">
        <f t="shared" si="73"/>
        <v>39.02529761904762</v>
      </c>
      <c r="Y297" s="5">
        <f t="shared" si="74"/>
        <v>0.1974885844748861</v>
      </c>
      <c r="Z297" s="1">
        <f>'01_WHOQOL_Items'!D297</f>
        <v>3</v>
      </c>
      <c r="AA297" s="1">
        <f>'01_WHOQOL_Items'!AD297</f>
        <v>2</v>
      </c>
      <c r="AB297" s="1">
        <f>'01_WHOQOL_Items'!E297</f>
        <v>2</v>
      </c>
      <c r="AC297" s="1">
        <f>'01_WHOQOL_Items'!AE297</f>
        <v>3</v>
      </c>
    </row>
    <row r="298" spans="1:29">
      <c r="A298" s="1" t="str">
        <f>'01_WHOQOL_Items'!A298</f>
        <v>CON-016</v>
      </c>
      <c r="B298" s="1" t="str">
        <f>'01_WHOQOL_Items'!B298</f>
        <v>Control</v>
      </c>
      <c r="C298" s="4">
        <f>4*(((6-'01_WHOQOL_Items'!F298) + (6-'01_WHOQOL_Items'!G298) + '01_WHOQOL_Items'!M298 + '01_WHOQOL_Items'!R298 + '01_WHOQOL_Items'!S298 + '01_WHOQOL_Items'!T298 + '01_WHOQOL_Items'!U298)/7)</f>
        <v>13.714285714285714</v>
      </c>
      <c r="D298" s="4">
        <f>4*(((6-'01_WHOQOL_Items'!AF298) + (6-'01_WHOQOL_Items'!AG298) + '01_WHOQOL_Items'!AM298 + '01_WHOQOL_Items'!AR298 + '01_WHOQOL_Items'!AS298 + '01_WHOQOL_Items'!AT298 + '01_WHOQOL_Items'!AU298)/7)</f>
        <v>15.428571428571429</v>
      </c>
      <c r="E298" s="4">
        <f t="shared" si="60"/>
        <v>60.714285714285708</v>
      </c>
      <c r="F298" s="4">
        <f t="shared" si="61"/>
        <v>71.428571428571431</v>
      </c>
      <c r="G298" s="5">
        <f t="shared" si="62"/>
        <v>0.17647058823529427</v>
      </c>
      <c r="H298" s="4">
        <f>4*(('01_WHOQOL_Items'!H298 + '01_WHOQOL_Items'!I298 + '01_WHOQOL_Items'!J298 + '01_WHOQOL_Items'!N298 + '01_WHOQOL_Items'!V298 + (6-'01_WHOQOL_Items'!AC298))/6)</f>
        <v>12.666666666666666</v>
      </c>
      <c r="I298" s="4">
        <f>4*(('01_WHOQOL_Items'!AH298 + '01_WHOQOL_Items'!AI298 + '01_WHOQOL_Items'!AJ298 + '01_WHOQOL_Items'!AN298 + '01_WHOQOL_Items'!AV298 + (6-'01_WHOQOL_Items'!BC298))/6)</f>
        <v>14</v>
      </c>
      <c r="J298" s="4">
        <f t="shared" si="63"/>
        <v>54.166666666666664</v>
      </c>
      <c r="K298" s="4">
        <f t="shared" si="64"/>
        <v>62.5</v>
      </c>
      <c r="L298" s="5">
        <f t="shared" si="65"/>
        <v>0.15384615384615391</v>
      </c>
      <c r="M298" s="4">
        <f>4*(('01_WHOQOL_Items'!W298 + '01_WHOQOL_Items'!X298 + '01_WHOQOL_Items'!Y298)/3)</f>
        <v>14.666666666666666</v>
      </c>
      <c r="N298" s="4">
        <f>4*(('01_WHOQOL_Items'!AW298 + '01_WHOQOL_Items'!AX298 + '01_WHOQOL_Items'!AY298)/3)</f>
        <v>12</v>
      </c>
      <c r="O298" s="4">
        <f t="shared" si="66"/>
        <v>66.666666666666657</v>
      </c>
      <c r="P298" s="4">
        <f t="shared" si="67"/>
        <v>50</v>
      </c>
      <c r="Q298" s="5">
        <f t="shared" si="68"/>
        <v>-0.24999999999999989</v>
      </c>
      <c r="R298" s="4">
        <f>4*(('01_WHOQOL_Items'!K298 + '01_WHOQOL_Items'!L298 + '01_WHOQOL_Items'!O298 + '01_WHOQOL_Items'!P298 + '01_WHOQOL_Items'!Q298 + '01_WHOQOL_Items'!Z298 + '01_WHOQOL_Items'!AA298 + '01_WHOQOL_Items'!AB298)/8)</f>
        <v>10.5</v>
      </c>
      <c r="S298" s="4">
        <f>4*(('01_WHOQOL_Items'!AK298 + '01_WHOQOL_Items'!AL298 + '01_WHOQOL_Items'!AO298 + '01_WHOQOL_Items'!AP298 + '01_WHOQOL_Items'!AQ298 + '01_WHOQOL_Items'!AZ298 + '01_WHOQOL_Items'!BA298 + '01_WHOQOL_Items'!BB298)/8)</f>
        <v>10.5</v>
      </c>
      <c r="T298" s="4">
        <f t="shared" si="69"/>
        <v>40.625</v>
      </c>
      <c r="U298" s="4">
        <f t="shared" si="70"/>
        <v>40.625</v>
      </c>
      <c r="V298" s="5">
        <f t="shared" si="71"/>
        <v>0</v>
      </c>
      <c r="W298" s="4">
        <f t="shared" si="72"/>
        <v>55.543154761904759</v>
      </c>
      <c r="X298" s="4">
        <f t="shared" si="73"/>
        <v>56.138392857142861</v>
      </c>
      <c r="Y298" s="5">
        <f t="shared" si="74"/>
        <v>1.0716677829872862E-2</v>
      </c>
      <c r="Z298" s="1">
        <f>'01_WHOQOL_Items'!D298</f>
        <v>3</v>
      </c>
      <c r="AA298" s="1">
        <f>'01_WHOQOL_Items'!AD298</f>
        <v>3</v>
      </c>
      <c r="AB298" s="1">
        <f>'01_WHOQOL_Items'!E298</f>
        <v>4</v>
      </c>
      <c r="AC298" s="1">
        <f>'01_WHOQOL_Items'!AE298</f>
        <v>5</v>
      </c>
    </row>
    <row r="299" spans="1:29">
      <c r="A299" s="1" t="str">
        <f>'01_WHOQOL_Items'!A299</f>
        <v>CON-017</v>
      </c>
      <c r="B299" s="1" t="str">
        <f>'01_WHOQOL_Items'!B299</f>
        <v>Control</v>
      </c>
      <c r="C299" s="4">
        <f>4*(((6-'01_WHOQOL_Items'!F299) + (6-'01_WHOQOL_Items'!G299) + '01_WHOQOL_Items'!M299 + '01_WHOQOL_Items'!R299 + '01_WHOQOL_Items'!S299 + '01_WHOQOL_Items'!T299 + '01_WHOQOL_Items'!U299)/7)</f>
        <v>13.714285714285714</v>
      </c>
      <c r="D299" s="4">
        <f>4*(((6-'01_WHOQOL_Items'!AF299) + (6-'01_WHOQOL_Items'!AG299) + '01_WHOQOL_Items'!AM299 + '01_WHOQOL_Items'!AR299 + '01_WHOQOL_Items'!AS299 + '01_WHOQOL_Items'!AT299 + '01_WHOQOL_Items'!AU299)/7)</f>
        <v>13.142857142857142</v>
      </c>
      <c r="E299" s="4">
        <f t="shared" si="60"/>
        <v>60.714285714285708</v>
      </c>
      <c r="F299" s="4">
        <f t="shared" si="61"/>
        <v>57.142857142857139</v>
      </c>
      <c r="G299" s="5">
        <f t="shared" si="62"/>
        <v>-5.8823529411764677E-2</v>
      </c>
      <c r="H299" s="4">
        <f>4*(('01_WHOQOL_Items'!H299 + '01_WHOQOL_Items'!I299 + '01_WHOQOL_Items'!J299 + '01_WHOQOL_Items'!N299 + '01_WHOQOL_Items'!V299 + (6-'01_WHOQOL_Items'!AC299))/6)</f>
        <v>14</v>
      </c>
      <c r="I299" s="4">
        <f>4*(('01_WHOQOL_Items'!AH299 + '01_WHOQOL_Items'!AI299 + '01_WHOQOL_Items'!AJ299 + '01_WHOQOL_Items'!AN299 + '01_WHOQOL_Items'!AV299 + (6-'01_WHOQOL_Items'!BC299))/6)</f>
        <v>13.333333333333334</v>
      </c>
      <c r="J299" s="4">
        <f t="shared" si="63"/>
        <v>62.5</v>
      </c>
      <c r="K299" s="4">
        <f t="shared" si="64"/>
        <v>58.333333333333336</v>
      </c>
      <c r="L299" s="5">
        <f t="shared" si="65"/>
        <v>-6.6666666666666624E-2</v>
      </c>
      <c r="M299" s="4">
        <f>4*(('01_WHOQOL_Items'!W299 + '01_WHOQOL_Items'!X299 + '01_WHOQOL_Items'!Y299)/3)</f>
        <v>12</v>
      </c>
      <c r="N299" s="4">
        <f>4*(('01_WHOQOL_Items'!AW299 + '01_WHOQOL_Items'!AX299 + '01_WHOQOL_Items'!AY299)/3)</f>
        <v>12</v>
      </c>
      <c r="O299" s="4">
        <f t="shared" si="66"/>
        <v>50</v>
      </c>
      <c r="P299" s="4">
        <f t="shared" si="67"/>
        <v>50</v>
      </c>
      <c r="Q299" s="5">
        <f t="shared" si="68"/>
        <v>0</v>
      </c>
      <c r="R299" s="4">
        <f>4*(('01_WHOQOL_Items'!K299 + '01_WHOQOL_Items'!L299 + '01_WHOQOL_Items'!O299 + '01_WHOQOL_Items'!P299 + '01_WHOQOL_Items'!Q299 + '01_WHOQOL_Items'!Z299 + '01_WHOQOL_Items'!AA299 + '01_WHOQOL_Items'!AB299)/8)</f>
        <v>11</v>
      </c>
      <c r="S299" s="4">
        <f>4*(('01_WHOQOL_Items'!AK299 + '01_WHOQOL_Items'!AL299 + '01_WHOQOL_Items'!AO299 + '01_WHOQOL_Items'!AP299 + '01_WHOQOL_Items'!AQ299 + '01_WHOQOL_Items'!AZ299 + '01_WHOQOL_Items'!BA299 + '01_WHOQOL_Items'!BB299)/8)</f>
        <v>11</v>
      </c>
      <c r="T299" s="4">
        <f t="shared" si="69"/>
        <v>43.75</v>
      </c>
      <c r="U299" s="4">
        <f t="shared" si="70"/>
        <v>43.75</v>
      </c>
      <c r="V299" s="5">
        <f t="shared" si="71"/>
        <v>0</v>
      </c>
      <c r="W299" s="4">
        <f t="shared" si="72"/>
        <v>54.241071428571431</v>
      </c>
      <c r="X299" s="4">
        <f t="shared" si="73"/>
        <v>52.30654761904762</v>
      </c>
      <c r="Y299" s="5">
        <f t="shared" si="74"/>
        <v>-3.5665294924554197E-2</v>
      </c>
      <c r="Z299" s="1">
        <f>'01_WHOQOL_Items'!D299</f>
        <v>3</v>
      </c>
      <c r="AA299" s="1">
        <f>'01_WHOQOL_Items'!AD299</f>
        <v>3</v>
      </c>
      <c r="AB299" s="1">
        <f>'01_WHOQOL_Items'!E299</f>
        <v>4</v>
      </c>
      <c r="AC299" s="1">
        <f>'01_WHOQOL_Items'!AE299</f>
        <v>3</v>
      </c>
    </row>
    <row r="300" spans="1:29">
      <c r="A300" s="1" t="str">
        <f>'01_WHOQOL_Items'!A300</f>
        <v>CON-018</v>
      </c>
      <c r="B300" s="1" t="str">
        <f>'01_WHOQOL_Items'!B300</f>
        <v>Control</v>
      </c>
      <c r="C300" s="4">
        <f>4*(((6-'01_WHOQOL_Items'!F300) + (6-'01_WHOQOL_Items'!G300) + '01_WHOQOL_Items'!M300 + '01_WHOQOL_Items'!R300 + '01_WHOQOL_Items'!S300 + '01_WHOQOL_Items'!T300 + '01_WHOQOL_Items'!U300)/7)</f>
        <v>16.571428571428573</v>
      </c>
      <c r="D300" s="4">
        <f>4*(((6-'01_WHOQOL_Items'!AF300) + (6-'01_WHOQOL_Items'!AG300) + '01_WHOQOL_Items'!AM300 + '01_WHOQOL_Items'!AR300 + '01_WHOQOL_Items'!AS300 + '01_WHOQOL_Items'!AT300 + '01_WHOQOL_Items'!AU300)/7)</f>
        <v>18.285714285714285</v>
      </c>
      <c r="E300" s="4">
        <f t="shared" si="60"/>
        <v>78.571428571428584</v>
      </c>
      <c r="F300" s="4">
        <f t="shared" si="61"/>
        <v>89.285714285714278</v>
      </c>
      <c r="G300" s="5">
        <f t="shared" si="62"/>
        <v>0.13636363636363608</v>
      </c>
      <c r="H300" s="4">
        <f>4*(('01_WHOQOL_Items'!H300 + '01_WHOQOL_Items'!I300 + '01_WHOQOL_Items'!J300 + '01_WHOQOL_Items'!N300 + '01_WHOQOL_Items'!V300 + (6-'01_WHOQOL_Items'!AC300))/6)</f>
        <v>16.666666666666668</v>
      </c>
      <c r="I300" s="4">
        <f>4*(('01_WHOQOL_Items'!AH300 + '01_WHOQOL_Items'!AI300 + '01_WHOQOL_Items'!AJ300 + '01_WHOQOL_Items'!AN300 + '01_WHOQOL_Items'!AV300 + (6-'01_WHOQOL_Items'!BC300))/6)</f>
        <v>16.666666666666668</v>
      </c>
      <c r="J300" s="4">
        <f t="shared" si="63"/>
        <v>79.166666666666671</v>
      </c>
      <c r="K300" s="4">
        <f t="shared" si="64"/>
        <v>79.166666666666671</v>
      </c>
      <c r="L300" s="5">
        <f t="shared" si="65"/>
        <v>0</v>
      </c>
      <c r="M300" s="4">
        <f>4*(('01_WHOQOL_Items'!W300 + '01_WHOQOL_Items'!X300 + '01_WHOQOL_Items'!Y300)/3)</f>
        <v>12</v>
      </c>
      <c r="N300" s="4">
        <f>4*(('01_WHOQOL_Items'!AW300 + '01_WHOQOL_Items'!AX300 + '01_WHOQOL_Items'!AY300)/3)</f>
        <v>13.333333333333334</v>
      </c>
      <c r="O300" s="4">
        <f t="shared" si="66"/>
        <v>50</v>
      </c>
      <c r="P300" s="4">
        <f t="shared" si="67"/>
        <v>58.333333333333336</v>
      </c>
      <c r="Q300" s="5">
        <f t="shared" si="68"/>
        <v>0.16666666666666671</v>
      </c>
      <c r="R300" s="4">
        <f>4*(('01_WHOQOL_Items'!K300 + '01_WHOQOL_Items'!L300 + '01_WHOQOL_Items'!O300 + '01_WHOQOL_Items'!P300 + '01_WHOQOL_Items'!Q300 + '01_WHOQOL_Items'!Z300 + '01_WHOQOL_Items'!AA300 + '01_WHOQOL_Items'!AB300)/8)</f>
        <v>14</v>
      </c>
      <c r="S300" s="4">
        <f>4*(('01_WHOQOL_Items'!AK300 + '01_WHOQOL_Items'!AL300 + '01_WHOQOL_Items'!AO300 + '01_WHOQOL_Items'!AP300 + '01_WHOQOL_Items'!AQ300 + '01_WHOQOL_Items'!AZ300 + '01_WHOQOL_Items'!BA300 + '01_WHOQOL_Items'!BB300)/8)</f>
        <v>11.5</v>
      </c>
      <c r="T300" s="4">
        <f t="shared" si="69"/>
        <v>62.5</v>
      </c>
      <c r="U300" s="4">
        <f t="shared" si="70"/>
        <v>46.875</v>
      </c>
      <c r="V300" s="5">
        <f t="shared" si="71"/>
        <v>-0.25</v>
      </c>
      <c r="W300" s="4">
        <f t="shared" si="72"/>
        <v>67.55952380952381</v>
      </c>
      <c r="X300" s="4">
        <f t="shared" si="73"/>
        <v>68.415178571428584</v>
      </c>
      <c r="Y300" s="5">
        <f t="shared" si="74"/>
        <v>1.2665198237885632E-2</v>
      </c>
      <c r="Z300" s="1">
        <f>'01_WHOQOL_Items'!D300</f>
        <v>3</v>
      </c>
      <c r="AA300" s="1">
        <f>'01_WHOQOL_Items'!AD300</f>
        <v>4</v>
      </c>
      <c r="AB300" s="1">
        <f>'01_WHOQOL_Items'!E300</f>
        <v>4</v>
      </c>
      <c r="AC300" s="1">
        <f>'01_WHOQOL_Items'!AE300</f>
        <v>4</v>
      </c>
    </row>
    <row r="301" spans="1:29">
      <c r="A301" s="1" t="str">
        <f>'01_WHOQOL_Items'!A301</f>
        <v>CON-019</v>
      </c>
      <c r="B301" s="1" t="str">
        <f>'01_WHOQOL_Items'!B301</f>
        <v>Control</v>
      </c>
      <c r="C301" s="4">
        <f>4*(((6-'01_WHOQOL_Items'!F301) + (6-'01_WHOQOL_Items'!G301) + '01_WHOQOL_Items'!M301 + '01_WHOQOL_Items'!R301 + '01_WHOQOL_Items'!S301 + '01_WHOQOL_Items'!T301 + '01_WHOQOL_Items'!U301)/7)</f>
        <v>10.857142857142858</v>
      </c>
      <c r="D301" s="4">
        <f>4*(((6-'01_WHOQOL_Items'!AF301) + (6-'01_WHOQOL_Items'!AG301) + '01_WHOQOL_Items'!AM301 + '01_WHOQOL_Items'!AR301 + '01_WHOQOL_Items'!AS301 + '01_WHOQOL_Items'!AT301 + '01_WHOQOL_Items'!AU301)/7)</f>
        <v>15.428571428571429</v>
      </c>
      <c r="E301" s="4">
        <f t="shared" si="60"/>
        <v>42.857142857142861</v>
      </c>
      <c r="F301" s="4">
        <f t="shared" si="61"/>
        <v>71.428571428571431</v>
      </c>
      <c r="G301" s="5">
        <f t="shared" si="62"/>
        <v>0.66666666666666652</v>
      </c>
      <c r="H301" s="4">
        <f>4*(('01_WHOQOL_Items'!H301 + '01_WHOQOL_Items'!I301 + '01_WHOQOL_Items'!J301 + '01_WHOQOL_Items'!N301 + '01_WHOQOL_Items'!V301 + (6-'01_WHOQOL_Items'!AC301))/6)</f>
        <v>14</v>
      </c>
      <c r="I301" s="4">
        <f>4*(('01_WHOQOL_Items'!AH301 + '01_WHOQOL_Items'!AI301 + '01_WHOQOL_Items'!AJ301 + '01_WHOQOL_Items'!AN301 + '01_WHOQOL_Items'!AV301 + (6-'01_WHOQOL_Items'!BC301))/6)</f>
        <v>12.666666666666666</v>
      </c>
      <c r="J301" s="4">
        <f t="shared" si="63"/>
        <v>62.5</v>
      </c>
      <c r="K301" s="4">
        <f t="shared" si="64"/>
        <v>54.166666666666664</v>
      </c>
      <c r="L301" s="5">
        <f t="shared" si="65"/>
        <v>-0.13333333333333336</v>
      </c>
      <c r="M301" s="4">
        <f>4*(('01_WHOQOL_Items'!W301 + '01_WHOQOL_Items'!X301 + '01_WHOQOL_Items'!Y301)/3)</f>
        <v>8</v>
      </c>
      <c r="N301" s="4">
        <f>4*(('01_WHOQOL_Items'!AW301 + '01_WHOQOL_Items'!AX301 + '01_WHOQOL_Items'!AY301)/3)</f>
        <v>8</v>
      </c>
      <c r="O301" s="4">
        <f t="shared" si="66"/>
        <v>25</v>
      </c>
      <c r="P301" s="4">
        <f t="shared" si="67"/>
        <v>25</v>
      </c>
      <c r="Q301" s="5">
        <f t="shared" si="68"/>
        <v>0</v>
      </c>
      <c r="R301" s="4">
        <f>4*(('01_WHOQOL_Items'!K301 + '01_WHOQOL_Items'!L301 + '01_WHOQOL_Items'!O301 + '01_WHOQOL_Items'!P301 + '01_WHOQOL_Items'!Q301 + '01_WHOQOL_Items'!Z301 + '01_WHOQOL_Items'!AA301 + '01_WHOQOL_Items'!AB301)/8)</f>
        <v>11.5</v>
      </c>
      <c r="S301" s="4">
        <f>4*(('01_WHOQOL_Items'!AK301 + '01_WHOQOL_Items'!AL301 + '01_WHOQOL_Items'!AO301 + '01_WHOQOL_Items'!AP301 + '01_WHOQOL_Items'!AQ301 + '01_WHOQOL_Items'!AZ301 + '01_WHOQOL_Items'!BA301 + '01_WHOQOL_Items'!BB301)/8)</f>
        <v>12.5</v>
      </c>
      <c r="T301" s="4">
        <f t="shared" si="69"/>
        <v>46.875</v>
      </c>
      <c r="U301" s="4">
        <f t="shared" si="70"/>
        <v>53.125</v>
      </c>
      <c r="V301" s="5">
        <f t="shared" si="71"/>
        <v>0.13333333333333333</v>
      </c>
      <c r="W301" s="4">
        <f t="shared" si="72"/>
        <v>44.308035714285715</v>
      </c>
      <c r="X301" s="4">
        <f t="shared" si="73"/>
        <v>50.930059523809526</v>
      </c>
      <c r="Y301" s="5">
        <f t="shared" si="74"/>
        <v>0.14945424013434092</v>
      </c>
      <c r="Z301" s="1">
        <f>'01_WHOQOL_Items'!D301</f>
        <v>2</v>
      </c>
      <c r="AA301" s="1">
        <f>'01_WHOQOL_Items'!AD301</f>
        <v>3</v>
      </c>
      <c r="AB301" s="1">
        <f>'01_WHOQOL_Items'!E301</f>
        <v>3</v>
      </c>
      <c r="AC301" s="1">
        <f>'01_WHOQOL_Items'!AE301</f>
        <v>4</v>
      </c>
    </row>
    <row r="302" spans="1:29">
      <c r="A302" s="1" t="str">
        <f>'01_WHOQOL_Items'!A302</f>
        <v>CON-020</v>
      </c>
      <c r="B302" s="1" t="str">
        <f>'01_WHOQOL_Items'!B302</f>
        <v>Control</v>
      </c>
      <c r="C302" s="4">
        <f>4*(((6-'01_WHOQOL_Items'!F302) + (6-'01_WHOQOL_Items'!G302) + '01_WHOQOL_Items'!M302 + '01_WHOQOL_Items'!R302 + '01_WHOQOL_Items'!S302 + '01_WHOQOL_Items'!T302 + '01_WHOQOL_Items'!U302)/7)</f>
        <v>10.857142857142858</v>
      </c>
      <c r="D302" s="4">
        <f>4*(((6-'01_WHOQOL_Items'!AF302) + (6-'01_WHOQOL_Items'!AG302) + '01_WHOQOL_Items'!AM302 + '01_WHOQOL_Items'!AR302 + '01_WHOQOL_Items'!AS302 + '01_WHOQOL_Items'!AT302 + '01_WHOQOL_Items'!AU302)/7)</f>
        <v>12.571428571428571</v>
      </c>
      <c r="E302" s="4">
        <f t="shared" si="60"/>
        <v>42.857142857142861</v>
      </c>
      <c r="F302" s="4">
        <f t="shared" si="61"/>
        <v>53.571428571428569</v>
      </c>
      <c r="G302" s="5">
        <f t="shared" si="62"/>
        <v>0.24999999999999983</v>
      </c>
      <c r="H302" s="4">
        <f>4*(('01_WHOQOL_Items'!H302 + '01_WHOQOL_Items'!I302 + '01_WHOQOL_Items'!J302 + '01_WHOQOL_Items'!N302 + '01_WHOQOL_Items'!V302 + (6-'01_WHOQOL_Items'!AC302))/6)</f>
        <v>14.666666666666666</v>
      </c>
      <c r="I302" s="4">
        <f>4*(('01_WHOQOL_Items'!AH302 + '01_WHOQOL_Items'!AI302 + '01_WHOQOL_Items'!AJ302 + '01_WHOQOL_Items'!AN302 + '01_WHOQOL_Items'!AV302 + (6-'01_WHOQOL_Items'!BC302))/6)</f>
        <v>12.666666666666666</v>
      </c>
      <c r="J302" s="4">
        <f t="shared" si="63"/>
        <v>66.666666666666657</v>
      </c>
      <c r="K302" s="4">
        <f t="shared" si="64"/>
        <v>54.166666666666664</v>
      </c>
      <c r="L302" s="5">
        <f t="shared" si="65"/>
        <v>-0.18749999999999992</v>
      </c>
      <c r="M302" s="4">
        <f>4*(('01_WHOQOL_Items'!W302 + '01_WHOQOL_Items'!X302 + '01_WHOQOL_Items'!Y302)/3)</f>
        <v>13.333333333333334</v>
      </c>
      <c r="N302" s="4">
        <f>4*(('01_WHOQOL_Items'!AW302 + '01_WHOQOL_Items'!AX302 + '01_WHOQOL_Items'!AY302)/3)</f>
        <v>14.666666666666666</v>
      </c>
      <c r="O302" s="4">
        <f t="shared" si="66"/>
        <v>58.333333333333336</v>
      </c>
      <c r="P302" s="4">
        <f t="shared" si="67"/>
        <v>66.666666666666657</v>
      </c>
      <c r="Q302" s="5">
        <f t="shared" si="68"/>
        <v>0.14285714285714265</v>
      </c>
      <c r="R302" s="4">
        <f>4*(('01_WHOQOL_Items'!K302 + '01_WHOQOL_Items'!L302 + '01_WHOQOL_Items'!O302 + '01_WHOQOL_Items'!P302 + '01_WHOQOL_Items'!Q302 + '01_WHOQOL_Items'!Z302 + '01_WHOQOL_Items'!AA302 + '01_WHOQOL_Items'!AB302)/8)</f>
        <v>12.5</v>
      </c>
      <c r="S302" s="4">
        <f>4*(('01_WHOQOL_Items'!AK302 + '01_WHOQOL_Items'!AL302 + '01_WHOQOL_Items'!AO302 + '01_WHOQOL_Items'!AP302 + '01_WHOQOL_Items'!AQ302 + '01_WHOQOL_Items'!AZ302 + '01_WHOQOL_Items'!BA302 + '01_WHOQOL_Items'!BB302)/8)</f>
        <v>12</v>
      </c>
      <c r="T302" s="4">
        <f t="shared" si="69"/>
        <v>53.125</v>
      </c>
      <c r="U302" s="4">
        <f t="shared" si="70"/>
        <v>50</v>
      </c>
      <c r="V302" s="5">
        <f t="shared" si="71"/>
        <v>-5.8823529411764705E-2</v>
      </c>
      <c r="W302" s="4">
        <f t="shared" si="72"/>
        <v>55.245535714285715</v>
      </c>
      <c r="X302" s="4">
        <f t="shared" si="73"/>
        <v>56.101190476190474</v>
      </c>
      <c r="Y302" s="5">
        <f t="shared" si="74"/>
        <v>1.5488215488215438E-2</v>
      </c>
      <c r="Z302" s="1">
        <f>'01_WHOQOL_Items'!D302</f>
        <v>3</v>
      </c>
      <c r="AA302" s="1">
        <f>'01_WHOQOL_Items'!AD302</f>
        <v>3</v>
      </c>
      <c r="AB302" s="1">
        <f>'01_WHOQOL_Items'!E302</f>
        <v>3</v>
      </c>
      <c r="AC302" s="1">
        <f>'01_WHOQOL_Items'!AE302</f>
        <v>3</v>
      </c>
    </row>
    <row r="303" spans="1:29">
      <c r="A303" s="1" t="str">
        <f>'01_WHOQOL_Items'!A303</f>
        <v>CON-021</v>
      </c>
      <c r="B303" s="1" t="str">
        <f>'01_WHOQOL_Items'!B303</f>
        <v>Control</v>
      </c>
      <c r="C303" s="4">
        <f>4*(((6-'01_WHOQOL_Items'!F303) + (6-'01_WHOQOL_Items'!G303) + '01_WHOQOL_Items'!M303 + '01_WHOQOL_Items'!R303 + '01_WHOQOL_Items'!S303 + '01_WHOQOL_Items'!T303 + '01_WHOQOL_Items'!U303)/7)</f>
        <v>16</v>
      </c>
      <c r="D303" s="4">
        <f>4*(((6-'01_WHOQOL_Items'!AF303) + (6-'01_WHOQOL_Items'!AG303) + '01_WHOQOL_Items'!AM303 + '01_WHOQOL_Items'!AR303 + '01_WHOQOL_Items'!AS303 + '01_WHOQOL_Items'!AT303 + '01_WHOQOL_Items'!AU303)/7)</f>
        <v>17.714285714285715</v>
      </c>
      <c r="E303" s="4">
        <f t="shared" si="60"/>
        <v>75</v>
      </c>
      <c r="F303" s="4">
        <f t="shared" si="61"/>
        <v>85.714285714285722</v>
      </c>
      <c r="G303" s="5">
        <f t="shared" si="62"/>
        <v>0.14285714285714296</v>
      </c>
      <c r="H303" s="4">
        <f>4*(('01_WHOQOL_Items'!H303 + '01_WHOQOL_Items'!I303 + '01_WHOQOL_Items'!J303 + '01_WHOQOL_Items'!N303 + '01_WHOQOL_Items'!V303 + (6-'01_WHOQOL_Items'!AC303))/6)</f>
        <v>10</v>
      </c>
      <c r="I303" s="4">
        <f>4*(('01_WHOQOL_Items'!AH303 + '01_WHOQOL_Items'!AI303 + '01_WHOQOL_Items'!AJ303 + '01_WHOQOL_Items'!AN303 + '01_WHOQOL_Items'!AV303 + (6-'01_WHOQOL_Items'!BC303))/6)</f>
        <v>12</v>
      </c>
      <c r="J303" s="4">
        <f t="shared" si="63"/>
        <v>37.5</v>
      </c>
      <c r="K303" s="4">
        <f t="shared" si="64"/>
        <v>50</v>
      </c>
      <c r="L303" s="5">
        <f t="shared" si="65"/>
        <v>0.33333333333333331</v>
      </c>
      <c r="M303" s="4">
        <f>4*(('01_WHOQOL_Items'!W303 + '01_WHOQOL_Items'!X303 + '01_WHOQOL_Items'!Y303)/3)</f>
        <v>12</v>
      </c>
      <c r="N303" s="4">
        <f>4*(('01_WHOQOL_Items'!AW303 + '01_WHOQOL_Items'!AX303 + '01_WHOQOL_Items'!AY303)/3)</f>
        <v>12</v>
      </c>
      <c r="O303" s="4">
        <f t="shared" si="66"/>
        <v>50</v>
      </c>
      <c r="P303" s="4">
        <f t="shared" si="67"/>
        <v>50</v>
      </c>
      <c r="Q303" s="5">
        <f t="shared" si="68"/>
        <v>0</v>
      </c>
      <c r="R303" s="4">
        <f>4*(('01_WHOQOL_Items'!K303 + '01_WHOQOL_Items'!L303 + '01_WHOQOL_Items'!O303 + '01_WHOQOL_Items'!P303 + '01_WHOQOL_Items'!Q303 + '01_WHOQOL_Items'!Z303 + '01_WHOQOL_Items'!AA303 + '01_WHOQOL_Items'!AB303)/8)</f>
        <v>10</v>
      </c>
      <c r="S303" s="4">
        <f>4*(('01_WHOQOL_Items'!AK303 + '01_WHOQOL_Items'!AL303 + '01_WHOQOL_Items'!AO303 + '01_WHOQOL_Items'!AP303 + '01_WHOQOL_Items'!AQ303 + '01_WHOQOL_Items'!AZ303 + '01_WHOQOL_Items'!BA303 + '01_WHOQOL_Items'!BB303)/8)</f>
        <v>8.5</v>
      </c>
      <c r="T303" s="4">
        <f t="shared" si="69"/>
        <v>37.5</v>
      </c>
      <c r="U303" s="4">
        <f t="shared" si="70"/>
        <v>28.125</v>
      </c>
      <c r="V303" s="5">
        <f t="shared" si="71"/>
        <v>-0.25</v>
      </c>
      <c r="W303" s="4">
        <f t="shared" si="72"/>
        <v>50</v>
      </c>
      <c r="X303" s="4">
        <f t="shared" si="73"/>
        <v>53.459821428571431</v>
      </c>
      <c r="Y303" s="5">
        <f t="shared" si="74"/>
        <v>6.9196428571428617E-2</v>
      </c>
      <c r="Z303" s="1">
        <f>'01_WHOQOL_Items'!D303</f>
        <v>3</v>
      </c>
      <c r="AA303" s="1">
        <f>'01_WHOQOL_Items'!AD303</f>
        <v>3</v>
      </c>
      <c r="AB303" s="1">
        <f>'01_WHOQOL_Items'!E303</f>
        <v>4</v>
      </c>
      <c r="AC303" s="1">
        <f>'01_WHOQOL_Items'!AE303</f>
        <v>5</v>
      </c>
    </row>
    <row r="304" spans="1:29">
      <c r="A304" s="1" t="str">
        <f>'01_WHOQOL_Items'!A304</f>
        <v>CON-022</v>
      </c>
      <c r="B304" s="1" t="str">
        <f>'01_WHOQOL_Items'!B304</f>
        <v>Control</v>
      </c>
      <c r="C304" s="4">
        <f>4*(((6-'01_WHOQOL_Items'!F304) + (6-'01_WHOQOL_Items'!G304) + '01_WHOQOL_Items'!M304 + '01_WHOQOL_Items'!R304 + '01_WHOQOL_Items'!S304 + '01_WHOQOL_Items'!T304 + '01_WHOQOL_Items'!U304)/7)</f>
        <v>10.857142857142858</v>
      </c>
      <c r="D304" s="4">
        <f>4*(((6-'01_WHOQOL_Items'!AF304) + (6-'01_WHOQOL_Items'!AG304) + '01_WHOQOL_Items'!AM304 + '01_WHOQOL_Items'!AR304 + '01_WHOQOL_Items'!AS304 + '01_WHOQOL_Items'!AT304 + '01_WHOQOL_Items'!AU304)/7)</f>
        <v>10.857142857142858</v>
      </c>
      <c r="E304" s="4">
        <f t="shared" si="60"/>
        <v>42.857142857142861</v>
      </c>
      <c r="F304" s="4">
        <f t="shared" si="61"/>
        <v>42.857142857142861</v>
      </c>
      <c r="G304" s="5">
        <f t="shared" si="62"/>
        <v>0</v>
      </c>
      <c r="H304" s="4">
        <f>4*(('01_WHOQOL_Items'!H304 + '01_WHOQOL_Items'!I304 + '01_WHOQOL_Items'!J304 + '01_WHOQOL_Items'!N304 + '01_WHOQOL_Items'!V304 + (6-'01_WHOQOL_Items'!AC304))/6)</f>
        <v>14</v>
      </c>
      <c r="I304" s="4">
        <f>4*(('01_WHOQOL_Items'!AH304 + '01_WHOQOL_Items'!AI304 + '01_WHOQOL_Items'!AJ304 + '01_WHOQOL_Items'!AN304 + '01_WHOQOL_Items'!AV304 + (6-'01_WHOQOL_Items'!BC304))/6)</f>
        <v>15.333333333333334</v>
      </c>
      <c r="J304" s="4">
        <f t="shared" si="63"/>
        <v>62.5</v>
      </c>
      <c r="K304" s="4">
        <f t="shared" si="64"/>
        <v>70.833333333333343</v>
      </c>
      <c r="L304" s="5">
        <f t="shared" si="65"/>
        <v>0.1333333333333335</v>
      </c>
      <c r="M304" s="4">
        <f>4*(('01_WHOQOL_Items'!W304 + '01_WHOQOL_Items'!X304 + '01_WHOQOL_Items'!Y304)/3)</f>
        <v>17.333333333333332</v>
      </c>
      <c r="N304" s="4">
        <f>4*(('01_WHOQOL_Items'!AW304 + '01_WHOQOL_Items'!AX304 + '01_WHOQOL_Items'!AY304)/3)</f>
        <v>14.666666666666666</v>
      </c>
      <c r="O304" s="4">
        <f t="shared" si="66"/>
        <v>83.333333333333329</v>
      </c>
      <c r="P304" s="4">
        <f t="shared" si="67"/>
        <v>66.666666666666657</v>
      </c>
      <c r="Q304" s="5">
        <f t="shared" si="68"/>
        <v>-0.20000000000000007</v>
      </c>
      <c r="R304" s="4">
        <f>4*(('01_WHOQOL_Items'!K304 + '01_WHOQOL_Items'!L304 + '01_WHOQOL_Items'!O304 + '01_WHOQOL_Items'!P304 + '01_WHOQOL_Items'!Q304 + '01_WHOQOL_Items'!Z304 + '01_WHOQOL_Items'!AA304 + '01_WHOQOL_Items'!AB304)/8)</f>
        <v>12.5</v>
      </c>
      <c r="S304" s="4">
        <f>4*(('01_WHOQOL_Items'!AK304 + '01_WHOQOL_Items'!AL304 + '01_WHOQOL_Items'!AO304 + '01_WHOQOL_Items'!AP304 + '01_WHOQOL_Items'!AQ304 + '01_WHOQOL_Items'!AZ304 + '01_WHOQOL_Items'!BA304 + '01_WHOQOL_Items'!BB304)/8)</f>
        <v>11.5</v>
      </c>
      <c r="T304" s="4">
        <f t="shared" si="69"/>
        <v>53.125</v>
      </c>
      <c r="U304" s="4">
        <f t="shared" si="70"/>
        <v>46.875</v>
      </c>
      <c r="V304" s="5">
        <f t="shared" si="71"/>
        <v>-0.11764705882352941</v>
      </c>
      <c r="W304" s="4">
        <f t="shared" si="72"/>
        <v>60.453869047619051</v>
      </c>
      <c r="X304" s="4">
        <f t="shared" si="73"/>
        <v>56.808035714285715</v>
      </c>
      <c r="Y304" s="5">
        <f t="shared" si="74"/>
        <v>-6.0307692307692347E-2</v>
      </c>
      <c r="Z304" s="1">
        <f>'01_WHOQOL_Items'!D304</f>
        <v>3</v>
      </c>
      <c r="AA304" s="1">
        <f>'01_WHOQOL_Items'!AD304</f>
        <v>3</v>
      </c>
      <c r="AB304" s="1">
        <f>'01_WHOQOL_Items'!E304</f>
        <v>2</v>
      </c>
      <c r="AC304" s="1">
        <f>'01_WHOQOL_Items'!AE304</f>
        <v>3</v>
      </c>
    </row>
    <row r="305" spans="1:29">
      <c r="A305" s="1" t="str">
        <f>'01_WHOQOL_Items'!A305</f>
        <v>CON-023</v>
      </c>
      <c r="B305" s="1" t="str">
        <f>'01_WHOQOL_Items'!B305</f>
        <v>Control</v>
      </c>
      <c r="C305" s="4">
        <f>4*(((6-'01_WHOQOL_Items'!F305) + (6-'01_WHOQOL_Items'!G305) + '01_WHOQOL_Items'!M305 + '01_WHOQOL_Items'!R305 + '01_WHOQOL_Items'!S305 + '01_WHOQOL_Items'!T305 + '01_WHOQOL_Items'!U305)/7)</f>
        <v>14.857142857142858</v>
      </c>
      <c r="D305" s="4">
        <f>4*(((6-'01_WHOQOL_Items'!AF305) + (6-'01_WHOQOL_Items'!AG305) + '01_WHOQOL_Items'!AM305 + '01_WHOQOL_Items'!AR305 + '01_WHOQOL_Items'!AS305 + '01_WHOQOL_Items'!AT305 + '01_WHOQOL_Items'!AU305)/7)</f>
        <v>13.714285714285714</v>
      </c>
      <c r="E305" s="4">
        <f t="shared" si="60"/>
        <v>67.857142857142861</v>
      </c>
      <c r="F305" s="4">
        <f t="shared" si="61"/>
        <v>60.714285714285708</v>
      </c>
      <c r="G305" s="5">
        <f t="shared" si="62"/>
        <v>-0.10526315789473699</v>
      </c>
      <c r="H305" s="4">
        <f>4*(('01_WHOQOL_Items'!H305 + '01_WHOQOL_Items'!I305 + '01_WHOQOL_Items'!J305 + '01_WHOQOL_Items'!N305 + '01_WHOQOL_Items'!V305 + (6-'01_WHOQOL_Items'!AC305))/6)</f>
        <v>12.666666666666666</v>
      </c>
      <c r="I305" s="4">
        <f>4*(('01_WHOQOL_Items'!AH305 + '01_WHOQOL_Items'!AI305 + '01_WHOQOL_Items'!AJ305 + '01_WHOQOL_Items'!AN305 + '01_WHOQOL_Items'!AV305 + (6-'01_WHOQOL_Items'!BC305))/6)</f>
        <v>11.333333333333334</v>
      </c>
      <c r="J305" s="4">
        <f t="shared" si="63"/>
        <v>54.166666666666664</v>
      </c>
      <c r="K305" s="4">
        <f t="shared" si="64"/>
        <v>45.833333333333336</v>
      </c>
      <c r="L305" s="5">
        <f t="shared" si="65"/>
        <v>-0.15384615384615377</v>
      </c>
      <c r="M305" s="4">
        <f>4*(('01_WHOQOL_Items'!W305 + '01_WHOQOL_Items'!X305 + '01_WHOQOL_Items'!Y305)/3)</f>
        <v>10.666666666666666</v>
      </c>
      <c r="N305" s="4">
        <f>4*(('01_WHOQOL_Items'!AW305 + '01_WHOQOL_Items'!AX305 + '01_WHOQOL_Items'!AY305)/3)</f>
        <v>12</v>
      </c>
      <c r="O305" s="4">
        <f t="shared" si="66"/>
        <v>41.666666666666664</v>
      </c>
      <c r="P305" s="4">
        <f t="shared" si="67"/>
        <v>50</v>
      </c>
      <c r="Q305" s="5">
        <f t="shared" si="68"/>
        <v>0.20000000000000007</v>
      </c>
      <c r="R305" s="4">
        <f>4*(('01_WHOQOL_Items'!K305 + '01_WHOQOL_Items'!L305 + '01_WHOQOL_Items'!O305 + '01_WHOQOL_Items'!P305 + '01_WHOQOL_Items'!Q305 + '01_WHOQOL_Items'!Z305 + '01_WHOQOL_Items'!AA305 + '01_WHOQOL_Items'!AB305)/8)</f>
        <v>12.5</v>
      </c>
      <c r="S305" s="4">
        <f>4*(('01_WHOQOL_Items'!AK305 + '01_WHOQOL_Items'!AL305 + '01_WHOQOL_Items'!AO305 + '01_WHOQOL_Items'!AP305 + '01_WHOQOL_Items'!AQ305 + '01_WHOQOL_Items'!AZ305 + '01_WHOQOL_Items'!BA305 + '01_WHOQOL_Items'!BB305)/8)</f>
        <v>13.5</v>
      </c>
      <c r="T305" s="4">
        <f t="shared" si="69"/>
        <v>53.125</v>
      </c>
      <c r="U305" s="4">
        <f t="shared" si="70"/>
        <v>59.375</v>
      </c>
      <c r="V305" s="5">
        <f t="shared" si="71"/>
        <v>0.11764705882352941</v>
      </c>
      <c r="W305" s="4">
        <f t="shared" si="72"/>
        <v>54.203869047619044</v>
      </c>
      <c r="X305" s="4">
        <f t="shared" si="73"/>
        <v>53.980654761904759</v>
      </c>
      <c r="Y305" s="5">
        <f t="shared" si="74"/>
        <v>-4.1180507892930492E-3</v>
      </c>
      <c r="Z305" s="1">
        <f>'01_WHOQOL_Items'!D305</f>
        <v>3</v>
      </c>
      <c r="AA305" s="1">
        <f>'01_WHOQOL_Items'!AD305</f>
        <v>3</v>
      </c>
      <c r="AB305" s="1">
        <f>'01_WHOQOL_Items'!E305</f>
        <v>4</v>
      </c>
      <c r="AC305" s="1">
        <f>'01_WHOQOL_Items'!AE305</f>
        <v>4</v>
      </c>
    </row>
    <row r="306" spans="1:29">
      <c r="A306" s="1" t="str">
        <f>'01_WHOQOL_Items'!A306</f>
        <v>CON-024</v>
      </c>
      <c r="B306" s="1" t="str">
        <f>'01_WHOQOL_Items'!B306</f>
        <v>Control</v>
      </c>
      <c r="C306" s="4">
        <f>4*(((6-'01_WHOQOL_Items'!F306) + (6-'01_WHOQOL_Items'!G306) + '01_WHOQOL_Items'!M306 + '01_WHOQOL_Items'!R306 + '01_WHOQOL_Items'!S306 + '01_WHOQOL_Items'!T306 + '01_WHOQOL_Items'!U306)/7)</f>
        <v>14.285714285714286</v>
      </c>
      <c r="D306" s="4">
        <f>4*(((6-'01_WHOQOL_Items'!AF306) + (6-'01_WHOQOL_Items'!AG306) + '01_WHOQOL_Items'!AM306 + '01_WHOQOL_Items'!AR306 + '01_WHOQOL_Items'!AS306 + '01_WHOQOL_Items'!AT306 + '01_WHOQOL_Items'!AU306)/7)</f>
        <v>14.857142857142858</v>
      </c>
      <c r="E306" s="4">
        <f t="shared" si="60"/>
        <v>64.285714285714292</v>
      </c>
      <c r="F306" s="4">
        <f t="shared" si="61"/>
        <v>67.857142857142861</v>
      </c>
      <c r="G306" s="5">
        <f t="shared" si="62"/>
        <v>5.5555555555555518E-2</v>
      </c>
      <c r="H306" s="4">
        <f>4*(('01_WHOQOL_Items'!H306 + '01_WHOQOL_Items'!I306 + '01_WHOQOL_Items'!J306 + '01_WHOQOL_Items'!N306 + '01_WHOQOL_Items'!V306 + (6-'01_WHOQOL_Items'!AC306))/6)</f>
        <v>10</v>
      </c>
      <c r="I306" s="4">
        <f>4*(('01_WHOQOL_Items'!AH306 + '01_WHOQOL_Items'!AI306 + '01_WHOQOL_Items'!AJ306 + '01_WHOQOL_Items'!AN306 + '01_WHOQOL_Items'!AV306 + (6-'01_WHOQOL_Items'!BC306))/6)</f>
        <v>12</v>
      </c>
      <c r="J306" s="4">
        <f t="shared" si="63"/>
        <v>37.5</v>
      </c>
      <c r="K306" s="4">
        <f t="shared" si="64"/>
        <v>50</v>
      </c>
      <c r="L306" s="5">
        <f t="shared" si="65"/>
        <v>0.33333333333333331</v>
      </c>
      <c r="M306" s="4">
        <f>4*(('01_WHOQOL_Items'!W306 + '01_WHOQOL_Items'!X306 + '01_WHOQOL_Items'!Y306)/3)</f>
        <v>8</v>
      </c>
      <c r="N306" s="4">
        <f>4*(('01_WHOQOL_Items'!AW306 + '01_WHOQOL_Items'!AX306 + '01_WHOQOL_Items'!AY306)/3)</f>
        <v>10.666666666666666</v>
      </c>
      <c r="O306" s="4">
        <f t="shared" si="66"/>
        <v>25</v>
      </c>
      <c r="P306" s="4">
        <f t="shared" si="67"/>
        <v>41.666666666666664</v>
      </c>
      <c r="Q306" s="5">
        <f t="shared" si="68"/>
        <v>0.66666666666666652</v>
      </c>
      <c r="R306" s="4">
        <f>4*(('01_WHOQOL_Items'!K306 + '01_WHOQOL_Items'!L306 + '01_WHOQOL_Items'!O306 + '01_WHOQOL_Items'!P306 + '01_WHOQOL_Items'!Q306 + '01_WHOQOL_Items'!Z306 + '01_WHOQOL_Items'!AA306 + '01_WHOQOL_Items'!AB306)/8)</f>
        <v>12.5</v>
      </c>
      <c r="S306" s="4">
        <f>4*(('01_WHOQOL_Items'!AK306 + '01_WHOQOL_Items'!AL306 + '01_WHOQOL_Items'!AO306 + '01_WHOQOL_Items'!AP306 + '01_WHOQOL_Items'!AQ306 + '01_WHOQOL_Items'!AZ306 + '01_WHOQOL_Items'!BA306 + '01_WHOQOL_Items'!BB306)/8)</f>
        <v>15</v>
      </c>
      <c r="T306" s="4">
        <f t="shared" si="69"/>
        <v>53.125</v>
      </c>
      <c r="U306" s="4">
        <f t="shared" si="70"/>
        <v>68.75</v>
      </c>
      <c r="V306" s="5">
        <f t="shared" si="71"/>
        <v>0.29411764705882354</v>
      </c>
      <c r="W306" s="4">
        <f t="shared" si="72"/>
        <v>44.977678571428569</v>
      </c>
      <c r="X306" s="4">
        <f t="shared" si="73"/>
        <v>57.06845238095238</v>
      </c>
      <c r="Y306" s="5">
        <f t="shared" si="74"/>
        <v>0.26881720430107531</v>
      </c>
      <c r="Z306" s="1">
        <f>'01_WHOQOL_Items'!D306</f>
        <v>3</v>
      </c>
      <c r="AA306" s="1">
        <f>'01_WHOQOL_Items'!AD306</f>
        <v>3</v>
      </c>
      <c r="AB306" s="1">
        <f>'01_WHOQOL_Items'!E306</f>
        <v>3</v>
      </c>
      <c r="AC306" s="1">
        <f>'01_WHOQOL_Items'!AE306</f>
        <v>4</v>
      </c>
    </row>
    <row r="307" spans="1:29">
      <c r="A307" s="1" t="str">
        <f>'01_WHOQOL_Items'!A307</f>
        <v>CON-025</v>
      </c>
      <c r="B307" s="1" t="str">
        <f>'01_WHOQOL_Items'!B307</f>
        <v>Control</v>
      </c>
      <c r="C307" s="4">
        <f>4*(((6-'01_WHOQOL_Items'!F307) + (6-'01_WHOQOL_Items'!G307) + '01_WHOQOL_Items'!M307 + '01_WHOQOL_Items'!R307 + '01_WHOQOL_Items'!S307 + '01_WHOQOL_Items'!T307 + '01_WHOQOL_Items'!U307)/7)</f>
        <v>13.142857142857142</v>
      </c>
      <c r="D307" s="4">
        <f>4*(((6-'01_WHOQOL_Items'!AF307) + (6-'01_WHOQOL_Items'!AG307) + '01_WHOQOL_Items'!AM307 + '01_WHOQOL_Items'!AR307 + '01_WHOQOL_Items'!AS307 + '01_WHOQOL_Items'!AT307 + '01_WHOQOL_Items'!AU307)/7)</f>
        <v>12.571428571428571</v>
      </c>
      <c r="E307" s="4">
        <f t="shared" si="60"/>
        <v>57.142857142857139</v>
      </c>
      <c r="F307" s="4">
        <f t="shared" si="61"/>
        <v>53.571428571428569</v>
      </c>
      <c r="G307" s="5">
        <f t="shared" si="62"/>
        <v>-6.2499999999999972E-2</v>
      </c>
      <c r="H307" s="4">
        <f>4*(('01_WHOQOL_Items'!H307 + '01_WHOQOL_Items'!I307 + '01_WHOQOL_Items'!J307 + '01_WHOQOL_Items'!N307 + '01_WHOQOL_Items'!V307 + (6-'01_WHOQOL_Items'!AC307))/6)</f>
        <v>12</v>
      </c>
      <c r="I307" s="4">
        <f>4*(('01_WHOQOL_Items'!AH307 + '01_WHOQOL_Items'!AI307 + '01_WHOQOL_Items'!AJ307 + '01_WHOQOL_Items'!AN307 + '01_WHOQOL_Items'!AV307 + (6-'01_WHOQOL_Items'!BC307))/6)</f>
        <v>12.666666666666666</v>
      </c>
      <c r="J307" s="4">
        <f t="shared" si="63"/>
        <v>50</v>
      </c>
      <c r="K307" s="4">
        <f t="shared" si="64"/>
        <v>54.166666666666664</v>
      </c>
      <c r="L307" s="5">
        <f t="shared" si="65"/>
        <v>8.3333333333333287E-2</v>
      </c>
      <c r="M307" s="4">
        <f>4*(('01_WHOQOL_Items'!W307 + '01_WHOQOL_Items'!X307 + '01_WHOQOL_Items'!Y307)/3)</f>
        <v>12</v>
      </c>
      <c r="N307" s="4">
        <f>4*(('01_WHOQOL_Items'!AW307 + '01_WHOQOL_Items'!AX307 + '01_WHOQOL_Items'!AY307)/3)</f>
        <v>12</v>
      </c>
      <c r="O307" s="4">
        <f t="shared" si="66"/>
        <v>50</v>
      </c>
      <c r="P307" s="4">
        <f t="shared" si="67"/>
        <v>50</v>
      </c>
      <c r="Q307" s="5">
        <f t="shared" si="68"/>
        <v>0</v>
      </c>
      <c r="R307" s="4">
        <f>4*(('01_WHOQOL_Items'!K307 + '01_WHOQOL_Items'!L307 + '01_WHOQOL_Items'!O307 + '01_WHOQOL_Items'!P307 + '01_WHOQOL_Items'!Q307 + '01_WHOQOL_Items'!Z307 + '01_WHOQOL_Items'!AA307 + '01_WHOQOL_Items'!AB307)/8)</f>
        <v>12.5</v>
      </c>
      <c r="S307" s="4">
        <f>4*(('01_WHOQOL_Items'!AK307 + '01_WHOQOL_Items'!AL307 + '01_WHOQOL_Items'!AO307 + '01_WHOQOL_Items'!AP307 + '01_WHOQOL_Items'!AQ307 + '01_WHOQOL_Items'!AZ307 + '01_WHOQOL_Items'!BA307 + '01_WHOQOL_Items'!BB307)/8)</f>
        <v>14.5</v>
      </c>
      <c r="T307" s="4">
        <f t="shared" si="69"/>
        <v>53.125</v>
      </c>
      <c r="U307" s="4">
        <f t="shared" si="70"/>
        <v>65.625</v>
      </c>
      <c r="V307" s="5">
        <f t="shared" si="71"/>
        <v>0.23529411764705882</v>
      </c>
      <c r="W307" s="4">
        <f t="shared" si="72"/>
        <v>52.566964285714285</v>
      </c>
      <c r="X307" s="4">
        <f t="shared" si="73"/>
        <v>55.84077380952381</v>
      </c>
      <c r="Y307" s="5">
        <f t="shared" si="74"/>
        <v>6.2278839348903076E-2</v>
      </c>
      <c r="Z307" s="1">
        <f>'01_WHOQOL_Items'!D307</f>
        <v>2</v>
      </c>
      <c r="AA307" s="1">
        <f>'01_WHOQOL_Items'!AD307</f>
        <v>3</v>
      </c>
      <c r="AB307" s="1">
        <f>'01_WHOQOL_Items'!E307</f>
        <v>3</v>
      </c>
      <c r="AC307" s="1">
        <f>'01_WHOQOL_Items'!AE307</f>
        <v>3</v>
      </c>
    </row>
    <row r="308" spans="1:29">
      <c r="A308" s="1" t="str">
        <f>'01_WHOQOL_Items'!A308</f>
        <v>CON-026</v>
      </c>
      <c r="B308" s="1" t="str">
        <f>'01_WHOQOL_Items'!B308</f>
        <v>Control</v>
      </c>
      <c r="C308" s="4">
        <f>4*(((6-'01_WHOQOL_Items'!F308) + (6-'01_WHOQOL_Items'!G308) + '01_WHOQOL_Items'!M308 + '01_WHOQOL_Items'!R308 + '01_WHOQOL_Items'!S308 + '01_WHOQOL_Items'!T308 + '01_WHOQOL_Items'!U308)/7)</f>
        <v>13.714285714285714</v>
      </c>
      <c r="D308" s="4">
        <f>4*(((6-'01_WHOQOL_Items'!AF308) + (6-'01_WHOQOL_Items'!AG308) + '01_WHOQOL_Items'!AM308 + '01_WHOQOL_Items'!AR308 + '01_WHOQOL_Items'!AS308 + '01_WHOQOL_Items'!AT308 + '01_WHOQOL_Items'!AU308)/7)</f>
        <v>13.714285714285714</v>
      </c>
      <c r="E308" s="4">
        <f t="shared" si="60"/>
        <v>60.714285714285708</v>
      </c>
      <c r="F308" s="4">
        <f t="shared" si="61"/>
        <v>60.714285714285708</v>
      </c>
      <c r="G308" s="5">
        <f t="shared" si="62"/>
        <v>0</v>
      </c>
      <c r="H308" s="4">
        <f>4*(('01_WHOQOL_Items'!H308 + '01_WHOQOL_Items'!I308 + '01_WHOQOL_Items'!J308 + '01_WHOQOL_Items'!N308 + '01_WHOQOL_Items'!V308 + (6-'01_WHOQOL_Items'!AC308))/6)</f>
        <v>10.666666666666666</v>
      </c>
      <c r="I308" s="4">
        <f>4*(('01_WHOQOL_Items'!AH308 + '01_WHOQOL_Items'!AI308 + '01_WHOQOL_Items'!AJ308 + '01_WHOQOL_Items'!AN308 + '01_WHOQOL_Items'!AV308 + (6-'01_WHOQOL_Items'!BC308))/6)</f>
        <v>12.666666666666666</v>
      </c>
      <c r="J308" s="4">
        <f t="shared" si="63"/>
        <v>41.666666666666664</v>
      </c>
      <c r="K308" s="4">
        <f t="shared" si="64"/>
        <v>54.166666666666664</v>
      </c>
      <c r="L308" s="5">
        <f t="shared" si="65"/>
        <v>0.30000000000000004</v>
      </c>
      <c r="M308" s="4">
        <f>4*(('01_WHOQOL_Items'!W308 + '01_WHOQOL_Items'!X308 + '01_WHOQOL_Items'!Y308)/3)</f>
        <v>12</v>
      </c>
      <c r="N308" s="4">
        <f>4*(('01_WHOQOL_Items'!AW308 + '01_WHOQOL_Items'!AX308 + '01_WHOQOL_Items'!AY308)/3)</f>
        <v>12</v>
      </c>
      <c r="O308" s="4">
        <f t="shared" si="66"/>
        <v>50</v>
      </c>
      <c r="P308" s="4">
        <f t="shared" si="67"/>
        <v>50</v>
      </c>
      <c r="Q308" s="5">
        <f t="shared" si="68"/>
        <v>0</v>
      </c>
      <c r="R308" s="4">
        <f>4*(('01_WHOQOL_Items'!K308 + '01_WHOQOL_Items'!L308 + '01_WHOQOL_Items'!O308 + '01_WHOQOL_Items'!P308 + '01_WHOQOL_Items'!Q308 + '01_WHOQOL_Items'!Z308 + '01_WHOQOL_Items'!AA308 + '01_WHOQOL_Items'!AB308)/8)</f>
        <v>10.5</v>
      </c>
      <c r="S308" s="4">
        <f>4*(('01_WHOQOL_Items'!AK308 + '01_WHOQOL_Items'!AL308 + '01_WHOQOL_Items'!AO308 + '01_WHOQOL_Items'!AP308 + '01_WHOQOL_Items'!AQ308 + '01_WHOQOL_Items'!AZ308 + '01_WHOQOL_Items'!BA308 + '01_WHOQOL_Items'!BB308)/8)</f>
        <v>10.5</v>
      </c>
      <c r="T308" s="4">
        <f t="shared" si="69"/>
        <v>40.625</v>
      </c>
      <c r="U308" s="4">
        <f t="shared" si="70"/>
        <v>40.625</v>
      </c>
      <c r="V308" s="5">
        <f t="shared" si="71"/>
        <v>0</v>
      </c>
      <c r="W308" s="4">
        <f t="shared" si="72"/>
        <v>48.251488095238095</v>
      </c>
      <c r="X308" s="4">
        <f t="shared" si="73"/>
        <v>51.376488095238095</v>
      </c>
      <c r="Y308" s="5">
        <f t="shared" si="74"/>
        <v>6.4764841942945253E-2</v>
      </c>
      <c r="Z308" s="1">
        <f>'01_WHOQOL_Items'!D308</f>
        <v>2</v>
      </c>
      <c r="AA308" s="1">
        <f>'01_WHOQOL_Items'!AD308</f>
        <v>3</v>
      </c>
      <c r="AB308" s="1">
        <f>'01_WHOQOL_Items'!E308</f>
        <v>3</v>
      </c>
      <c r="AC308" s="1">
        <f>'01_WHOQOL_Items'!AE308</f>
        <v>3</v>
      </c>
    </row>
    <row r="309" spans="1:29">
      <c r="A309" s="1" t="str">
        <f>'01_WHOQOL_Items'!A309</f>
        <v>CON-027</v>
      </c>
      <c r="B309" s="1" t="str">
        <f>'01_WHOQOL_Items'!B309</f>
        <v>Control</v>
      </c>
      <c r="C309" s="4">
        <f>4*(((6-'01_WHOQOL_Items'!F309) + (6-'01_WHOQOL_Items'!G309) + '01_WHOQOL_Items'!M309 + '01_WHOQOL_Items'!R309 + '01_WHOQOL_Items'!S309 + '01_WHOQOL_Items'!T309 + '01_WHOQOL_Items'!U309)/7)</f>
        <v>12</v>
      </c>
      <c r="D309" s="4">
        <f>4*(((6-'01_WHOQOL_Items'!AF309) + (6-'01_WHOQOL_Items'!AG309) + '01_WHOQOL_Items'!AM309 + '01_WHOQOL_Items'!AR309 + '01_WHOQOL_Items'!AS309 + '01_WHOQOL_Items'!AT309 + '01_WHOQOL_Items'!AU309)/7)</f>
        <v>14.857142857142858</v>
      </c>
      <c r="E309" s="4">
        <f t="shared" si="60"/>
        <v>50</v>
      </c>
      <c r="F309" s="4">
        <f t="shared" si="61"/>
        <v>67.857142857142861</v>
      </c>
      <c r="G309" s="5">
        <f t="shared" si="62"/>
        <v>0.35714285714285721</v>
      </c>
      <c r="H309" s="4">
        <f>4*(('01_WHOQOL_Items'!H309 + '01_WHOQOL_Items'!I309 + '01_WHOQOL_Items'!J309 + '01_WHOQOL_Items'!N309 + '01_WHOQOL_Items'!V309 + (6-'01_WHOQOL_Items'!AC309))/6)</f>
        <v>12</v>
      </c>
      <c r="I309" s="4">
        <f>4*(('01_WHOQOL_Items'!AH309 + '01_WHOQOL_Items'!AI309 + '01_WHOQOL_Items'!AJ309 + '01_WHOQOL_Items'!AN309 + '01_WHOQOL_Items'!AV309 + (6-'01_WHOQOL_Items'!BC309))/6)</f>
        <v>11.333333333333334</v>
      </c>
      <c r="J309" s="4">
        <f t="shared" si="63"/>
        <v>50</v>
      </c>
      <c r="K309" s="4">
        <f t="shared" si="64"/>
        <v>45.833333333333336</v>
      </c>
      <c r="L309" s="5">
        <f t="shared" si="65"/>
        <v>-8.3333333333333287E-2</v>
      </c>
      <c r="M309" s="4">
        <f>4*(('01_WHOQOL_Items'!W309 + '01_WHOQOL_Items'!X309 + '01_WHOQOL_Items'!Y309)/3)</f>
        <v>10.666666666666666</v>
      </c>
      <c r="N309" s="4">
        <f>4*(('01_WHOQOL_Items'!AW309 + '01_WHOQOL_Items'!AX309 + '01_WHOQOL_Items'!AY309)/3)</f>
        <v>12</v>
      </c>
      <c r="O309" s="4">
        <f t="shared" si="66"/>
        <v>41.666666666666664</v>
      </c>
      <c r="P309" s="4">
        <f t="shared" si="67"/>
        <v>50</v>
      </c>
      <c r="Q309" s="5">
        <f t="shared" si="68"/>
        <v>0.20000000000000007</v>
      </c>
      <c r="R309" s="4">
        <f>4*(('01_WHOQOL_Items'!K309 + '01_WHOQOL_Items'!L309 + '01_WHOQOL_Items'!O309 + '01_WHOQOL_Items'!P309 + '01_WHOQOL_Items'!Q309 + '01_WHOQOL_Items'!Z309 + '01_WHOQOL_Items'!AA309 + '01_WHOQOL_Items'!AB309)/8)</f>
        <v>11</v>
      </c>
      <c r="S309" s="4">
        <f>4*(('01_WHOQOL_Items'!AK309 + '01_WHOQOL_Items'!AL309 + '01_WHOQOL_Items'!AO309 + '01_WHOQOL_Items'!AP309 + '01_WHOQOL_Items'!AQ309 + '01_WHOQOL_Items'!AZ309 + '01_WHOQOL_Items'!BA309 + '01_WHOQOL_Items'!BB309)/8)</f>
        <v>12.5</v>
      </c>
      <c r="T309" s="4">
        <f t="shared" si="69"/>
        <v>43.75</v>
      </c>
      <c r="U309" s="4">
        <f t="shared" si="70"/>
        <v>53.125</v>
      </c>
      <c r="V309" s="5">
        <f t="shared" si="71"/>
        <v>0.21428571428571427</v>
      </c>
      <c r="W309" s="4">
        <f t="shared" si="72"/>
        <v>46.354166666666664</v>
      </c>
      <c r="X309" s="4">
        <f t="shared" si="73"/>
        <v>54.203869047619051</v>
      </c>
      <c r="Y309" s="5">
        <f t="shared" si="74"/>
        <v>0.16934189406099531</v>
      </c>
      <c r="Z309" s="1">
        <f>'01_WHOQOL_Items'!D309</f>
        <v>3</v>
      </c>
      <c r="AA309" s="1">
        <f>'01_WHOQOL_Items'!AD309</f>
        <v>3</v>
      </c>
      <c r="AB309" s="1">
        <f>'01_WHOQOL_Items'!E309</f>
        <v>3</v>
      </c>
      <c r="AC309" s="1">
        <f>'01_WHOQOL_Items'!AE309</f>
        <v>4</v>
      </c>
    </row>
    <row r="310" spans="1:29">
      <c r="A310" s="1" t="str">
        <f>'01_WHOQOL_Items'!A310</f>
        <v>CON-028</v>
      </c>
      <c r="B310" s="1" t="str">
        <f>'01_WHOQOL_Items'!B310</f>
        <v>Control</v>
      </c>
      <c r="C310" s="4">
        <f>4*(((6-'01_WHOQOL_Items'!F310) + (6-'01_WHOQOL_Items'!G310) + '01_WHOQOL_Items'!M310 + '01_WHOQOL_Items'!R310 + '01_WHOQOL_Items'!S310 + '01_WHOQOL_Items'!T310 + '01_WHOQOL_Items'!U310)/7)</f>
        <v>14.285714285714286</v>
      </c>
      <c r="D310" s="4">
        <f>4*(((6-'01_WHOQOL_Items'!AF310) + (6-'01_WHOQOL_Items'!AG310) + '01_WHOQOL_Items'!AM310 + '01_WHOQOL_Items'!AR310 + '01_WHOQOL_Items'!AS310 + '01_WHOQOL_Items'!AT310 + '01_WHOQOL_Items'!AU310)/7)</f>
        <v>14.857142857142858</v>
      </c>
      <c r="E310" s="4">
        <f t="shared" si="60"/>
        <v>64.285714285714292</v>
      </c>
      <c r="F310" s="4">
        <f t="shared" si="61"/>
        <v>67.857142857142861</v>
      </c>
      <c r="G310" s="5">
        <f t="shared" si="62"/>
        <v>5.5555555555555518E-2</v>
      </c>
      <c r="H310" s="4">
        <f>4*(('01_WHOQOL_Items'!H310 + '01_WHOQOL_Items'!I310 + '01_WHOQOL_Items'!J310 + '01_WHOQOL_Items'!N310 + '01_WHOQOL_Items'!V310 + (6-'01_WHOQOL_Items'!AC310))/6)</f>
        <v>11.333333333333334</v>
      </c>
      <c r="I310" s="4">
        <f>4*(('01_WHOQOL_Items'!AH310 + '01_WHOQOL_Items'!AI310 + '01_WHOQOL_Items'!AJ310 + '01_WHOQOL_Items'!AN310 + '01_WHOQOL_Items'!AV310 + (6-'01_WHOQOL_Items'!BC310))/6)</f>
        <v>9.3333333333333339</v>
      </c>
      <c r="J310" s="4">
        <f t="shared" si="63"/>
        <v>45.833333333333336</v>
      </c>
      <c r="K310" s="4">
        <f t="shared" si="64"/>
        <v>33.333333333333336</v>
      </c>
      <c r="L310" s="5">
        <f t="shared" si="65"/>
        <v>-0.27272727272727271</v>
      </c>
      <c r="M310" s="4">
        <f>4*(('01_WHOQOL_Items'!W310 + '01_WHOQOL_Items'!X310 + '01_WHOQOL_Items'!Y310)/3)</f>
        <v>9.3333333333333339</v>
      </c>
      <c r="N310" s="4">
        <f>4*(('01_WHOQOL_Items'!AW310 + '01_WHOQOL_Items'!AX310 + '01_WHOQOL_Items'!AY310)/3)</f>
        <v>8</v>
      </c>
      <c r="O310" s="4">
        <f t="shared" si="66"/>
        <v>33.333333333333336</v>
      </c>
      <c r="P310" s="4">
        <f t="shared" si="67"/>
        <v>25</v>
      </c>
      <c r="Q310" s="5">
        <f t="shared" si="68"/>
        <v>-0.25000000000000006</v>
      </c>
      <c r="R310" s="4">
        <f>4*(('01_WHOQOL_Items'!K310 + '01_WHOQOL_Items'!L310 + '01_WHOQOL_Items'!O310 + '01_WHOQOL_Items'!P310 + '01_WHOQOL_Items'!Q310 + '01_WHOQOL_Items'!Z310 + '01_WHOQOL_Items'!AA310 + '01_WHOQOL_Items'!AB310)/8)</f>
        <v>12</v>
      </c>
      <c r="S310" s="4">
        <f>4*(('01_WHOQOL_Items'!AK310 + '01_WHOQOL_Items'!AL310 + '01_WHOQOL_Items'!AO310 + '01_WHOQOL_Items'!AP310 + '01_WHOQOL_Items'!AQ310 + '01_WHOQOL_Items'!AZ310 + '01_WHOQOL_Items'!BA310 + '01_WHOQOL_Items'!BB310)/8)</f>
        <v>11</v>
      </c>
      <c r="T310" s="4">
        <f t="shared" si="69"/>
        <v>50</v>
      </c>
      <c r="U310" s="4">
        <f t="shared" si="70"/>
        <v>43.75</v>
      </c>
      <c r="V310" s="5">
        <f t="shared" si="71"/>
        <v>-0.125</v>
      </c>
      <c r="W310" s="4">
        <f t="shared" si="72"/>
        <v>48.363095238095241</v>
      </c>
      <c r="X310" s="4">
        <f t="shared" si="73"/>
        <v>42.485119047619051</v>
      </c>
      <c r="Y310" s="5">
        <f t="shared" si="74"/>
        <v>-0.12153846153846151</v>
      </c>
      <c r="Z310" s="1">
        <f>'01_WHOQOL_Items'!D310</f>
        <v>2</v>
      </c>
      <c r="AA310" s="1">
        <f>'01_WHOQOL_Items'!AD310</f>
        <v>3</v>
      </c>
      <c r="AB310" s="1">
        <f>'01_WHOQOL_Items'!E310</f>
        <v>4</v>
      </c>
      <c r="AC310" s="1">
        <f>'01_WHOQOL_Items'!AE310</f>
        <v>3</v>
      </c>
    </row>
    <row r="311" spans="1:29">
      <c r="A311" s="1" t="str">
        <f>'01_WHOQOL_Items'!A311</f>
        <v>CON-029</v>
      </c>
      <c r="B311" s="1" t="str">
        <f>'01_WHOQOL_Items'!B311</f>
        <v>Control</v>
      </c>
      <c r="C311" s="4">
        <f>4*(((6-'01_WHOQOL_Items'!F311) + (6-'01_WHOQOL_Items'!G311) + '01_WHOQOL_Items'!M311 + '01_WHOQOL_Items'!R311 + '01_WHOQOL_Items'!S311 + '01_WHOQOL_Items'!T311 + '01_WHOQOL_Items'!U311)/7)</f>
        <v>12.571428571428571</v>
      </c>
      <c r="D311" s="4">
        <f>4*(((6-'01_WHOQOL_Items'!AF311) + (6-'01_WHOQOL_Items'!AG311) + '01_WHOQOL_Items'!AM311 + '01_WHOQOL_Items'!AR311 + '01_WHOQOL_Items'!AS311 + '01_WHOQOL_Items'!AT311 + '01_WHOQOL_Items'!AU311)/7)</f>
        <v>12.571428571428571</v>
      </c>
      <c r="E311" s="4">
        <f t="shared" si="60"/>
        <v>53.571428571428569</v>
      </c>
      <c r="F311" s="4">
        <f t="shared" si="61"/>
        <v>53.571428571428569</v>
      </c>
      <c r="G311" s="5">
        <f t="shared" si="62"/>
        <v>0</v>
      </c>
      <c r="H311" s="4">
        <f>4*(('01_WHOQOL_Items'!H311 + '01_WHOQOL_Items'!I311 + '01_WHOQOL_Items'!J311 + '01_WHOQOL_Items'!N311 + '01_WHOQOL_Items'!V311 + (6-'01_WHOQOL_Items'!AC311))/6)</f>
        <v>12.666666666666666</v>
      </c>
      <c r="I311" s="4">
        <f>4*(('01_WHOQOL_Items'!AH311 + '01_WHOQOL_Items'!AI311 + '01_WHOQOL_Items'!AJ311 + '01_WHOQOL_Items'!AN311 + '01_WHOQOL_Items'!AV311 + (6-'01_WHOQOL_Items'!BC311))/6)</f>
        <v>11.333333333333334</v>
      </c>
      <c r="J311" s="4">
        <f t="shared" si="63"/>
        <v>54.166666666666664</v>
      </c>
      <c r="K311" s="4">
        <f t="shared" si="64"/>
        <v>45.833333333333336</v>
      </c>
      <c r="L311" s="5">
        <f t="shared" si="65"/>
        <v>-0.15384615384615377</v>
      </c>
      <c r="M311" s="4">
        <f>4*(('01_WHOQOL_Items'!W311 + '01_WHOQOL_Items'!X311 + '01_WHOQOL_Items'!Y311)/3)</f>
        <v>12</v>
      </c>
      <c r="N311" s="4">
        <f>4*(('01_WHOQOL_Items'!AW311 + '01_WHOQOL_Items'!AX311 + '01_WHOQOL_Items'!AY311)/3)</f>
        <v>9.3333333333333339</v>
      </c>
      <c r="O311" s="4">
        <f t="shared" si="66"/>
        <v>50</v>
      </c>
      <c r="P311" s="4">
        <f t="shared" si="67"/>
        <v>33.333333333333336</v>
      </c>
      <c r="Q311" s="5">
        <f t="shared" si="68"/>
        <v>-0.33333333333333326</v>
      </c>
      <c r="R311" s="4">
        <f>4*(('01_WHOQOL_Items'!K311 + '01_WHOQOL_Items'!L311 + '01_WHOQOL_Items'!O311 + '01_WHOQOL_Items'!P311 + '01_WHOQOL_Items'!Q311 + '01_WHOQOL_Items'!Z311 + '01_WHOQOL_Items'!AA311 + '01_WHOQOL_Items'!AB311)/8)</f>
        <v>16.5</v>
      </c>
      <c r="S311" s="4">
        <f>4*(('01_WHOQOL_Items'!AK311 + '01_WHOQOL_Items'!AL311 + '01_WHOQOL_Items'!AO311 + '01_WHOQOL_Items'!AP311 + '01_WHOQOL_Items'!AQ311 + '01_WHOQOL_Items'!AZ311 + '01_WHOQOL_Items'!BA311 + '01_WHOQOL_Items'!BB311)/8)</f>
        <v>18.5</v>
      </c>
      <c r="T311" s="4">
        <f t="shared" si="69"/>
        <v>78.125</v>
      </c>
      <c r="U311" s="4">
        <f t="shared" si="70"/>
        <v>90.625</v>
      </c>
      <c r="V311" s="5">
        <f t="shared" si="71"/>
        <v>0.16</v>
      </c>
      <c r="W311" s="4">
        <f t="shared" si="72"/>
        <v>58.96577380952381</v>
      </c>
      <c r="X311" s="4">
        <f t="shared" si="73"/>
        <v>55.84077380952381</v>
      </c>
      <c r="Y311" s="5">
        <f t="shared" si="74"/>
        <v>-5.2996845425867509E-2</v>
      </c>
      <c r="Z311" s="1">
        <f>'01_WHOQOL_Items'!D311</f>
        <v>3</v>
      </c>
      <c r="AA311" s="1">
        <f>'01_WHOQOL_Items'!AD311</f>
        <v>3</v>
      </c>
      <c r="AB311" s="1">
        <f>'01_WHOQOL_Items'!E311</f>
        <v>3</v>
      </c>
      <c r="AC311" s="1">
        <f>'01_WHOQOL_Items'!AE311</f>
        <v>2</v>
      </c>
    </row>
    <row r="312" spans="1:29">
      <c r="A312" s="1" t="str">
        <f>'01_WHOQOL_Items'!A312</f>
        <v>CON-030</v>
      </c>
      <c r="B312" s="1" t="str">
        <f>'01_WHOQOL_Items'!B312</f>
        <v>Control</v>
      </c>
      <c r="C312" s="4">
        <f>4*(((6-'01_WHOQOL_Items'!F312) + (6-'01_WHOQOL_Items'!G312) + '01_WHOQOL_Items'!M312 + '01_WHOQOL_Items'!R312 + '01_WHOQOL_Items'!S312 + '01_WHOQOL_Items'!T312 + '01_WHOQOL_Items'!U312)/7)</f>
        <v>12</v>
      </c>
      <c r="D312" s="4">
        <f>4*(((6-'01_WHOQOL_Items'!AF312) + (6-'01_WHOQOL_Items'!AG312) + '01_WHOQOL_Items'!AM312 + '01_WHOQOL_Items'!AR312 + '01_WHOQOL_Items'!AS312 + '01_WHOQOL_Items'!AT312 + '01_WHOQOL_Items'!AU312)/7)</f>
        <v>14.857142857142858</v>
      </c>
      <c r="E312" s="4">
        <f t="shared" si="60"/>
        <v>50</v>
      </c>
      <c r="F312" s="4">
        <f t="shared" si="61"/>
        <v>67.857142857142861</v>
      </c>
      <c r="G312" s="5">
        <f t="shared" si="62"/>
        <v>0.35714285714285721</v>
      </c>
      <c r="H312" s="4">
        <f>4*(('01_WHOQOL_Items'!H312 + '01_WHOQOL_Items'!I312 + '01_WHOQOL_Items'!J312 + '01_WHOQOL_Items'!N312 + '01_WHOQOL_Items'!V312 + (6-'01_WHOQOL_Items'!AC312))/6)</f>
        <v>13.333333333333334</v>
      </c>
      <c r="I312" s="4">
        <f>4*(('01_WHOQOL_Items'!AH312 + '01_WHOQOL_Items'!AI312 + '01_WHOQOL_Items'!AJ312 + '01_WHOQOL_Items'!AN312 + '01_WHOQOL_Items'!AV312 + (6-'01_WHOQOL_Items'!BC312))/6)</f>
        <v>13.333333333333334</v>
      </c>
      <c r="J312" s="4">
        <f t="shared" si="63"/>
        <v>58.333333333333336</v>
      </c>
      <c r="K312" s="4">
        <f t="shared" si="64"/>
        <v>58.333333333333336</v>
      </c>
      <c r="L312" s="5">
        <f t="shared" si="65"/>
        <v>0</v>
      </c>
      <c r="M312" s="4">
        <f>4*(('01_WHOQOL_Items'!W312 + '01_WHOQOL_Items'!X312 + '01_WHOQOL_Items'!Y312)/3)</f>
        <v>10.666666666666666</v>
      </c>
      <c r="N312" s="4">
        <f>4*(('01_WHOQOL_Items'!AW312 + '01_WHOQOL_Items'!AX312 + '01_WHOQOL_Items'!AY312)/3)</f>
        <v>9.3333333333333339</v>
      </c>
      <c r="O312" s="4">
        <f t="shared" si="66"/>
        <v>41.666666666666664</v>
      </c>
      <c r="P312" s="4">
        <f t="shared" si="67"/>
        <v>33.333333333333336</v>
      </c>
      <c r="Q312" s="5">
        <f t="shared" si="68"/>
        <v>-0.1999999999999999</v>
      </c>
      <c r="R312" s="4">
        <f>4*(('01_WHOQOL_Items'!K312 + '01_WHOQOL_Items'!L312 + '01_WHOQOL_Items'!O312 + '01_WHOQOL_Items'!P312 + '01_WHOQOL_Items'!Q312 + '01_WHOQOL_Items'!Z312 + '01_WHOQOL_Items'!AA312 + '01_WHOQOL_Items'!AB312)/8)</f>
        <v>12.5</v>
      </c>
      <c r="S312" s="4">
        <f>4*(('01_WHOQOL_Items'!AK312 + '01_WHOQOL_Items'!AL312 + '01_WHOQOL_Items'!AO312 + '01_WHOQOL_Items'!AP312 + '01_WHOQOL_Items'!AQ312 + '01_WHOQOL_Items'!AZ312 + '01_WHOQOL_Items'!BA312 + '01_WHOQOL_Items'!BB312)/8)</f>
        <v>13</v>
      </c>
      <c r="T312" s="4">
        <f t="shared" si="69"/>
        <v>53.125</v>
      </c>
      <c r="U312" s="4">
        <f t="shared" si="70"/>
        <v>56.25</v>
      </c>
      <c r="V312" s="5">
        <f t="shared" si="71"/>
        <v>5.8823529411764705E-2</v>
      </c>
      <c r="W312" s="4">
        <f t="shared" si="72"/>
        <v>50.78125</v>
      </c>
      <c r="X312" s="4">
        <f t="shared" si="73"/>
        <v>53.943452380952387</v>
      </c>
      <c r="Y312" s="5">
        <f t="shared" si="74"/>
        <v>6.2271062271062383E-2</v>
      </c>
      <c r="Z312" s="1">
        <f>'01_WHOQOL_Items'!D312</f>
        <v>3</v>
      </c>
      <c r="AA312" s="1">
        <f>'01_WHOQOL_Items'!AD312</f>
        <v>3</v>
      </c>
      <c r="AB312" s="1">
        <f>'01_WHOQOL_Items'!E312</f>
        <v>3</v>
      </c>
      <c r="AC312" s="1">
        <f>'01_WHOQOL_Items'!AE312</f>
        <v>4</v>
      </c>
    </row>
    <row r="313" spans="1:29">
      <c r="A313" s="1" t="str">
        <f>'01_WHOQOL_Items'!A313</f>
        <v>CON-031</v>
      </c>
      <c r="B313" s="1" t="str">
        <f>'01_WHOQOL_Items'!B313</f>
        <v>Control</v>
      </c>
      <c r="C313" s="4">
        <f>4*(((6-'01_WHOQOL_Items'!F313) + (6-'01_WHOQOL_Items'!G313) + '01_WHOQOL_Items'!M313 + '01_WHOQOL_Items'!R313 + '01_WHOQOL_Items'!S313 + '01_WHOQOL_Items'!T313 + '01_WHOQOL_Items'!U313)/7)</f>
        <v>11.428571428571429</v>
      </c>
      <c r="D313" s="4">
        <f>4*(((6-'01_WHOQOL_Items'!AF313) + (6-'01_WHOQOL_Items'!AG313) + '01_WHOQOL_Items'!AM313 + '01_WHOQOL_Items'!AR313 + '01_WHOQOL_Items'!AS313 + '01_WHOQOL_Items'!AT313 + '01_WHOQOL_Items'!AU313)/7)</f>
        <v>10.857142857142858</v>
      </c>
      <c r="E313" s="4">
        <f t="shared" si="60"/>
        <v>46.428571428571431</v>
      </c>
      <c r="F313" s="4">
        <f t="shared" si="61"/>
        <v>42.857142857142861</v>
      </c>
      <c r="G313" s="5">
        <f t="shared" si="62"/>
        <v>-7.6923076923076872E-2</v>
      </c>
      <c r="H313" s="4">
        <f>4*(('01_WHOQOL_Items'!H313 + '01_WHOQOL_Items'!I313 + '01_WHOQOL_Items'!J313 + '01_WHOQOL_Items'!N313 + '01_WHOQOL_Items'!V313 + (6-'01_WHOQOL_Items'!AC313))/6)</f>
        <v>14</v>
      </c>
      <c r="I313" s="4">
        <f>4*(('01_WHOQOL_Items'!AH313 + '01_WHOQOL_Items'!AI313 + '01_WHOQOL_Items'!AJ313 + '01_WHOQOL_Items'!AN313 + '01_WHOQOL_Items'!AV313 + (6-'01_WHOQOL_Items'!BC313))/6)</f>
        <v>12.666666666666666</v>
      </c>
      <c r="J313" s="4">
        <f t="shared" si="63"/>
        <v>62.5</v>
      </c>
      <c r="K313" s="4">
        <f t="shared" si="64"/>
        <v>54.166666666666664</v>
      </c>
      <c r="L313" s="5">
        <f t="shared" si="65"/>
        <v>-0.13333333333333336</v>
      </c>
      <c r="M313" s="4">
        <f>4*(('01_WHOQOL_Items'!W313 + '01_WHOQOL_Items'!X313 + '01_WHOQOL_Items'!Y313)/3)</f>
        <v>14.666666666666666</v>
      </c>
      <c r="N313" s="4">
        <f>4*(('01_WHOQOL_Items'!AW313 + '01_WHOQOL_Items'!AX313 + '01_WHOQOL_Items'!AY313)/3)</f>
        <v>13.333333333333334</v>
      </c>
      <c r="O313" s="4">
        <f t="shared" si="66"/>
        <v>66.666666666666657</v>
      </c>
      <c r="P313" s="4">
        <f t="shared" si="67"/>
        <v>58.333333333333336</v>
      </c>
      <c r="Q313" s="5">
        <f t="shared" si="68"/>
        <v>-0.12499999999999983</v>
      </c>
      <c r="R313" s="4">
        <f>4*(('01_WHOQOL_Items'!K313 + '01_WHOQOL_Items'!L313 + '01_WHOQOL_Items'!O313 + '01_WHOQOL_Items'!P313 + '01_WHOQOL_Items'!Q313 + '01_WHOQOL_Items'!Z313 + '01_WHOQOL_Items'!AA313 + '01_WHOQOL_Items'!AB313)/8)</f>
        <v>11</v>
      </c>
      <c r="S313" s="4">
        <f>4*(('01_WHOQOL_Items'!AK313 + '01_WHOQOL_Items'!AL313 + '01_WHOQOL_Items'!AO313 + '01_WHOQOL_Items'!AP313 + '01_WHOQOL_Items'!AQ313 + '01_WHOQOL_Items'!AZ313 + '01_WHOQOL_Items'!BA313 + '01_WHOQOL_Items'!BB313)/8)</f>
        <v>11.5</v>
      </c>
      <c r="T313" s="4">
        <f t="shared" si="69"/>
        <v>43.75</v>
      </c>
      <c r="U313" s="4">
        <f t="shared" si="70"/>
        <v>46.875</v>
      </c>
      <c r="V313" s="5">
        <f t="shared" si="71"/>
        <v>7.1428571428571425E-2</v>
      </c>
      <c r="W313" s="4">
        <f t="shared" si="72"/>
        <v>54.836309523809518</v>
      </c>
      <c r="X313" s="4">
        <f t="shared" si="73"/>
        <v>50.558035714285715</v>
      </c>
      <c r="Y313" s="5">
        <f t="shared" si="74"/>
        <v>-7.8018995929443585E-2</v>
      </c>
      <c r="Z313" s="1">
        <f>'01_WHOQOL_Items'!D313</f>
        <v>3</v>
      </c>
      <c r="AA313" s="1">
        <f>'01_WHOQOL_Items'!AD313</f>
        <v>3</v>
      </c>
      <c r="AB313" s="1">
        <f>'01_WHOQOL_Items'!E313</f>
        <v>2</v>
      </c>
      <c r="AC313" s="1">
        <f>'01_WHOQOL_Items'!AE313</f>
        <v>2</v>
      </c>
    </row>
    <row r="314" spans="1:29">
      <c r="A314" s="1" t="str">
        <f>'01_WHOQOL_Items'!A314</f>
        <v>CON-032</v>
      </c>
      <c r="B314" s="1" t="str">
        <f>'01_WHOQOL_Items'!B314</f>
        <v>Control</v>
      </c>
      <c r="C314" s="4">
        <f>4*(((6-'01_WHOQOL_Items'!F314) + (6-'01_WHOQOL_Items'!G314) + '01_WHOQOL_Items'!M314 + '01_WHOQOL_Items'!R314 + '01_WHOQOL_Items'!S314 + '01_WHOQOL_Items'!T314 + '01_WHOQOL_Items'!U314)/7)</f>
        <v>14.857142857142858</v>
      </c>
      <c r="D314" s="4">
        <f>4*(((6-'01_WHOQOL_Items'!AF314) + (6-'01_WHOQOL_Items'!AG314) + '01_WHOQOL_Items'!AM314 + '01_WHOQOL_Items'!AR314 + '01_WHOQOL_Items'!AS314 + '01_WHOQOL_Items'!AT314 + '01_WHOQOL_Items'!AU314)/7)</f>
        <v>16.571428571428573</v>
      </c>
      <c r="E314" s="4">
        <f t="shared" si="60"/>
        <v>67.857142857142861</v>
      </c>
      <c r="F314" s="4">
        <f t="shared" si="61"/>
        <v>78.571428571428584</v>
      </c>
      <c r="G314" s="5">
        <f t="shared" si="62"/>
        <v>0.15789473684210537</v>
      </c>
      <c r="H314" s="4">
        <f>4*(('01_WHOQOL_Items'!H314 + '01_WHOQOL_Items'!I314 + '01_WHOQOL_Items'!J314 + '01_WHOQOL_Items'!N314 + '01_WHOQOL_Items'!V314 + (6-'01_WHOQOL_Items'!AC314))/6)</f>
        <v>12.666666666666666</v>
      </c>
      <c r="I314" s="4">
        <f>4*(('01_WHOQOL_Items'!AH314 + '01_WHOQOL_Items'!AI314 + '01_WHOQOL_Items'!AJ314 + '01_WHOQOL_Items'!AN314 + '01_WHOQOL_Items'!AV314 + (6-'01_WHOQOL_Items'!BC314))/6)</f>
        <v>9.3333333333333339</v>
      </c>
      <c r="J314" s="4">
        <f t="shared" si="63"/>
        <v>54.166666666666664</v>
      </c>
      <c r="K314" s="4">
        <f t="shared" si="64"/>
        <v>33.333333333333336</v>
      </c>
      <c r="L314" s="5">
        <f t="shared" si="65"/>
        <v>-0.38461538461538453</v>
      </c>
      <c r="M314" s="4">
        <f>4*(('01_WHOQOL_Items'!W314 + '01_WHOQOL_Items'!X314 + '01_WHOQOL_Items'!Y314)/3)</f>
        <v>17.333333333333332</v>
      </c>
      <c r="N314" s="4">
        <f>4*(('01_WHOQOL_Items'!AW314 + '01_WHOQOL_Items'!AX314 + '01_WHOQOL_Items'!AY314)/3)</f>
        <v>17.333333333333332</v>
      </c>
      <c r="O314" s="4">
        <f t="shared" si="66"/>
        <v>83.333333333333329</v>
      </c>
      <c r="P314" s="4">
        <f t="shared" si="67"/>
        <v>83.333333333333329</v>
      </c>
      <c r="Q314" s="5">
        <f t="shared" si="68"/>
        <v>0</v>
      </c>
      <c r="R314" s="4">
        <f>4*(('01_WHOQOL_Items'!K314 + '01_WHOQOL_Items'!L314 + '01_WHOQOL_Items'!O314 + '01_WHOQOL_Items'!P314 + '01_WHOQOL_Items'!Q314 + '01_WHOQOL_Items'!Z314 + '01_WHOQOL_Items'!AA314 + '01_WHOQOL_Items'!AB314)/8)</f>
        <v>13</v>
      </c>
      <c r="S314" s="4">
        <f>4*(('01_WHOQOL_Items'!AK314 + '01_WHOQOL_Items'!AL314 + '01_WHOQOL_Items'!AO314 + '01_WHOQOL_Items'!AP314 + '01_WHOQOL_Items'!AQ314 + '01_WHOQOL_Items'!AZ314 + '01_WHOQOL_Items'!BA314 + '01_WHOQOL_Items'!BB314)/8)</f>
        <v>13</v>
      </c>
      <c r="T314" s="4">
        <f t="shared" si="69"/>
        <v>56.25</v>
      </c>
      <c r="U314" s="4">
        <f t="shared" si="70"/>
        <v>56.25</v>
      </c>
      <c r="V314" s="5">
        <f t="shared" si="71"/>
        <v>0</v>
      </c>
      <c r="W314" s="4">
        <f t="shared" si="72"/>
        <v>65.401785714285708</v>
      </c>
      <c r="X314" s="4">
        <f t="shared" si="73"/>
        <v>62.87202380952381</v>
      </c>
      <c r="Y314" s="5">
        <f t="shared" si="74"/>
        <v>-3.868031854379967E-2</v>
      </c>
      <c r="Z314" s="1">
        <f>'01_WHOQOL_Items'!D314</f>
        <v>3</v>
      </c>
      <c r="AA314" s="1">
        <f>'01_WHOQOL_Items'!AD314</f>
        <v>4</v>
      </c>
      <c r="AB314" s="1">
        <f>'01_WHOQOL_Items'!E314</f>
        <v>3</v>
      </c>
      <c r="AC314" s="1">
        <f>'01_WHOQOL_Items'!AE314</f>
        <v>5</v>
      </c>
    </row>
    <row r="315" spans="1:29">
      <c r="A315" s="1" t="str">
        <f>'01_WHOQOL_Items'!A315</f>
        <v>CON-033</v>
      </c>
      <c r="B315" s="1" t="str">
        <f>'01_WHOQOL_Items'!B315</f>
        <v>Control</v>
      </c>
      <c r="C315" s="4">
        <f>4*(((6-'01_WHOQOL_Items'!F315) + (6-'01_WHOQOL_Items'!G315) + '01_WHOQOL_Items'!M315 + '01_WHOQOL_Items'!R315 + '01_WHOQOL_Items'!S315 + '01_WHOQOL_Items'!T315 + '01_WHOQOL_Items'!U315)/7)</f>
        <v>14.285714285714286</v>
      </c>
      <c r="D315" s="4">
        <f>4*(((6-'01_WHOQOL_Items'!AF315) + (6-'01_WHOQOL_Items'!AG315) + '01_WHOQOL_Items'!AM315 + '01_WHOQOL_Items'!AR315 + '01_WHOQOL_Items'!AS315 + '01_WHOQOL_Items'!AT315 + '01_WHOQOL_Items'!AU315)/7)</f>
        <v>12.571428571428571</v>
      </c>
      <c r="E315" s="4">
        <f t="shared" si="60"/>
        <v>64.285714285714292</v>
      </c>
      <c r="F315" s="4">
        <f t="shared" si="61"/>
        <v>53.571428571428569</v>
      </c>
      <c r="G315" s="5">
        <f t="shared" si="62"/>
        <v>-0.16666666666666677</v>
      </c>
      <c r="H315" s="4">
        <f>4*(('01_WHOQOL_Items'!H315 + '01_WHOQOL_Items'!I315 + '01_WHOQOL_Items'!J315 + '01_WHOQOL_Items'!N315 + '01_WHOQOL_Items'!V315 + (6-'01_WHOQOL_Items'!AC315))/6)</f>
        <v>13.333333333333334</v>
      </c>
      <c r="I315" s="4">
        <f>4*(('01_WHOQOL_Items'!AH315 + '01_WHOQOL_Items'!AI315 + '01_WHOQOL_Items'!AJ315 + '01_WHOQOL_Items'!AN315 + '01_WHOQOL_Items'!AV315 + (6-'01_WHOQOL_Items'!BC315))/6)</f>
        <v>10.666666666666666</v>
      </c>
      <c r="J315" s="4">
        <f t="shared" si="63"/>
        <v>58.333333333333336</v>
      </c>
      <c r="K315" s="4">
        <f t="shared" si="64"/>
        <v>41.666666666666664</v>
      </c>
      <c r="L315" s="5">
        <f t="shared" si="65"/>
        <v>-0.28571428571428581</v>
      </c>
      <c r="M315" s="4">
        <f>4*(('01_WHOQOL_Items'!W315 + '01_WHOQOL_Items'!X315 + '01_WHOQOL_Items'!Y315)/3)</f>
        <v>10.666666666666666</v>
      </c>
      <c r="N315" s="4">
        <f>4*(('01_WHOQOL_Items'!AW315 + '01_WHOQOL_Items'!AX315 + '01_WHOQOL_Items'!AY315)/3)</f>
        <v>9.3333333333333339</v>
      </c>
      <c r="O315" s="4">
        <f t="shared" si="66"/>
        <v>41.666666666666664</v>
      </c>
      <c r="P315" s="4">
        <f t="shared" si="67"/>
        <v>33.333333333333336</v>
      </c>
      <c r="Q315" s="5">
        <f t="shared" si="68"/>
        <v>-0.1999999999999999</v>
      </c>
      <c r="R315" s="4">
        <f>4*(('01_WHOQOL_Items'!K315 + '01_WHOQOL_Items'!L315 + '01_WHOQOL_Items'!O315 + '01_WHOQOL_Items'!P315 + '01_WHOQOL_Items'!Q315 + '01_WHOQOL_Items'!Z315 + '01_WHOQOL_Items'!AA315 + '01_WHOQOL_Items'!AB315)/8)</f>
        <v>8.5</v>
      </c>
      <c r="S315" s="4">
        <f>4*(('01_WHOQOL_Items'!AK315 + '01_WHOQOL_Items'!AL315 + '01_WHOQOL_Items'!AO315 + '01_WHOQOL_Items'!AP315 + '01_WHOQOL_Items'!AQ315 + '01_WHOQOL_Items'!AZ315 + '01_WHOQOL_Items'!BA315 + '01_WHOQOL_Items'!BB315)/8)</f>
        <v>11</v>
      </c>
      <c r="T315" s="4">
        <f t="shared" si="69"/>
        <v>28.125</v>
      </c>
      <c r="U315" s="4">
        <f t="shared" si="70"/>
        <v>43.75</v>
      </c>
      <c r="V315" s="5">
        <f t="shared" si="71"/>
        <v>0.55555555555555558</v>
      </c>
      <c r="W315" s="4">
        <f t="shared" si="72"/>
        <v>48.102678571428569</v>
      </c>
      <c r="X315" s="4">
        <f t="shared" si="73"/>
        <v>43.080357142857146</v>
      </c>
      <c r="Y315" s="5">
        <f t="shared" si="74"/>
        <v>-0.10440835266821336</v>
      </c>
      <c r="Z315" s="1">
        <f>'01_WHOQOL_Items'!D315</f>
        <v>4</v>
      </c>
      <c r="AA315" s="1">
        <f>'01_WHOQOL_Items'!AD315</f>
        <v>2</v>
      </c>
      <c r="AB315" s="1">
        <f>'01_WHOQOL_Items'!E315</f>
        <v>4</v>
      </c>
      <c r="AC315" s="1">
        <f>'01_WHOQOL_Items'!AE315</f>
        <v>3</v>
      </c>
    </row>
    <row r="316" spans="1:29">
      <c r="A316" s="1" t="str">
        <f>'01_WHOQOL_Items'!A316</f>
        <v>CON-034</v>
      </c>
      <c r="B316" s="1" t="str">
        <f>'01_WHOQOL_Items'!B316</f>
        <v>Control</v>
      </c>
      <c r="C316" s="4">
        <f>4*(((6-'01_WHOQOL_Items'!F316) + (6-'01_WHOQOL_Items'!G316) + '01_WHOQOL_Items'!M316 + '01_WHOQOL_Items'!R316 + '01_WHOQOL_Items'!S316 + '01_WHOQOL_Items'!T316 + '01_WHOQOL_Items'!U316)/7)</f>
        <v>14.857142857142858</v>
      </c>
      <c r="D316" s="4">
        <f>4*(((6-'01_WHOQOL_Items'!AF316) + (6-'01_WHOQOL_Items'!AG316) + '01_WHOQOL_Items'!AM316 + '01_WHOQOL_Items'!AR316 + '01_WHOQOL_Items'!AS316 + '01_WHOQOL_Items'!AT316 + '01_WHOQOL_Items'!AU316)/7)</f>
        <v>12.571428571428571</v>
      </c>
      <c r="E316" s="4">
        <f t="shared" si="60"/>
        <v>67.857142857142861</v>
      </c>
      <c r="F316" s="4">
        <f t="shared" si="61"/>
        <v>53.571428571428569</v>
      </c>
      <c r="G316" s="5">
        <f t="shared" si="62"/>
        <v>-0.21052631578947376</v>
      </c>
      <c r="H316" s="4">
        <f>4*(('01_WHOQOL_Items'!H316 + '01_WHOQOL_Items'!I316 + '01_WHOQOL_Items'!J316 + '01_WHOQOL_Items'!N316 + '01_WHOQOL_Items'!V316 + (6-'01_WHOQOL_Items'!AC316))/6)</f>
        <v>14.666666666666666</v>
      </c>
      <c r="I316" s="4">
        <f>4*(('01_WHOQOL_Items'!AH316 + '01_WHOQOL_Items'!AI316 + '01_WHOQOL_Items'!AJ316 + '01_WHOQOL_Items'!AN316 + '01_WHOQOL_Items'!AV316 + (6-'01_WHOQOL_Items'!BC316))/6)</f>
        <v>14</v>
      </c>
      <c r="J316" s="4">
        <f t="shared" si="63"/>
        <v>66.666666666666657</v>
      </c>
      <c r="K316" s="4">
        <f t="shared" si="64"/>
        <v>62.5</v>
      </c>
      <c r="L316" s="5">
        <f t="shared" si="65"/>
        <v>-6.2499999999999868E-2</v>
      </c>
      <c r="M316" s="4">
        <f>4*(('01_WHOQOL_Items'!W316 + '01_WHOQOL_Items'!X316 + '01_WHOQOL_Items'!Y316)/3)</f>
        <v>10.666666666666666</v>
      </c>
      <c r="N316" s="4">
        <f>4*(('01_WHOQOL_Items'!AW316 + '01_WHOQOL_Items'!AX316 + '01_WHOQOL_Items'!AY316)/3)</f>
        <v>13.333333333333334</v>
      </c>
      <c r="O316" s="4">
        <f t="shared" si="66"/>
        <v>41.666666666666664</v>
      </c>
      <c r="P316" s="4">
        <f t="shared" si="67"/>
        <v>58.333333333333336</v>
      </c>
      <c r="Q316" s="5">
        <f t="shared" si="68"/>
        <v>0.40000000000000013</v>
      </c>
      <c r="R316" s="4">
        <f>4*(('01_WHOQOL_Items'!K316 + '01_WHOQOL_Items'!L316 + '01_WHOQOL_Items'!O316 + '01_WHOQOL_Items'!P316 + '01_WHOQOL_Items'!Q316 + '01_WHOQOL_Items'!Z316 + '01_WHOQOL_Items'!AA316 + '01_WHOQOL_Items'!AB316)/8)</f>
        <v>9.5</v>
      </c>
      <c r="S316" s="4">
        <f>4*(('01_WHOQOL_Items'!AK316 + '01_WHOQOL_Items'!AL316 + '01_WHOQOL_Items'!AO316 + '01_WHOQOL_Items'!AP316 + '01_WHOQOL_Items'!AQ316 + '01_WHOQOL_Items'!AZ316 + '01_WHOQOL_Items'!BA316 + '01_WHOQOL_Items'!BB316)/8)</f>
        <v>10.5</v>
      </c>
      <c r="T316" s="4">
        <f t="shared" si="69"/>
        <v>34.375</v>
      </c>
      <c r="U316" s="4">
        <f t="shared" si="70"/>
        <v>40.625</v>
      </c>
      <c r="V316" s="5">
        <f t="shared" si="71"/>
        <v>0.18181818181818182</v>
      </c>
      <c r="W316" s="4">
        <f t="shared" si="72"/>
        <v>52.641369047619044</v>
      </c>
      <c r="X316" s="4">
        <f t="shared" si="73"/>
        <v>53.757440476190474</v>
      </c>
      <c r="Y316" s="5">
        <f t="shared" si="74"/>
        <v>2.1201413427561877E-2</v>
      </c>
      <c r="Z316" s="1">
        <f>'01_WHOQOL_Items'!D316</f>
        <v>3</v>
      </c>
      <c r="AA316" s="1">
        <f>'01_WHOQOL_Items'!AD316</f>
        <v>3</v>
      </c>
      <c r="AB316" s="1">
        <f>'01_WHOQOL_Items'!E316</f>
        <v>4</v>
      </c>
      <c r="AC316" s="1">
        <f>'01_WHOQOL_Items'!AE316</f>
        <v>3</v>
      </c>
    </row>
    <row r="317" spans="1:29">
      <c r="A317" s="1" t="str">
        <f>'01_WHOQOL_Items'!A317</f>
        <v>CON-035</v>
      </c>
      <c r="B317" s="1" t="str">
        <f>'01_WHOQOL_Items'!B317</f>
        <v>Control</v>
      </c>
      <c r="C317" s="4">
        <f>4*(((6-'01_WHOQOL_Items'!F317) + (6-'01_WHOQOL_Items'!G317) + '01_WHOQOL_Items'!M317 + '01_WHOQOL_Items'!R317 + '01_WHOQOL_Items'!S317 + '01_WHOQOL_Items'!T317 + '01_WHOQOL_Items'!U317)/7)</f>
        <v>11.428571428571429</v>
      </c>
      <c r="D317" s="4">
        <f>4*(((6-'01_WHOQOL_Items'!AF317) + (6-'01_WHOQOL_Items'!AG317) + '01_WHOQOL_Items'!AM317 + '01_WHOQOL_Items'!AR317 + '01_WHOQOL_Items'!AS317 + '01_WHOQOL_Items'!AT317 + '01_WHOQOL_Items'!AU317)/7)</f>
        <v>12</v>
      </c>
      <c r="E317" s="4">
        <f t="shared" si="60"/>
        <v>46.428571428571431</v>
      </c>
      <c r="F317" s="4">
        <f t="shared" si="61"/>
        <v>50</v>
      </c>
      <c r="G317" s="5">
        <f t="shared" si="62"/>
        <v>7.6923076923076872E-2</v>
      </c>
      <c r="H317" s="4">
        <f>4*(('01_WHOQOL_Items'!H317 + '01_WHOQOL_Items'!I317 + '01_WHOQOL_Items'!J317 + '01_WHOQOL_Items'!N317 + '01_WHOQOL_Items'!V317 + (6-'01_WHOQOL_Items'!AC317))/6)</f>
        <v>14</v>
      </c>
      <c r="I317" s="4">
        <f>4*(('01_WHOQOL_Items'!AH317 + '01_WHOQOL_Items'!AI317 + '01_WHOQOL_Items'!AJ317 + '01_WHOQOL_Items'!AN317 + '01_WHOQOL_Items'!AV317 + (6-'01_WHOQOL_Items'!BC317))/6)</f>
        <v>11.333333333333334</v>
      </c>
      <c r="J317" s="4">
        <f t="shared" si="63"/>
        <v>62.5</v>
      </c>
      <c r="K317" s="4">
        <f t="shared" si="64"/>
        <v>45.833333333333336</v>
      </c>
      <c r="L317" s="5">
        <f t="shared" si="65"/>
        <v>-0.26666666666666661</v>
      </c>
      <c r="M317" s="4">
        <f>4*(('01_WHOQOL_Items'!W317 + '01_WHOQOL_Items'!X317 + '01_WHOQOL_Items'!Y317)/3)</f>
        <v>9.3333333333333339</v>
      </c>
      <c r="N317" s="4">
        <f>4*(('01_WHOQOL_Items'!AW317 + '01_WHOQOL_Items'!AX317 + '01_WHOQOL_Items'!AY317)/3)</f>
        <v>9.3333333333333339</v>
      </c>
      <c r="O317" s="4">
        <f t="shared" si="66"/>
        <v>33.333333333333336</v>
      </c>
      <c r="P317" s="4">
        <f t="shared" si="67"/>
        <v>33.333333333333336</v>
      </c>
      <c r="Q317" s="5">
        <f t="shared" si="68"/>
        <v>0</v>
      </c>
      <c r="R317" s="4">
        <f>4*(('01_WHOQOL_Items'!K317 + '01_WHOQOL_Items'!L317 + '01_WHOQOL_Items'!O317 + '01_WHOQOL_Items'!P317 + '01_WHOQOL_Items'!Q317 + '01_WHOQOL_Items'!Z317 + '01_WHOQOL_Items'!AA317 + '01_WHOQOL_Items'!AB317)/8)</f>
        <v>13.5</v>
      </c>
      <c r="S317" s="4">
        <f>4*(('01_WHOQOL_Items'!AK317 + '01_WHOQOL_Items'!AL317 + '01_WHOQOL_Items'!AO317 + '01_WHOQOL_Items'!AP317 + '01_WHOQOL_Items'!AQ317 + '01_WHOQOL_Items'!AZ317 + '01_WHOQOL_Items'!BA317 + '01_WHOQOL_Items'!BB317)/8)</f>
        <v>13</v>
      </c>
      <c r="T317" s="4">
        <f t="shared" si="69"/>
        <v>59.375</v>
      </c>
      <c r="U317" s="4">
        <f t="shared" si="70"/>
        <v>56.25</v>
      </c>
      <c r="V317" s="5">
        <f t="shared" si="71"/>
        <v>-5.2631578947368418E-2</v>
      </c>
      <c r="W317" s="4">
        <f t="shared" si="72"/>
        <v>50.40922619047619</v>
      </c>
      <c r="X317" s="4">
        <f t="shared" si="73"/>
        <v>46.354166666666671</v>
      </c>
      <c r="Y317" s="5">
        <f t="shared" si="74"/>
        <v>-8.0442804428044176E-2</v>
      </c>
      <c r="Z317" s="1">
        <f>'01_WHOQOL_Items'!D317</f>
        <v>3</v>
      </c>
      <c r="AA317" s="1">
        <f>'01_WHOQOL_Items'!AD317</f>
        <v>4</v>
      </c>
      <c r="AB317" s="1">
        <f>'01_WHOQOL_Items'!E317</f>
        <v>3</v>
      </c>
      <c r="AC317" s="1">
        <f>'01_WHOQOL_Items'!AE317</f>
        <v>3</v>
      </c>
    </row>
    <row r="318" spans="1:29">
      <c r="A318" s="1" t="str">
        <f>'01_WHOQOL_Items'!A318</f>
        <v>CON-036</v>
      </c>
      <c r="B318" s="1" t="str">
        <f>'01_WHOQOL_Items'!B318</f>
        <v>Control</v>
      </c>
      <c r="C318" s="4">
        <f>4*(((6-'01_WHOQOL_Items'!F318) + (6-'01_WHOQOL_Items'!G318) + '01_WHOQOL_Items'!M318 + '01_WHOQOL_Items'!R318 + '01_WHOQOL_Items'!S318 + '01_WHOQOL_Items'!T318 + '01_WHOQOL_Items'!U318)/7)</f>
        <v>15.428571428571429</v>
      </c>
      <c r="D318" s="4">
        <f>4*(((6-'01_WHOQOL_Items'!AF318) + (6-'01_WHOQOL_Items'!AG318) + '01_WHOQOL_Items'!AM318 + '01_WHOQOL_Items'!AR318 + '01_WHOQOL_Items'!AS318 + '01_WHOQOL_Items'!AT318 + '01_WHOQOL_Items'!AU318)/7)</f>
        <v>13.142857142857142</v>
      </c>
      <c r="E318" s="4">
        <f t="shared" si="60"/>
        <v>71.428571428571431</v>
      </c>
      <c r="F318" s="4">
        <f t="shared" si="61"/>
        <v>57.142857142857139</v>
      </c>
      <c r="G318" s="5">
        <f t="shared" si="62"/>
        <v>-0.20000000000000007</v>
      </c>
      <c r="H318" s="4">
        <f>4*(('01_WHOQOL_Items'!H318 + '01_WHOQOL_Items'!I318 + '01_WHOQOL_Items'!J318 + '01_WHOQOL_Items'!N318 + '01_WHOQOL_Items'!V318 + (6-'01_WHOQOL_Items'!AC318))/6)</f>
        <v>14</v>
      </c>
      <c r="I318" s="4">
        <f>4*(('01_WHOQOL_Items'!AH318 + '01_WHOQOL_Items'!AI318 + '01_WHOQOL_Items'!AJ318 + '01_WHOQOL_Items'!AN318 + '01_WHOQOL_Items'!AV318 + (6-'01_WHOQOL_Items'!BC318))/6)</f>
        <v>14</v>
      </c>
      <c r="J318" s="4">
        <f t="shared" si="63"/>
        <v>62.5</v>
      </c>
      <c r="K318" s="4">
        <f t="shared" si="64"/>
        <v>62.5</v>
      </c>
      <c r="L318" s="5">
        <f t="shared" si="65"/>
        <v>0</v>
      </c>
      <c r="M318" s="4">
        <f>4*(('01_WHOQOL_Items'!W318 + '01_WHOQOL_Items'!X318 + '01_WHOQOL_Items'!Y318)/3)</f>
        <v>10.666666666666666</v>
      </c>
      <c r="N318" s="4">
        <f>4*(('01_WHOQOL_Items'!AW318 + '01_WHOQOL_Items'!AX318 + '01_WHOQOL_Items'!AY318)/3)</f>
        <v>10.666666666666666</v>
      </c>
      <c r="O318" s="4">
        <f t="shared" si="66"/>
        <v>41.666666666666664</v>
      </c>
      <c r="P318" s="4">
        <f t="shared" si="67"/>
        <v>41.666666666666664</v>
      </c>
      <c r="Q318" s="5">
        <f t="shared" si="68"/>
        <v>0</v>
      </c>
      <c r="R318" s="4">
        <f>4*(('01_WHOQOL_Items'!K318 + '01_WHOQOL_Items'!L318 + '01_WHOQOL_Items'!O318 + '01_WHOQOL_Items'!P318 + '01_WHOQOL_Items'!Q318 + '01_WHOQOL_Items'!Z318 + '01_WHOQOL_Items'!AA318 + '01_WHOQOL_Items'!AB318)/8)</f>
        <v>9</v>
      </c>
      <c r="S318" s="4">
        <f>4*(('01_WHOQOL_Items'!AK318 + '01_WHOQOL_Items'!AL318 + '01_WHOQOL_Items'!AO318 + '01_WHOQOL_Items'!AP318 + '01_WHOQOL_Items'!AQ318 + '01_WHOQOL_Items'!AZ318 + '01_WHOQOL_Items'!BA318 + '01_WHOQOL_Items'!BB318)/8)</f>
        <v>10</v>
      </c>
      <c r="T318" s="4">
        <f t="shared" si="69"/>
        <v>31.25</v>
      </c>
      <c r="U318" s="4">
        <f t="shared" si="70"/>
        <v>37.5</v>
      </c>
      <c r="V318" s="5">
        <f t="shared" si="71"/>
        <v>0.2</v>
      </c>
      <c r="W318" s="4">
        <f t="shared" si="72"/>
        <v>51.711309523809526</v>
      </c>
      <c r="X318" s="4">
        <f t="shared" si="73"/>
        <v>49.702380952380949</v>
      </c>
      <c r="Y318" s="5">
        <f t="shared" si="74"/>
        <v>-3.8848920863309447E-2</v>
      </c>
      <c r="Z318" s="1">
        <f>'01_WHOQOL_Items'!D318</f>
        <v>2</v>
      </c>
      <c r="AA318" s="1">
        <f>'01_WHOQOL_Items'!AD318</f>
        <v>4</v>
      </c>
      <c r="AB318" s="1">
        <f>'01_WHOQOL_Items'!E318</f>
        <v>4</v>
      </c>
      <c r="AC318" s="1">
        <f>'01_WHOQOL_Items'!AE318</f>
        <v>3</v>
      </c>
    </row>
    <row r="319" spans="1:29">
      <c r="A319" s="1" t="str">
        <f>'01_WHOQOL_Items'!A319</f>
        <v>CON-037</v>
      </c>
      <c r="B319" s="1" t="str">
        <f>'01_WHOQOL_Items'!B319</f>
        <v>Control</v>
      </c>
      <c r="C319" s="4">
        <f>4*(((6-'01_WHOQOL_Items'!F319) + (6-'01_WHOQOL_Items'!G319) + '01_WHOQOL_Items'!M319 + '01_WHOQOL_Items'!R319 + '01_WHOQOL_Items'!S319 + '01_WHOQOL_Items'!T319 + '01_WHOQOL_Items'!U319)/7)</f>
        <v>10.857142857142858</v>
      </c>
      <c r="D319" s="4">
        <f>4*(((6-'01_WHOQOL_Items'!AF319) + (6-'01_WHOQOL_Items'!AG319) + '01_WHOQOL_Items'!AM319 + '01_WHOQOL_Items'!AR319 + '01_WHOQOL_Items'!AS319 + '01_WHOQOL_Items'!AT319 + '01_WHOQOL_Items'!AU319)/7)</f>
        <v>10.857142857142858</v>
      </c>
      <c r="E319" s="4">
        <f t="shared" si="60"/>
        <v>42.857142857142861</v>
      </c>
      <c r="F319" s="4">
        <f t="shared" si="61"/>
        <v>42.857142857142861</v>
      </c>
      <c r="G319" s="5">
        <f t="shared" si="62"/>
        <v>0</v>
      </c>
      <c r="H319" s="4">
        <f>4*(('01_WHOQOL_Items'!H319 + '01_WHOQOL_Items'!I319 + '01_WHOQOL_Items'!J319 + '01_WHOQOL_Items'!N319 + '01_WHOQOL_Items'!V319 + (6-'01_WHOQOL_Items'!AC319))/6)</f>
        <v>10.666666666666666</v>
      </c>
      <c r="I319" s="4">
        <f>4*(('01_WHOQOL_Items'!AH319 + '01_WHOQOL_Items'!AI319 + '01_WHOQOL_Items'!AJ319 + '01_WHOQOL_Items'!AN319 + '01_WHOQOL_Items'!AV319 + (6-'01_WHOQOL_Items'!BC319))/6)</f>
        <v>11.333333333333334</v>
      </c>
      <c r="J319" s="4">
        <f t="shared" si="63"/>
        <v>41.666666666666664</v>
      </c>
      <c r="K319" s="4">
        <f t="shared" si="64"/>
        <v>45.833333333333336</v>
      </c>
      <c r="L319" s="5">
        <f t="shared" si="65"/>
        <v>0.10000000000000012</v>
      </c>
      <c r="M319" s="4">
        <f>4*(('01_WHOQOL_Items'!W319 + '01_WHOQOL_Items'!X319 + '01_WHOQOL_Items'!Y319)/3)</f>
        <v>6.666666666666667</v>
      </c>
      <c r="N319" s="4">
        <f>4*(('01_WHOQOL_Items'!AW319 + '01_WHOQOL_Items'!AX319 + '01_WHOQOL_Items'!AY319)/3)</f>
        <v>8</v>
      </c>
      <c r="O319" s="4">
        <f t="shared" si="66"/>
        <v>16.666666666666668</v>
      </c>
      <c r="P319" s="4">
        <f t="shared" si="67"/>
        <v>25</v>
      </c>
      <c r="Q319" s="5">
        <f t="shared" si="68"/>
        <v>0.49999999999999989</v>
      </c>
      <c r="R319" s="4">
        <f>4*(('01_WHOQOL_Items'!K319 + '01_WHOQOL_Items'!L319 + '01_WHOQOL_Items'!O319 + '01_WHOQOL_Items'!P319 + '01_WHOQOL_Items'!Q319 + '01_WHOQOL_Items'!Z319 + '01_WHOQOL_Items'!AA319 + '01_WHOQOL_Items'!AB319)/8)</f>
        <v>8</v>
      </c>
      <c r="S319" s="4">
        <f>4*(('01_WHOQOL_Items'!AK319 + '01_WHOQOL_Items'!AL319 + '01_WHOQOL_Items'!AO319 + '01_WHOQOL_Items'!AP319 + '01_WHOQOL_Items'!AQ319 + '01_WHOQOL_Items'!AZ319 + '01_WHOQOL_Items'!BA319 + '01_WHOQOL_Items'!BB319)/8)</f>
        <v>10</v>
      </c>
      <c r="T319" s="4">
        <f t="shared" si="69"/>
        <v>25</v>
      </c>
      <c r="U319" s="4">
        <f t="shared" si="70"/>
        <v>37.5</v>
      </c>
      <c r="V319" s="5">
        <f t="shared" si="71"/>
        <v>0.5</v>
      </c>
      <c r="W319" s="4">
        <f t="shared" si="72"/>
        <v>31.547619047619047</v>
      </c>
      <c r="X319" s="4">
        <f t="shared" si="73"/>
        <v>37.797619047619051</v>
      </c>
      <c r="Y319" s="5">
        <f t="shared" si="74"/>
        <v>0.19811320754716993</v>
      </c>
      <c r="Z319" s="1">
        <f>'01_WHOQOL_Items'!D319</f>
        <v>2</v>
      </c>
      <c r="AA319" s="1">
        <f>'01_WHOQOL_Items'!AD319</f>
        <v>2</v>
      </c>
      <c r="AB319" s="1">
        <f>'01_WHOQOL_Items'!E319</f>
        <v>3</v>
      </c>
      <c r="AC319" s="1">
        <f>'01_WHOQOL_Items'!AE319</f>
        <v>2</v>
      </c>
    </row>
    <row r="320" spans="1:29">
      <c r="A320" s="1" t="str">
        <f>'01_WHOQOL_Items'!A320</f>
        <v>CON-038</v>
      </c>
      <c r="B320" s="1" t="str">
        <f>'01_WHOQOL_Items'!B320</f>
        <v>Control</v>
      </c>
      <c r="C320" s="4">
        <f>4*(((6-'01_WHOQOL_Items'!F320) + (6-'01_WHOQOL_Items'!G320) + '01_WHOQOL_Items'!M320 + '01_WHOQOL_Items'!R320 + '01_WHOQOL_Items'!S320 + '01_WHOQOL_Items'!T320 + '01_WHOQOL_Items'!U320)/7)</f>
        <v>14.285714285714286</v>
      </c>
      <c r="D320" s="4">
        <f>4*(((6-'01_WHOQOL_Items'!AF320) + (6-'01_WHOQOL_Items'!AG320) + '01_WHOQOL_Items'!AM320 + '01_WHOQOL_Items'!AR320 + '01_WHOQOL_Items'!AS320 + '01_WHOQOL_Items'!AT320 + '01_WHOQOL_Items'!AU320)/7)</f>
        <v>14.285714285714286</v>
      </c>
      <c r="E320" s="4">
        <f t="shared" si="60"/>
        <v>64.285714285714292</v>
      </c>
      <c r="F320" s="4">
        <f t="shared" si="61"/>
        <v>64.285714285714292</v>
      </c>
      <c r="G320" s="5">
        <f t="shared" si="62"/>
        <v>0</v>
      </c>
      <c r="H320" s="4">
        <f>4*(('01_WHOQOL_Items'!H320 + '01_WHOQOL_Items'!I320 + '01_WHOQOL_Items'!J320 + '01_WHOQOL_Items'!N320 + '01_WHOQOL_Items'!V320 + (6-'01_WHOQOL_Items'!AC320))/6)</f>
        <v>8.6666666666666661</v>
      </c>
      <c r="I320" s="4">
        <f>4*(('01_WHOQOL_Items'!AH320 + '01_WHOQOL_Items'!AI320 + '01_WHOQOL_Items'!AJ320 + '01_WHOQOL_Items'!AN320 + '01_WHOQOL_Items'!AV320 + (6-'01_WHOQOL_Items'!BC320))/6)</f>
        <v>9.3333333333333339</v>
      </c>
      <c r="J320" s="4">
        <f t="shared" si="63"/>
        <v>29.166666666666664</v>
      </c>
      <c r="K320" s="4">
        <f t="shared" si="64"/>
        <v>33.333333333333336</v>
      </c>
      <c r="L320" s="5">
        <f t="shared" si="65"/>
        <v>0.14285714285714304</v>
      </c>
      <c r="M320" s="4">
        <f>4*(('01_WHOQOL_Items'!W320 + '01_WHOQOL_Items'!X320 + '01_WHOQOL_Items'!Y320)/3)</f>
        <v>9.3333333333333339</v>
      </c>
      <c r="N320" s="4">
        <f>4*(('01_WHOQOL_Items'!AW320 + '01_WHOQOL_Items'!AX320 + '01_WHOQOL_Items'!AY320)/3)</f>
        <v>9.3333333333333339</v>
      </c>
      <c r="O320" s="4">
        <f t="shared" si="66"/>
        <v>33.333333333333336</v>
      </c>
      <c r="P320" s="4">
        <f t="shared" si="67"/>
        <v>33.333333333333336</v>
      </c>
      <c r="Q320" s="5">
        <f t="shared" si="68"/>
        <v>0</v>
      </c>
      <c r="R320" s="4">
        <f>4*(('01_WHOQOL_Items'!K320 + '01_WHOQOL_Items'!L320 + '01_WHOQOL_Items'!O320 + '01_WHOQOL_Items'!P320 + '01_WHOQOL_Items'!Q320 + '01_WHOQOL_Items'!Z320 + '01_WHOQOL_Items'!AA320 + '01_WHOQOL_Items'!AB320)/8)</f>
        <v>13</v>
      </c>
      <c r="S320" s="4">
        <f>4*(('01_WHOQOL_Items'!AK320 + '01_WHOQOL_Items'!AL320 + '01_WHOQOL_Items'!AO320 + '01_WHOQOL_Items'!AP320 + '01_WHOQOL_Items'!AQ320 + '01_WHOQOL_Items'!AZ320 + '01_WHOQOL_Items'!BA320 + '01_WHOQOL_Items'!BB320)/8)</f>
        <v>13</v>
      </c>
      <c r="T320" s="4">
        <f t="shared" si="69"/>
        <v>56.25</v>
      </c>
      <c r="U320" s="4">
        <f t="shared" si="70"/>
        <v>56.25</v>
      </c>
      <c r="V320" s="5">
        <f t="shared" si="71"/>
        <v>0</v>
      </c>
      <c r="W320" s="4">
        <f t="shared" si="72"/>
        <v>45.758928571428577</v>
      </c>
      <c r="X320" s="4">
        <f t="shared" si="73"/>
        <v>46.800595238095241</v>
      </c>
      <c r="Y320" s="5">
        <f t="shared" si="74"/>
        <v>2.2764227642276369E-2</v>
      </c>
      <c r="Z320" s="1">
        <f>'01_WHOQOL_Items'!D320</f>
        <v>3</v>
      </c>
      <c r="AA320" s="1">
        <f>'01_WHOQOL_Items'!AD320</f>
        <v>2</v>
      </c>
      <c r="AB320" s="1">
        <f>'01_WHOQOL_Items'!E320</f>
        <v>4</v>
      </c>
      <c r="AC320" s="1">
        <f>'01_WHOQOL_Items'!AE320</f>
        <v>3</v>
      </c>
    </row>
    <row r="321" spans="1:29">
      <c r="A321" s="1" t="str">
        <f>'01_WHOQOL_Items'!A321</f>
        <v>CON-039</v>
      </c>
      <c r="B321" s="1" t="str">
        <f>'01_WHOQOL_Items'!B321</f>
        <v>Control</v>
      </c>
      <c r="C321" s="4">
        <f>4*(((6-'01_WHOQOL_Items'!F321) + (6-'01_WHOQOL_Items'!G321) + '01_WHOQOL_Items'!M321 + '01_WHOQOL_Items'!R321 + '01_WHOQOL_Items'!S321 + '01_WHOQOL_Items'!T321 + '01_WHOQOL_Items'!U321)/7)</f>
        <v>13.142857142857142</v>
      </c>
      <c r="D321" s="4">
        <f>4*(((6-'01_WHOQOL_Items'!AF321) + (6-'01_WHOQOL_Items'!AG321) + '01_WHOQOL_Items'!AM321 + '01_WHOQOL_Items'!AR321 + '01_WHOQOL_Items'!AS321 + '01_WHOQOL_Items'!AT321 + '01_WHOQOL_Items'!AU321)/7)</f>
        <v>12.571428571428571</v>
      </c>
      <c r="E321" s="4">
        <f t="shared" si="60"/>
        <v>57.142857142857139</v>
      </c>
      <c r="F321" s="4">
        <f t="shared" si="61"/>
        <v>53.571428571428569</v>
      </c>
      <c r="G321" s="5">
        <f t="shared" si="62"/>
        <v>-6.2499999999999972E-2</v>
      </c>
      <c r="H321" s="4">
        <f>4*(('01_WHOQOL_Items'!H321 + '01_WHOQOL_Items'!I321 + '01_WHOQOL_Items'!J321 + '01_WHOQOL_Items'!N321 + '01_WHOQOL_Items'!V321 + (6-'01_WHOQOL_Items'!AC321))/6)</f>
        <v>14</v>
      </c>
      <c r="I321" s="4">
        <f>4*(('01_WHOQOL_Items'!AH321 + '01_WHOQOL_Items'!AI321 + '01_WHOQOL_Items'!AJ321 + '01_WHOQOL_Items'!AN321 + '01_WHOQOL_Items'!AV321 + (6-'01_WHOQOL_Items'!BC321))/6)</f>
        <v>11.333333333333334</v>
      </c>
      <c r="J321" s="4">
        <f t="shared" si="63"/>
        <v>62.5</v>
      </c>
      <c r="K321" s="4">
        <f t="shared" si="64"/>
        <v>45.833333333333336</v>
      </c>
      <c r="L321" s="5">
        <f t="shared" si="65"/>
        <v>-0.26666666666666661</v>
      </c>
      <c r="M321" s="4">
        <f>4*(('01_WHOQOL_Items'!W321 + '01_WHOQOL_Items'!X321 + '01_WHOQOL_Items'!Y321)/3)</f>
        <v>8</v>
      </c>
      <c r="N321" s="4">
        <f>4*(('01_WHOQOL_Items'!AW321 + '01_WHOQOL_Items'!AX321 + '01_WHOQOL_Items'!AY321)/3)</f>
        <v>10.666666666666666</v>
      </c>
      <c r="O321" s="4">
        <f t="shared" si="66"/>
        <v>25</v>
      </c>
      <c r="P321" s="4">
        <f t="shared" si="67"/>
        <v>41.666666666666664</v>
      </c>
      <c r="Q321" s="5">
        <f t="shared" si="68"/>
        <v>0.66666666666666652</v>
      </c>
      <c r="R321" s="4">
        <f>4*(('01_WHOQOL_Items'!K321 + '01_WHOQOL_Items'!L321 + '01_WHOQOL_Items'!O321 + '01_WHOQOL_Items'!P321 + '01_WHOQOL_Items'!Q321 + '01_WHOQOL_Items'!Z321 + '01_WHOQOL_Items'!AA321 + '01_WHOQOL_Items'!AB321)/8)</f>
        <v>12</v>
      </c>
      <c r="S321" s="4">
        <f>4*(('01_WHOQOL_Items'!AK321 + '01_WHOQOL_Items'!AL321 + '01_WHOQOL_Items'!AO321 + '01_WHOQOL_Items'!AP321 + '01_WHOQOL_Items'!AQ321 + '01_WHOQOL_Items'!AZ321 + '01_WHOQOL_Items'!BA321 + '01_WHOQOL_Items'!BB321)/8)</f>
        <v>12</v>
      </c>
      <c r="T321" s="4">
        <f t="shared" si="69"/>
        <v>50</v>
      </c>
      <c r="U321" s="4">
        <f t="shared" si="70"/>
        <v>50</v>
      </c>
      <c r="V321" s="5">
        <f t="shared" si="71"/>
        <v>0</v>
      </c>
      <c r="W321" s="4">
        <f t="shared" si="72"/>
        <v>48.660714285714285</v>
      </c>
      <c r="X321" s="4">
        <f t="shared" si="73"/>
        <v>47.767857142857139</v>
      </c>
      <c r="Y321" s="5">
        <f t="shared" si="74"/>
        <v>-1.8348623853211073E-2</v>
      </c>
      <c r="Z321" s="1">
        <f>'01_WHOQOL_Items'!D321</f>
        <v>3</v>
      </c>
      <c r="AA321" s="1">
        <f>'01_WHOQOL_Items'!AD321</f>
        <v>3</v>
      </c>
      <c r="AB321" s="1">
        <f>'01_WHOQOL_Items'!E321</f>
        <v>3</v>
      </c>
      <c r="AC321" s="1">
        <f>'01_WHOQOL_Items'!AE321</f>
        <v>2</v>
      </c>
    </row>
    <row r="322" spans="1:29">
      <c r="A322" s="1" t="str">
        <f>'01_WHOQOL_Items'!A322</f>
        <v>CON-040</v>
      </c>
      <c r="B322" s="1" t="str">
        <f>'01_WHOQOL_Items'!B322</f>
        <v>Control</v>
      </c>
      <c r="C322" s="4">
        <f>4*(((6-'01_WHOQOL_Items'!F322) + (6-'01_WHOQOL_Items'!G322) + '01_WHOQOL_Items'!M322 + '01_WHOQOL_Items'!R322 + '01_WHOQOL_Items'!S322 + '01_WHOQOL_Items'!T322 + '01_WHOQOL_Items'!U322)/7)</f>
        <v>11.428571428571429</v>
      </c>
      <c r="D322" s="4">
        <f>4*(((6-'01_WHOQOL_Items'!AF322) + (6-'01_WHOQOL_Items'!AG322) + '01_WHOQOL_Items'!AM322 + '01_WHOQOL_Items'!AR322 + '01_WHOQOL_Items'!AS322 + '01_WHOQOL_Items'!AT322 + '01_WHOQOL_Items'!AU322)/7)</f>
        <v>9.1428571428571423</v>
      </c>
      <c r="E322" s="4">
        <f t="shared" ref="E322:E385" si="75">(C322-4)*100/16</f>
        <v>46.428571428571431</v>
      </c>
      <c r="F322" s="4">
        <f t="shared" ref="F322:F385" si="76">(D322-4)*100/16</f>
        <v>32.142857142857139</v>
      </c>
      <c r="G322" s="5">
        <f t="shared" ref="G322:G385" si="77">IFERROR((F322-E322)/E322,"")</f>
        <v>-0.30769230769230782</v>
      </c>
      <c r="H322" s="4">
        <f>4*(('01_WHOQOL_Items'!H322 + '01_WHOQOL_Items'!I322 + '01_WHOQOL_Items'!J322 + '01_WHOQOL_Items'!N322 + '01_WHOQOL_Items'!V322 + (6-'01_WHOQOL_Items'!AC322))/6)</f>
        <v>11.333333333333334</v>
      </c>
      <c r="I322" s="4">
        <f>4*(('01_WHOQOL_Items'!AH322 + '01_WHOQOL_Items'!AI322 + '01_WHOQOL_Items'!AJ322 + '01_WHOQOL_Items'!AN322 + '01_WHOQOL_Items'!AV322 + (6-'01_WHOQOL_Items'!BC322))/6)</f>
        <v>10.666666666666666</v>
      </c>
      <c r="J322" s="4">
        <f t="shared" ref="J322:J385" si="78">(H322-4)*100/16</f>
        <v>45.833333333333336</v>
      </c>
      <c r="K322" s="4">
        <f t="shared" ref="K322:K385" si="79">(I322-4)*100/16</f>
        <v>41.666666666666664</v>
      </c>
      <c r="L322" s="5">
        <f t="shared" ref="L322:L385" si="80">IFERROR((K322-J322)/J322,"")</f>
        <v>-9.0909090909091009E-2</v>
      </c>
      <c r="M322" s="4">
        <f>4*(('01_WHOQOL_Items'!W322 + '01_WHOQOL_Items'!X322 + '01_WHOQOL_Items'!Y322)/3)</f>
        <v>10.666666666666666</v>
      </c>
      <c r="N322" s="4">
        <f>4*(('01_WHOQOL_Items'!AW322 + '01_WHOQOL_Items'!AX322 + '01_WHOQOL_Items'!AY322)/3)</f>
        <v>12</v>
      </c>
      <c r="O322" s="4">
        <f t="shared" ref="O322:O385" si="81">(M322-4)*100/16</f>
        <v>41.666666666666664</v>
      </c>
      <c r="P322" s="4">
        <f t="shared" ref="P322:P385" si="82">(N322-4)*100/16</f>
        <v>50</v>
      </c>
      <c r="Q322" s="5">
        <f t="shared" ref="Q322:Q385" si="83">IFERROR((P322-O322)/O322,"")</f>
        <v>0.20000000000000007</v>
      </c>
      <c r="R322" s="4">
        <f>4*(('01_WHOQOL_Items'!K322 + '01_WHOQOL_Items'!L322 + '01_WHOQOL_Items'!O322 + '01_WHOQOL_Items'!P322 + '01_WHOQOL_Items'!Q322 + '01_WHOQOL_Items'!Z322 + '01_WHOQOL_Items'!AA322 + '01_WHOQOL_Items'!AB322)/8)</f>
        <v>10.5</v>
      </c>
      <c r="S322" s="4">
        <f>4*(('01_WHOQOL_Items'!AK322 + '01_WHOQOL_Items'!AL322 + '01_WHOQOL_Items'!AO322 + '01_WHOQOL_Items'!AP322 + '01_WHOQOL_Items'!AQ322 + '01_WHOQOL_Items'!AZ322 + '01_WHOQOL_Items'!BA322 + '01_WHOQOL_Items'!BB322)/8)</f>
        <v>10.5</v>
      </c>
      <c r="T322" s="4">
        <f t="shared" ref="T322:T385" si="84">(R322-4)*100/16</f>
        <v>40.625</v>
      </c>
      <c r="U322" s="4">
        <f t="shared" ref="U322:U385" si="85">(S322-4)*100/16</f>
        <v>40.625</v>
      </c>
      <c r="V322" s="5">
        <f t="shared" ref="V322:V385" si="86">IFERROR((U322-T322)/T322,"")</f>
        <v>0</v>
      </c>
      <c r="W322" s="4">
        <f t="shared" ref="W322:W385" si="87">AVERAGE(E322,J322,O322,T322)</f>
        <v>43.638392857142854</v>
      </c>
      <c r="X322" s="4">
        <f t="shared" ref="X322:X385" si="88">AVERAGE(F322,K322,P322,U322)</f>
        <v>41.108630952380949</v>
      </c>
      <c r="Y322" s="5">
        <f t="shared" ref="Y322:Y385" si="89">IFERROR((X322-W322)/W322,"")</f>
        <v>-5.7971014492753638E-2</v>
      </c>
      <c r="Z322" s="1">
        <f>'01_WHOQOL_Items'!D322</f>
        <v>3</v>
      </c>
      <c r="AA322" s="1">
        <f>'01_WHOQOL_Items'!AD322</f>
        <v>3</v>
      </c>
      <c r="AB322" s="1">
        <f>'01_WHOQOL_Items'!E322</f>
        <v>2</v>
      </c>
      <c r="AC322" s="1">
        <f>'01_WHOQOL_Items'!AE322</f>
        <v>3</v>
      </c>
    </row>
    <row r="323" spans="1:29">
      <c r="A323" s="1" t="str">
        <f>'01_WHOQOL_Items'!A323</f>
        <v>CON-041</v>
      </c>
      <c r="B323" s="1" t="str">
        <f>'01_WHOQOL_Items'!B323</f>
        <v>Control</v>
      </c>
      <c r="C323" s="4">
        <f>4*(((6-'01_WHOQOL_Items'!F323) + (6-'01_WHOQOL_Items'!G323) + '01_WHOQOL_Items'!M323 + '01_WHOQOL_Items'!R323 + '01_WHOQOL_Items'!S323 + '01_WHOQOL_Items'!T323 + '01_WHOQOL_Items'!U323)/7)</f>
        <v>10.857142857142858</v>
      </c>
      <c r="D323" s="4">
        <f>4*(((6-'01_WHOQOL_Items'!AF323) + (6-'01_WHOQOL_Items'!AG323) + '01_WHOQOL_Items'!AM323 + '01_WHOQOL_Items'!AR323 + '01_WHOQOL_Items'!AS323 + '01_WHOQOL_Items'!AT323 + '01_WHOQOL_Items'!AU323)/7)</f>
        <v>12</v>
      </c>
      <c r="E323" s="4">
        <f t="shared" si="75"/>
        <v>42.857142857142861</v>
      </c>
      <c r="F323" s="4">
        <f t="shared" si="76"/>
        <v>50</v>
      </c>
      <c r="G323" s="5">
        <f t="shared" si="77"/>
        <v>0.16666666666666655</v>
      </c>
      <c r="H323" s="4">
        <f>4*(('01_WHOQOL_Items'!H323 + '01_WHOQOL_Items'!I323 + '01_WHOQOL_Items'!J323 + '01_WHOQOL_Items'!N323 + '01_WHOQOL_Items'!V323 + (6-'01_WHOQOL_Items'!AC323))/6)</f>
        <v>12</v>
      </c>
      <c r="I323" s="4">
        <f>4*(('01_WHOQOL_Items'!AH323 + '01_WHOQOL_Items'!AI323 + '01_WHOQOL_Items'!AJ323 + '01_WHOQOL_Items'!AN323 + '01_WHOQOL_Items'!AV323 + (6-'01_WHOQOL_Items'!BC323))/6)</f>
        <v>11.333333333333334</v>
      </c>
      <c r="J323" s="4">
        <f t="shared" si="78"/>
        <v>50</v>
      </c>
      <c r="K323" s="4">
        <f t="shared" si="79"/>
        <v>45.833333333333336</v>
      </c>
      <c r="L323" s="5">
        <f t="shared" si="80"/>
        <v>-8.3333333333333287E-2</v>
      </c>
      <c r="M323" s="4">
        <f>4*(('01_WHOQOL_Items'!W323 + '01_WHOQOL_Items'!X323 + '01_WHOQOL_Items'!Y323)/3)</f>
        <v>9.3333333333333339</v>
      </c>
      <c r="N323" s="4">
        <f>4*(('01_WHOQOL_Items'!AW323 + '01_WHOQOL_Items'!AX323 + '01_WHOQOL_Items'!AY323)/3)</f>
        <v>10.666666666666666</v>
      </c>
      <c r="O323" s="4">
        <f t="shared" si="81"/>
        <v>33.333333333333336</v>
      </c>
      <c r="P323" s="4">
        <f t="shared" si="82"/>
        <v>41.666666666666664</v>
      </c>
      <c r="Q323" s="5">
        <f t="shared" si="83"/>
        <v>0.24999999999999983</v>
      </c>
      <c r="R323" s="4">
        <f>4*(('01_WHOQOL_Items'!K323 + '01_WHOQOL_Items'!L323 + '01_WHOQOL_Items'!O323 + '01_WHOQOL_Items'!P323 + '01_WHOQOL_Items'!Q323 + '01_WHOQOL_Items'!Z323 + '01_WHOQOL_Items'!AA323 + '01_WHOQOL_Items'!AB323)/8)</f>
        <v>11.5</v>
      </c>
      <c r="S323" s="4">
        <f>4*(('01_WHOQOL_Items'!AK323 + '01_WHOQOL_Items'!AL323 + '01_WHOQOL_Items'!AO323 + '01_WHOQOL_Items'!AP323 + '01_WHOQOL_Items'!AQ323 + '01_WHOQOL_Items'!AZ323 + '01_WHOQOL_Items'!BA323 + '01_WHOQOL_Items'!BB323)/8)</f>
        <v>13</v>
      </c>
      <c r="T323" s="4">
        <f t="shared" si="84"/>
        <v>46.875</v>
      </c>
      <c r="U323" s="4">
        <f t="shared" si="85"/>
        <v>56.25</v>
      </c>
      <c r="V323" s="5">
        <f t="shared" si="86"/>
        <v>0.2</v>
      </c>
      <c r="W323" s="4">
        <f t="shared" si="87"/>
        <v>43.266369047619051</v>
      </c>
      <c r="X323" s="4">
        <f t="shared" si="88"/>
        <v>48.4375</v>
      </c>
      <c r="Y323" s="5">
        <f t="shared" si="89"/>
        <v>0.11951848667239888</v>
      </c>
      <c r="Z323" s="1">
        <f>'01_WHOQOL_Items'!D323</f>
        <v>3</v>
      </c>
      <c r="AA323" s="1">
        <f>'01_WHOQOL_Items'!AD323</f>
        <v>3</v>
      </c>
      <c r="AB323" s="1">
        <f>'01_WHOQOL_Items'!E323</f>
        <v>2</v>
      </c>
      <c r="AC323" s="1">
        <f>'01_WHOQOL_Items'!AE323</f>
        <v>3</v>
      </c>
    </row>
    <row r="324" spans="1:29">
      <c r="A324" s="1" t="str">
        <f>'01_WHOQOL_Items'!A324</f>
        <v>CON-042</v>
      </c>
      <c r="B324" s="1" t="str">
        <f>'01_WHOQOL_Items'!B324</f>
        <v>Control</v>
      </c>
      <c r="C324" s="4">
        <f>4*(((6-'01_WHOQOL_Items'!F324) + (6-'01_WHOQOL_Items'!G324) + '01_WHOQOL_Items'!M324 + '01_WHOQOL_Items'!R324 + '01_WHOQOL_Items'!S324 + '01_WHOQOL_Items'!T324 + '01_WHOQOL_Items'!U324)/7)</f>
        <v>12</v>
      </c>
      <c r="D324" s="4">
        <f>4*(((6-'01_WHOQOL_Items'!AF324) + (6-'01_WHOQOL_Items'!AG324) + '01_WHOQOL_Items'!AM324 + '01_WHOQOL_Items'!AR324 + '01_WHOQOL_Items'!AS324 + '01_WHOQOL_Items'!AT324 + '01_WHOQOL_Items'!AU324)/7)</f>
        <v>12</v>
      </c>
      <c r="E324" s="4">
        <f t="shared" si="75"/>
        <v>50</v>
      </c>
      <c r="F324" s="4">
        <f t="shared" si="76"/>
        <v>50</v>
      </c>
      <c r="G324" s="5">
        <f t="shared" si="77"/>
        <v>0</v>
      </c>
      <c r="H324" s="4">
        <f>4*(('01_WHOQOL_Items'!H324 + '01_WHOQOL_Items'!I324 + '01_WHOQOL_Items'!J324 + '01_WHOQOL_Items'!N324 + '01_WHOQOL_Items'!V324 + (6-'01_WHOQOL_Items'!AC324))/6)</f>
        <v>11.333333333333334</v>
      </c>
      <c r="I324" s="4">
        <f>4*(('01_WHOQOL_Items'!AH324 + '01_WHOQOL_Items'!AI324 + '01_WHOQOL_Items'!AJ324 + '01_WHOQOL_Items'!AN324 + '01_WHOQOL_Items'!AV324 + (6-'01_WHOQOL_Items'!BC324))/6)</f>
        <v>10.666666666666666</v>
      </c>
      <c r="J324" s="4">
        <f t="shared" si="78"/>
        <v>45.833333333333336</v>
      </c>
      <c r="K324" s="4">
        <f t="shared" si="79"/>
        <v>41.666666666666664</v>
      </c>
      <c r="L324" s="5">
        <f t="shared" si="80"/>
        <v>-9.0909090909091009E-2</v>
      </c>
      <c r="M324" s="4">
        <f>4*(('01_WHOQOL_Items'!W324 + '01_WHOQOL_Items'!X324 + '01_WHOQOL_Items'!Y324)/3)</f>
        <v>14.666666666666666</v>
      </c>
      <c r="N324" s="4">
        <f>4*(('01_WHOQOL_Items'!AW324 + '01_WHOQOL_Items'!AX324 + '01_WHOQOL_Items'!AY324)/3)</f>
        <v>14.666666666666666</v>
      </c>
      <c r="O324" s="4">
        <f t="shared" si="81"/>
        <v>66.666666666666657</v>
      </c>
      <c r="P324" s="4">
        <f t="shared" si="82"/>
        <v>66.666666666666657</v>
      </c>
      <c r="Q324" s="5">
        <f t="shared" si="83"/>
        <v>0</v>
      </c>
      <c r="R324" s="4">
        <f>4*(('01_WHOQOL_Items'!K324 + '01_WHOQOL_Items'!L324 + '01_WHOQOL_Items'!O324 + '01_WHOQOL_Items'!P324 + '01_WHOQOL_Items'!Q324 + '01_WHOQOL_Items'!Z324 + '01_WHOQOL_Items'!AA324 + '01_WHOQOL_Items'!AB324)/8)</f>
        <v>13.5</v>
      </c>
      <c r="S324" s="4">
        <f>4*(('01_WHOQOL_Items'!AK324 + '01_WHOQOL_Items'!AL324 + '01_WHOQOL_Items'!AO324 + '01_WHOQOL_Items'!AP324 + '01_WHOQOL_Items'!AQ324 + '01_WHOQOL_Items'!AZ324 + '01_WHOQOL_Items'!BA324 + '01_WHOQOL_Items'!BB324)/8)</f>
        <v>14</v>
      </c>
      <c r="T324" s="4">
        <f t="shared" si="84"/>
        <v>59.375</v>
      </c>
      <c r="U324" s="4">
        <f t="shared" si="85"/>
        <v>62.5</v>
      </c>
      <c r="V324" s="5">
        <f t="shared" si="86"/>
        <v>5.2631578947368418E-2</v>
      </c>
      <c r="W324" s="4">
        <f t="shared" si="87"/>
        <v>55.46875</v>
      </c>
      <c r="X324" s="4">
        <f t="shared" si="88"/>
        <v>55.208333333333329</v>
      </c>
      <c r="Y324" s="5">
        <f t="shared" si="89"/>
        <v>-4.6948356807512588E-3</v>
      </c>
      <c r="Z324" s="1">
        <f>'01_WHOQOL_Items'!D324</f>
        <v>3</v>
      </c>
      <c r="AA324" s="1">
        <f>'01_WHOQOL_Items'!AD324</f>
        <v>3</v>
      </c>
      <c r="AB324" s="1">
        <f>'01_WHOQOL_Items'!E324</f>
        <v>3</v>
      </c>
      <c r="AC324" s="1">
        <f>'01_WHOQOL_Items'!AE324</f>
        <v>3</v>
      </c>
    </row>
    <row r="325" spans="1:29">
      <c r="A325" s="1" t="str">
        <f>'01_WHOQOL_Items'!A325</f>
        <v>CON-043</v>
      </c>
      <c r="B325" s="1" t="str">
        <f>'01_WHOQOL_Items'!B325</f>
        <v>Control</v>
      </c>
      <c r="C325" s="4">
        <f>4*(((6-'01_WHOQOL_Items'!F325) + (6-'01_WHOQOL_Items'!G325) + '01_WHOQOL_Items'!M325 + '01_WHOQOL_Items'!R325 + '01_WHOQOL_Items'!S325 + '01_WHOQOL_Items'!T325 + '01_WHOQOL_Items'!U325)/7)</f>
        <v>14.857142857142858</v>
      </c>
      <c r="D325" s="4">
        <f>4*(((6-'01_WHOQOL_Items'!AF325) + (6-'01_WHOQOL_Items'!AG325) + '01_WHOQOL_Items'!AM325 + '01_WHOQOL_Items'!AR325 + '01_WHOQOL_Items'!AS325 + '01_WHOQOL_Items'!AT325 + '01_WHOQOL_Items'!AU325)/7)</f>
        <v>14.857142857142858</v>
      </c>
      <c r="E325" s="4">
        <f t="shared" si="75"/>
        <v>67.857142857142861</v>
      </c>
      <c r="F325" s="4">
        <f t="shared" si="76"/>
        <v>67.857142857142861</v>
      </c>
      <c r="G325" s="5">
        <f t="shared" si="77"/>
        <v>0</v>
      </c>
      <c r="H325" s="4">
        <f>4*(('01_WHOQOL_Items'!H325 + '01_WHOQOL_Items'!I325 + '01_WHOQOL_Items'!J325 + '01_WHOQOL_Items'!N325 + '01_WHOQOL_Items'!V325 + (6-'01_WHOQOL_Items'!AC325))/6)</f>
        <v>11.333333333333334</v>
      </c>
      <c r="I325" s="4">
        <f>4*(('01_WHOQOL_Items'!AH325 + '01_WHOQOL_Items'!AI325 + '01_WHOQOL_Items'!AJ325 + '01_WHOQOL_Items'!AN325 + '01_WHOQOL_Items'!AV325 + (6-'01_WHOQOL_Items'!BC325))/6)</f>
        <v>11.333333333333334</v>
      </c>
      <c r="J325" s="4">
        <f t="shared" si="78"/>
        <v>45.833333333333336</v>
      </c>
      <c r="K325" s="4">
        <f t="shared" si="79"/>
        <v>45.833333333333336</v>
      </c>
      <c r="L325" s="5">
        <f t="shared" si="80"/>
        <v>0</v>
      </c>
      <c r="M325" s="4">
        <f>4*(('01_WHOQOL_Items'!W325 + '01_WHOQOL_Items'!X325 + '01_WHOQOL_Items'!Y325)/3)</f>
        <v>9.3333333333333339</v>
      </c>
      <c r="N325" s="4">
        <f>4*(('01_WHOQOL_Items'!AW325 + '01_WHOQOL_Items'!AX325 + '01_WHOQOL_Items'!AY325)/3)</f>
        <v>10.666666666666666</v>
      </c>
      <c r="O325" s="4">
        <f t="shared" si="81"/>
        <v>33.333333333333336</v>
      </c>
      <c r="P325" s="4">
        <f t="shared" si="82"/>
        <v>41.666666666666664</v>
      </c>
      <c r="Q325" s="5">
        <f t="shared" si="83"/>
        <v>0.24999999999999983</v>
      </c>
      <c r="R325" s="4">
        <f>4*(('01_WHOQOL_Items'!K325 + '01_WHOQOL_Items'!L325 + '01_WHOQOL_Items'!O325 + '01_WHOQOL_Items'!P325 + '01_WHOQOL_Items'!Q325 + '01_WHOQOL_Items'!Z325 + '01_WHOQOL_Items'!AA325 + '01_WHOQOL_Items'!AB325)/8)</f>
        <v>9</v>
      </c>
      <c r="S325" s="4">
        <f>4*(('01_WHOQOL_Items'!AK325 + '01_WHOQOL_Items'!AL325 + '01_WHOQOL_Items'!AO325 + '01_WHOQOL_Items'!AP325 + '01_WHOQOL_Items'!AQ325 + '01_WHOQOL_Items'!AZ325 + '01_WHOQOL_Items'!BA325 + '01_WHOQOL_Items'!BB325)/8)</f>
        <v>9.5</v>
      </c>
      <c r="T325" s="4">
        <f t="shared" si="84"/>
        <v>31.25</v>
      </c>
      <c r="U325" s="4">
        <f t="shared" si="85"/>
        <v>34.375</v>
      </c>
      <c r="V325" s="5">
        <f t="shared" si="86"/>
        <v>0.1</v>
      </c>
      <c r="W325" s="4">
        <f t="shared" si="87"/>
        <v>44.568452380952387</v>
      </c>
      <c r="X325" s="4">
        <f t="shared" si="88"/>
        <v>47.433035714285715</v>
      </c>
      <c r="Y325" s="5">
        <f t="shared" si="89"/>
        <v>6.4273789649415575E-2</v>
      </c>
      <c r="Z325" s="1">
        <f>'01_WHOQOL_Items'!D325</f>
        <v>2</v>
      </c>
      <c r="AA325" s="1">
        <f>'01_WHOQOL_Items'!AD325</f>
        <v>2</v>
      </c>
      <c r="AB325" s="1">
        <f>'01_WHOQOL_Items'!E325</f>
        <v>3</v>
      </c>
      <c r="AC325" s="1">
        <f>'01_WHOQOL_Items'!AE325</f>
        <v>4</v>
      </c>
    </row>
    <row r="326" spans="1:29">
      <c r="A326" s="1" t="str">
        <f>'01_WHOQOL_Items'!A326</f>
        <v>CON-044</v>
      </c>
      <c r="B326" s="1" t="str">
        <f>'01_WHOQOL_Items'!B326</f>
        <v>Control</v>
      </c>
      <c r="C326" s="4">
        <f>4*(((6-'01_WHOQOL_Items'!F326) + (6-'01_WHOQOL_Items'!G326) + '01_WHOQOL_Items'!M326 + '01_WHOQOL_Items'!R326 + '01_WHOQOL_Items'!S326 + '01_WHOQOL_Items'!T326 + '01_WHOQOL_Items'!U326)/7)</f>
        <v>14.857142857142858</v>
      </c>
      <c r="D326" s="4">
        <f>4*(((6-'01_WHOQOL_Items'!AF326) + (6-'01_WHOQOL_Items'!AG326) + '01_WHOQOL_Items'!AM326 + '01_WHOQOL_Items'!AR326 + '01_WHOQOL_Items'!AS326 + '01_WHOQOL_Items'!AT326 + '01_WHOQOL_Items'!AU326)/7)</f>
        <v>14.285714285714286</v>
      </c>
      <c r="E326" s="4">
        <f t="shared" si="75"/>
        <v>67.857142857142861</v>
      </c>
      <c r="F326" s="4">
        <f t="shared" si="76"/>
        <v>64.285714285714292</v>
      </c>
      <c r="G326" s="5">
        <f t="shared" si="77"/>
        <v>-5.263157894736839E-2</v>
      </c>
      <c r="H326" s="4">
        <f>4*(('01_WHOQOL_Items'!H326 + '01_WHOQOL_Items'!I326 + '01_WHOQOL_Items'!J326 + '01_WHOQOL_Items'!N326 + '01_WHOQOL_Items'!V326 + (6-'01_WHOQOL_Items'!AC326))/6)</f>
        <v>11.333333333333334</v>
      </c>
      <c r="I326" s="4">
        <f>4*(('01_WHOQOL_Items'!AH326 + '01_WHOQOL_Items'!AI326 + '01_WHOQOL_Items'!AJ326 + '01_WHOQOL_Items'!AN326 + '01_WHOQOL_Items'!AV326 + (6-'01_WHOQOL_Items'!BC326))/6)</f>
        <v>10</v>
      </c>
      <c r="J326" s="4">
        <f t="shared" si="78"/>
        <v>45.833333333333336</v>
      </c>
      <c r="K326" s="4">
        <f t="shared" si="79"/>
        <v>37.5</v>
      </c>
      <c r="L326" s="5">
        <f t="shared" si="80"/>
        <v>-0.18181818181818185</v>
      </c>
      <c r="M326" s="4">
        <f>4*(('01_WHOQOL_Items'!W326 + '01_WHOQOL_Items'!X326 + '01_WHOQOL_Items'!Y326)/3)</f>
        <v>12</v>
      </c>
      <c r="N326" s="4">
        <f>4*(('01_WHOQOL_Items'!AW326 + '01_WHOQOL_Items'!AX326 + '01_WHOQOL_Items'!AY326)/3)</f>
        <v>14.666666666666666</v>
      </c>
      <c r="O326" s="4">
        <f t="shared" si="81"/>
        <v>50</v>
      </c>
      <c r="P326" s="4">
        <f t="shared" si="82"/>
        <v>66.666666666666657</v>
      </c>
      <c r="Q326" s="5">
        <f t="shared" si="83"/>
        <v>0.33333333333333315</v>
      </c>
      <c r="R326" s="4">
        <f>4*(('01_WHOQOL_Items'!K326 + '01_WHOQOL_Items'!L326 + '01_WHOQOL_Items'!O326 + '01_WHOQOL_Items'!P326 + '01_WHOQOL_Items'!Q326 + '01_WHOQOL_Items'!Z326 + '01_WHOQOL_Items'!AA326 + '01_WHOQOL_Items'!AB326)/8)</f>
        <v>16</v>
      </c>
      <c r="S326" s="4">
        <f>4*(('01_WHOQOL_Items'!AK326 + '01_WHOQOL_Items'!AL326 + '01_WHOQOL_Items'!AO326 + '01_WHOQOL_Items'!AP326 + '01_WHOQOL_Items'!AQ326 + '01_WHOQOL_Items'!AZ326 + '01_WHOQOL_Items'!BA326 + '01_WHOQOL_Items'!BB326)/8)</f>
        <v>17.5</v>
      </c>
      <c r="T326" s="4">
        <f t="shared" si="84"/>
        <v>75</v>
      </c>
      <c r="U326" s="4">
        <f t="shared" si="85"/>
        <v>84.375</v>
      </c>
      <c r="V326" s="5">
        <f t="shared" si="86"/>
        <v>0.125</v>
      </c>
      <c r="W326" s="4">
        <f t="shared" si="87"/>
        <v>59.672619047619051</v>
      </c>
      <c r="X326" s="4">
        <f t="shared" si="88"/>
        <v>63.206845238095241</v>
      </c>
      <c r="Y326" s="5">
        <f t="shared" si="89"/>
        <v>5.9226932668329166E-2</v>
      </c>
      <c r="Z326" s="1">
        <f>'01_WHOQOL_Items'!D326</f>
        <v>4</v>
      </c>
      <c r="AA326" s="1">
        <f>'01_WHOQOL_Items'!AD326</f>
        <v>4</v>
      </c>
      <c r="AB326" s="1">
        <f>'01_WHOQOL_Items'!E326</f>
        <v>4</v>
      </c>
      <c r="AC326" s="1">
        <f>'01_WHOQOL_Items'!AE326</f>
        <v>3</v>
      </c>
    </row>
    <row r="327" spans="1:29">
      <c r="A327" s="1" t="str">
        <f>'01_WHOQOL_Items'!A327</f>
        <v>CON-045</v>
      </c>
      <c r="B327" s="1" t="str">
        <f>'01_WHOQOL_Items'!B327</f>
        <v>Control</v>
      </c>
      <c r="C327" s="4">
        <f>4*(((6-'01_WHOQOL_Items'!F327) + (6-'01_WHOQOL_Items'!G327) + '01_WHOQOL_Items'!M327 + '01_WHOQOL_Items'!R327 + '01_WHOQOL_Items'!S327 + '01_WHOQOL_Items'!T327 + '01_WHOQOL_Items'!U327)/7)</f>
        <v>13.714285714285714</v>
      </c>
      <c r="D327" s="4">
        <f>4*(((6-'01_WHOQOL_Items'!AF327) + (6-'01_WHOQOL_Items'!AG327) + '01_WHOQOL_Items'!AM327 + '01_WHOQOL_Items'!AR327 + '01_WHOQOL_Items'!AS327 + '01_WHOQOL_Items'!AT327 + '01_WHOQOL_Items'!AU327)/7)</f>
        <v>14.857142857142858</v>
      </c>
      <c r="E327" s="4">
        <f t="shared" si="75"/>
        <v>60.714285714285708</v>
      </c>
      <c r="F327" s="4">
        <f t="shared" si="76"/>
        <v>67.857142857142861</v>
      </c>
      <c r="G327" s="5">
        <f t="shared" si="77"/>
        <v>0.11764705882352959</v>
      </c>
      <c r="H327" s="4">
        <f>4*(('01_WHOQOL_Items'!H327 + '01_WHOQOL_Items'!I327 + '01_WHOQOL_Items'!J327 + '01_WHOQOL_Items'!N327 + '01_WHOQOL_Items'!V327 + (6-'01_WHOQOL_Items'!AC327))/6)</f>
        <v>9.3333333333333339</v>
      </c>
      <c r="I327" s="4">
        <f>4*(('01_WHOQOL_Items'!AH327 + '01_WHOQOL_Items'!AI327 + '01_WHOQOL_Items'!AJ327 + '01_WHOQOL_Items'!AN327 + '01_WHOQOL_Items'!AV327 + (6-'01_WHOQOL_Items'!BC327))/6)</f>
        <v>11.333333333333334</v>
      </c>
      <c r="J327" s="4">
        <f t="shared" si="78"/>
        <v>33.333333333333336</v>
      </c>
      <c r="K327" s="4">
        <f t="shared" si="79"/>
        <v>45.833333333333336</v>
      </c>
      <c r="L327" s="5">
        <f t="shared" si="80"/>
        <v>0.375</v>
      </c>
      <c r="M327" s="4">
        <f>4*(('01_WHOQOL_Items'!W327 + '01_WHOQOL_Items'!X327 + '01_WHOQOL_Items'!Y327)/3)</f>
        <v>12</v>
      </c>
      <c r="N327" s="4">
        <f>4*(('01_WHOQOL_Items'!AW327 + '01_WHOQOL_Items'!AX327 + '01_WHOQOL_Items'!AY327)/3)</f>
        <v>13.333333333333334</v>
      </c>
      <c r="O327" s="4">
        <f t="shared" si="81"/>
        <v>50</v>
      </c>
      <c r="P327" s="4">
        <f t="shared" si="82"/>
        <v>58.333333333333336</v>
      </c>
      <c r="Q327" s="5">
        <f t="shared" si="83"/>
        <v>0.16666666666666671</v>
      </c>
      <c r="R327" s="4">
        <f>4*(('01_WHOQOL_Items'!K327 + '01_WHOQOL_Items'!L327 + '01_WHOQOL_Items'!O327 + '01_WHOQOL_Items'!P327 + '01_WHOQOL_Items'!Q327 + '01_WHOQOL_Items'!Z327 + '01_WHOQOL_Items'!AA327 + '01_WHOQOL_Items'!AB327)/8)</f>
        <v>10</v>
      </c>
      <c r="S327" s="4">
        <f>4*(('01_WHOQOL_Items'!AK327 + '01_WHOQOL_Items'!AL327 + '01_WHOQOL_Items'!AO327 + '01_WHOQOL_Items'!AP327 + '01_WHOQOL_Items'!AQ327 + '01_WHOQOL_Items'!AZ327 + '01_WHOQOL_Items'!BA327 + '01_WHOQOL_Items'!BB327)/8)</f>
        <v>12</v>
      </c>
      <c r="T327" s="4">
        <f t="shared" si="84"/>
        <v>37.5</v>
      </c>
      <c r="U327" s="4">
        <f t="shared" si="85"/>
        <v>50</v>
      </c>
      <c r="V327" s="5">
        <f t="shared" si="86"/>
        <v>0.33333333333333331</v>
      </c>
      <c r="W327" s="4">
        <f t="shared" si="87"/>
        <v>45.386904761904759</v>
      </c>
      <c r="X327" s="4">
        <f t="shared" si="88"/>
        <v>55.505952380952387</v>
      </c>
      <c r="Y327" s="5">
        <f t="shared" si="89"/>
        <v>0.22295081967213135</v>
      </c>
      <c r="Z327" s="1">
        <f>'01_WHOQOL_Items'!D327</f>
        <v>3</v>
      </c>
      <c r="AA327" s="1">
        <f>'01_WHOQOL_Items'!AD327</f>
        <v>3</v>
      </c>
      <c r="AB327" s="1">
        <f>'01_WHOQOL_Items'!E327</f>
        <v>4</v>
      </c>
      <c r="AC327" s="1">
        <f>'01_WHOQOL_Items'!AE327</f>
        <v>4</v>
      </c>
    </row>
    <row r="328" spans="1:29">
      <c r="A328" s="1" t="str">
        <f>'01_WHOQOL_Items'!A328</f>
        <v>CON-046</v>
      </c>
      <c r="B328" s="1" t="str">
        <f>'01_WHOQOL_Items'!B328</f>
        <v>Control</v>
      </c>
      <c r="C328" s="4">
        <f>4*(((6-'01_WHOQOL_Items'!F328) + (6-'01_WHOQOL_Items'!G328) + '01_WHOQOL_Items'!M328 + '01_WHOQOL_Items'!R328 + '01_WHOQOL_Items'!S328 + '01_WHOQOL_Items'!T328 + '01_WHOQOL_Items'!U328)/7)</f>
        <v>12.571428571428571</v>
      </c>
      <c r="D328" s="4">
        <f>4*(((6-'01_WHOQOL_Items'!AF328) + (6-'01_WHOQOL_Items'!AG328) + '01_WHOQOL_Items'!AM328 + '01_WHOQOL_Items'!AR328 + '01_WHOQOL_Items'!AS328 + '01_WHOQOL_Items'!AT328 + '01_WHOQOL_Items'!AU328)/7)</f>
        <v>14.285714285714286</v>
      </c>
      <c r="E328" s="4">
        <f t="shared" si="75"/>
        <v>53.571428571428569</v>
      </c>
      <c r="F328" s="4">
        <f t="shared" si="76"/>
        <v>64.285714285714292</v>
      </c>
      <c r="G328" s="5">
        <f t="shared" si="77"/>
        <v>0.20000000000000015</v>
      </c>
      <c r="H328" s="4">
        <f>4*(('01_WHOQOL_Items'!H328 + '01_WHOQOL_Items'!I328 + '01_WHOQOL_Items'!J328 + '01_WHOQOL_Items'!N328 + '01_WHOQOL_Items'!V328 + (6-'01_WHOQOL_Items'!AC328))/6)</f>
        <v>13.333333333333334</v>
      </c>
      <c r="I328" s="4">
        <f>4*(('01_WHOQOL_Items'!AH328 + '01_WHOQOL_Items'!AI328 + '01_WHOQOL_Items'!AJ328 + '01_WHOQOL_Items'!AN328 + '01_WHOQOL_Items'!AV328 + (6-'01_WHOQOL_Items'!BC328))/6)</f>
        <v>11.333333333333334</v>
      </c>
      <c r="J328" s="4">
        <f t="shared" si="78"/>
        <v>58.333333333333336</v>
      </c>
      <c r="K328" s="4">
        <f t="shared" si="79"/>
        <v>45.833333333333336</v>
      </c>
      <c r="L328" s="5">
        <f t="shared" si="80"/>
        <v>-0.21428571428571427</v>
      </c>
      <c r="M328" s="4">
        <f>4*(('01_WHOQOL_Items'!W328 + '01_WHOQOL_Items'!X328 + '01_WHOQOL_Items'!Y328)/3)</f>
        <v>9.3333333333333339</v>
      </c>
      <c r="N328" s="4">
        <f>4*(('01_WHOQOL_Items'!AW328 + '01_WHOQOL_Items'!AX328 + '01_WHOQOL_Items'!AY328)/3)</f>
        <v>12</v>
      </c>
      <c r="O328" s="4">
        <f t="shared" si="81"/>
        <v>33.333333333333336</v>
      </c>
      <c r="P328" s="4">
        <f t="shared" si="82"/>
        <v>50</v>
      </c>
      <c r="Q328" s="5">
        <f t="shared" si="83"/>
        <v>0.49999999999999989</v>
      </c>
      <c r="R328" s="4">
        <f>4*(('01_WHOQOL_Items'!K328 + '01_WHOQOL_Items'!L328 + '01_WHOQOL_Items'!O328 + '01_WHOQOL_Items'!P328 + '01_WHOQOL_Items'!Q328 + '01_WHOQOL_Items'!Z328 + '01_WHOQOL_Items'!AA328 + '01_WHOQOL_Items'!AB328)/8)</f>
        <v>13.5</v>
      </c>
      <c r="S328" s="4">
        <f>4*(('01_WHOQOL_Items'!AK328 + '01_WHOQOL_Items'!AL328 + '01_WHOQOL_Items'!AO328 + '01_WHOQOL_Items'!AP328 + '01_WHOQOL_Items'!AQ328 + '01_WHOQOL_Items'!AZ328 + '01_WHOQOL_Items'!BA328 + '01_WHOQOL_Items'!BB328)/8)</f>
        <v>16.5</v>
      </c>
      <c r="T328" s="4">
        <f t="shared" si="84"/>
        <v>59.375</v>
      </c>
      <c r="U328" s="4">
        <f t="shared" si="85"/>
        <v>78.125</v>
      </c>
      <c r="V328" s="5">
        <f t="shared" si="86"/>
        <v>0.31578947368421051</v>
      </c>
      <c r="W328" s="4">
        <f t="shared" si="87"/>
        <v>51.15327380952381</v>
      </c>
      <c r="X328" s="4">
        <f t="shared" si="88"/>
        <v>59.561011904761905</v>
      </c>
      <c r="Y328" s="5">
        <f t="shared" si="89"/>
        <v>0.16436363636363635</v>
      </c>
      <c r="Z328" s="1">
        <f>'01_WHOQOL_Items'!D328</f>
        <v>3</v>
      </c>
      <c r="AA328" s="1">
        <f>'01_WHOQOL_Items'!AD328</f>
        <v>3</v>
      </c>
      <c r="AB328" s="1">
        <f>'01_WHOQOL_Items'!E328</f>
        <v>3</v>
      </c>
      <c r="AC328" s="1">
        <f>'01_WHOQOL_Items'!AE328</f>
        <v>4</v>
      </c>
    </row>
    <row r="329" spans="1:29">
      <c r="A329" s="1" t="str">
        <f>'01_WHOQOL_Items'!A329</f>
        <v>CON-047</v>
      </c>
      <c r="B329" s="1" t="str">
        <f>'01_WHOQOL_Items'!B329</f>
        <v>Control</v>
      </c>
      <c r="C329" s="4">
        <f>4*(((6-'01_WHOQOL_Items'!F329) + (6-'01_WHOQOL_Items'!G329) + '01_WHOQOL_Items'!M329 + '01_WHOQOL_Items'!R329 + '01_WHOQOL_Items'!S329 + '01_WHOQOL_Items'!T329 + '01_WHOQOL_Items'!U329)/7)</f>
        <v>15.428571428571429</v>
      </c>
      <c r="D329" s="4">
        <f>4*(((6-'01_WHOQOL_Items'!AF329) + (6-'01_WHOQOL_Items'!AG329) + '01_WHOQOL_Items'!AM329 + '01_WHOQOL_Items'!AR329 + '01_WHOQOL_Items'!AS329 + '01_WHOQOL_Items'!AT329 + '01_WHOQOL_Items'!AU329)/7)</f>
        <v>16.571428571428573</v>
      </c>
      <c r="E329" s="4">
        <f t="shared" si="75"/>
        <v>71.428571428571431</v>
      </c>
      <c r="F329" s="4">
        <f t="shared" si="76"/>
        <v>78.571428571428584</v>
      </c>
      <c r="G329" s="5">
        <f t="shared" si="77"/>
        <v>0.10000000000000014</v>
      </c>
      <c r="H329" s="4">
        <f>4*(('01_WHOQOL_Items'!H329 + '01_WHOQOL_Items'!I329 + '01_WHOQOL_Items'!J329 + '01_WHOQOL_Items'!N329 + '01_WHOQOL_Items'!V329 + (6-'01_WHOQOL_Items'!AC329))/6)</f>
        <v>14.666666666666666</v>
      </c>
      <c r="I329" s="4">
        <f>4*(('01_WHOQOL_Items'!AH329 + '01_WHOQOL_Items'!AI329 + '01_WHOQOL_Items'!AJ329 + '01_WHOQOL_Items'!AN329 + '01_WHOQOL_Items'!AV329 + (6-'01_WHOQOL_Items'!BC329))/6)</f>
        <v>10.666666666666666</v>
      </c>
      <c r="J329" s="4">
        <f t="shared" si="78"/>
        <v>66.666666666666657</v>
      </c>
      <c r="K329" s="4">
        <f t="shared" si="79"/>
        <v>41.666666666666664</v>
      </c>
      <c r="L329" s="5">
        <f t="shared" si="80"/>
        <v>-0.37499999999999994</v>
      </c>
      <c r="M329" s="4">
        <f>4*(('01_WHOQOL_Items'!W329 + '01_WHOQOL_Items'!X329 + '01_WHOQOL_Items'!Y329)/3)</f>
        <v>9.3333333333333339</v>
      </c>
      <c r="N329" s="4">
        <f>4*(('01_WHOQOL_Items'!AW329 + '01_WHOQOL_Items'!AX329 + '01_WHOQOL_Items'!AY329)/3)</f>
        <v>9.3333333333333339</v>
      </c>
      <c r="O329" s="4">
        <f t="shared" si="81"/>
        <v>33.333333333333336</v>
      </c>
      <c r="P329" s="4">
        <f t="shared" si="82"/>
        <v>33.333333333333336</v>
      </c>
      <c r="Q329" s="5">
        <f t="shared" si="83"/>
        <v>0</v>
      </c>
      <c r="R329" s="4">
        <f>4*(('01_WHOQOL_Items'!K329 + '01_WHOQOL_Items'!L329 + '01_WHOQOL_Items'!O329 + '01_WHOQOL_Items'!P329 + '01_WHOQOL_Items'!Q329 + '01_WHOQOL_Items'!Z329 + '01_WHOQOL_Items'!AA329 + '01_WHOQOL_Items'!AB329)/8)</f>
        <v>14.5</v>
      </c>
      <c r="S329" s="4">
        <f>4*(('01_WHOQOL_Items'!AK329 + '01_WHOQOL_Items'!AL329 + '01_WHOQOL_Items'!AO329 + '01_WHOQOL_Items'!AP329 + '01_WHOQOL_Items'!AQ329 + '01_WHOQOL_Items'!AZ329 + '01_WHOQOL_Items'!BA329 + '01_WHOQOL_Items'!BB329)/8)</f>
        <v>14.5</v>
      </c>
      <c r="T329" s="4">
        <f t="shared" si="84"/>
        <v>65.625</v>
      </c>
      <c r="U329" s="4">
        <f t="shared" si="85"/>
        <v>65.625</v>
      </c>
      <c r="V329" s="5">
        <f t="shared" si="86"/>
        <v>0</v>
      </c>
      <c r="W329" s="4">
        <f t="shared" si="87"/>
        <v>59.263392857142854</v>
      </c>
      <c r="X329" s="4">
        <f t="shared" si="88"/>
        <v>54.799107142857146</v>
      </c>
      <c r="Y329" s="5">
        <f t="shared" si="89"/>
        <v>-7.5329566854990482E-2</v>
      </c>
      <c r="Z329" s="1">
        <f>'01_WHOQOL_Items'!D329</f>
        <v>3</v>
      </c>
      <c r="AA329" s="1">
        <f>'01_WHOQOL_Items'!AD329</f>
        <v>4</v>
      </c>
      <c r="AB329" s="1">
        <f>'01_WHOQOL_Items'!E329</f>
        <v>4</v>
      </c>
      <c r="AC329" s="1">
        <f>'01_WHOQOL_Items'!AE329</f>
        <v>5</v>
      </c>
    </row>
    <row r="330" spans="1:29">
      <c r="A330" s="1" t="str">
        <f>'01_WHOQOL_Items'!A330</f>
        <v>CON-048</v>
      </c>
      <c r="B330" s="1" t="str">
        <f>'01_WHOQOL_Items'!B330</f>
        <v>Control</v>
      </c>
      <c r="C330" s="4">
        <f>4*(((6-'01_WHOQOL_Items'!F330) + (6-'01_WHOQOL_Items'!G330) + '01_WHOQOL_Items'!M330 + '01_WHOQOL_Items'!R330 + '01_WHOQOL_Items'!S330 + '01_WHOQOL_Items'!T330 + '01_WHOQOL_Items'!U330)/7)</f>
        <v>11.428571428571429</v>
      </c>
      <c r="D330" s="4">
        <f>4*(((6-'01_WHOQOL_Items'!AF330) + (6-'01_WHOQOL_Items'!AG330) + '01_WHOQOL_Items'!AM330 + '01_WHOQOL_Items'!AR330 + '01_WHOQOL_Items'!AS330 + '01_WHOQOL_Items'!AT330 + '01_WHOQOL_Items'!AU330)/7)</f>
        <v>10.285714285714286</v>
      </c>
      <c r="E330" s="4">
        <f t="shared" si="75"/>
        <v>46.428571428571431</v>
      </c>
      <c r="F330" s="4">
        <f t="shared" si="76"/>
        <v>39.285714285714292</v>
      </c>
      <c r="G330" s="5">
        <f t="shared" si="77"/>
        <v>-0.15384615384615374</v>
      </c>
      <c r="H330" s="4">
        <f>4*(('01_WHOQOL_Items'!H330 + '01_WHOQOL_Items'!I330 + '01_WHOQOL_Items'!J330 + '01_WHOQOL_Items'!N330 + '01_WHOQOL_Items'!V330 + (6-'01_WHOQOL_Items'!AC330))/6)</f>
        <v>10.666666666666666</v>
      </c>
      <c r="I330" s="4">
        <f>4*(('01_WHOQOL_Items'!AH330 + '01_WHOQOL_Items'!AI330 + '01_WHOQOL_Items'!AJ330 + '01_WHOQOL_Items'!AN330 + '01_WHOQOL_Items'!AV330 + (6-'01_WHOQOL_Items'!BC330))/6)</f>
        <v>10</v>
      </c>
      <c r="J330" s="4">
        <f t="shared" si="78"/>
        <v>41.666666666666664</v>
      </c>
      <c r="K330" s="4">
        <f t="shared" si="79"/>
        <v>37.5</v>
      </c>
      <c r="L330" s="5">
        <f t="shared" si="80"/>
        <v>-9.999999999999995E-2</v>
      </c>
      <c r="M330" s="4">
        <f>4*(('01_WHOQOL_Items'!W330 + '01_WHOQOL_Items'!X330 + '01_WHOQOL_Items'!Y330)/3)</f>
        <v>13.333333333333334</v>
      </c>
      <c r="N330" s="4">
        <f>4*(('01_WHOQOL_Items'!AW330 + '01_WHOQOL_Items'!AX330 + '01_WHOQOL_Items'!AY330)/3)</f>
        <v>9.3333333333333339</v>
      </c>
      <c r="O330" s="4">
        <f t="shared" si="81"/>
        <v>58.333333333333336</v>
      </c>
      <c r="P330" s="4">
        <f t="shared" si="82"/>
        <v>33.333333333333336</v>
      </c>
      <c r="Q330" s="5">
        <f t="shared" si="83"/>
        <v>-0.42857142857142855</v>
      </c>
      <c r="R330" s="4">
        <f>4*(('01_WHOQOL_Items'!K330 + '01_WHOQOL_Items'!L330 + '01_WHOQOL_Items'!O330 + '01_WHOQOL_Items'!P330 + '01_WHOQOL_Items'!Q330 + '01_WHOQOL_Items'!Z330 + '01_WHOQOL_Items'!AA330 + '01_WHOQOL_Items'!AB330)/8)</f>
        <v>16</v>
      </c>
      <c r="S330" s="4">
        <f>4*(('01_WHOQOL_Items'!AK330 + '01_WHOQOL_Items'!AL330 + '01_WHOQOL_Items'!AO330 + '01_WHOQOL_Items'!AP330 + '01_WHOQOL_Items'!AQ330 + '01_WHOQOL_Items'!AZ330 + '01_WHOQOL_Items'!BA330 + '01_WHOQOL_Items'!BB330)/8)</f>
        <v>15</v>
      </c>
      <c r="T330" s="4">
        <f t="shared" si="84"/>
        <v>75</v>
      </c>
      <c r="U330" s="4">
        <f t="shared" si="85"/>
        <v>68.75</v>
      </c>
      <c r="V330" s="5">
        <f t="shared" si="86"/>
        <v>-8.3333333333333329E-2</v>
      </c>
      <c r="W330" s="4">
        <f t="shared" si="87"/>
        <v>55.357142857142861</v>
      </c>
      <c r="X330" s="4">
        <f t="shared" si="88"/>
        <v>44.717261904761905</v>
      </c>
      <c r="Y330" s="5">
        <f t="shared" si="89"/>
        <v>-0.19220430107526887</v>
      </c>
      <c r="Z330" s="1">
        <f>'01_WHOQOL_Items'!D330</f>
        <v>2</v>
      </c>
      <c r="AA330" s="1">
        <f>'01_WHOQOL_Items'!AD330</f>
        <v>2</v>
      </c>
      <c r="AB330" s="1">
        <f>'01_WHOQOL_Items'!E330</f>
        <v>3</v>
      </c>
      <c r="AC330" s="1">
        <f>'01_WHOQOL_Items'!AE330</f>
        <v>2</v>
      </c>
    </row>
    <row r="331" spans="1:29">
      <c r="A331" s="1" t="str">
        <f>'01_WHOQOL_Items'!A331</f>
        <v>CON-049</v>
      </c>
      <c r="B331" s="1" t="str">
        <f>'01_WHOQOL_Items'!B331</f>
        <v>Control</v>
      </c>
      <c r="C331" s="4">
        <f>4*(((6-'01_WHOQOL_Items'!F331) + (6-'01_WHOQOL_Items'!G331) + '01_WHOQOL_Items'!M331 + '01_WHOQOL_Items'!R331 + '01_WHOQOL_Items'!S331 + '01_WHOQOL_Items'!T331 + '01_WHOQOL_Items'!U331)/7)</f>
        <v>14.857142857142858</v>
      </c>
      <c r="D331" s="4">
        <f>4*(((6-'01_WHOQOL_Items'!AF331) + (6-'01_WHOQOL_Items'!AG331) + '01_WHOQOL_Items'!AM331 + '01_WHOQOL_Items'!AR331 + '01_WHOQOL_Items'!AS331 + '01_WHOQOL_Items'!AT331 + '01_WHOQOL_Items'!AU331)/7)</f>
        <v>15.428571428571429</v>
      </c>
      <c r="E331" s="4">
        <f t="shared" si="75"/>
        <v>67.857142857142861</v>
      </c>
      <c r="F331" s="4">
        <f t="shared" si="76"/>
        <v>71.428571428571431</v>
      </c>
      <c r="G331" s="5">
        <f t="shared" si="77"/>
        <v>5.263157894736839E-2</v>
      </c>
      <c r="H331" s="4">
        <f>4*(('01_WHOQOL_Items'!H331 + '01_WHOQOL_Items'!I331 + '01_WHOQOL_Items'!J331 + '01_WHOQOL_Items'!N331 + '01_WHOQOL_Items'!V331 + (6-'01_WHOQOL_Items'!AC331))/6)</f>
        <v>10</v>
      </c>
      <c r="I331" s="4">
        <f>4*(('01_WHOQOL_Items'!AH331 + '01_WHOQOL_Items'!AI331 + '01_WHOQOL_Items'!AJ331 + '01_WHOQOL_Items'!AN331 + '01_WHOQOL_Items'!AV331 + (6-'01_WHOQOL_Items'!BC331))/6)</f>
        <v>10</v>
      </c>
      <c r="J331" s="4">
        <f t="shared" si="78"/>
        <v>37.5</v>
      </c>
      <c r="K331" s="4">
        <f t="shared" si="79"/>
        <v>37.5</v>
      </c>
      <c r="L331" s="5">
        <f t="shared" si="80"/>
        <v>0</v>
      </c>
      <c r="M331" s="4">
        <f>4*(('01_WHOQOL_Items'!W331 + '01_WHOQOL_Items'!X331 + '01_WHOQOL_Items'!Y331)/3)</f>
        <v>16</v>
      </c>
      <c r="N331" s="4">
        <f>4*(('01_WHOQOL_Items'!AW331 + '01_WHOQOL_Items'!AX331 + '01_WHOQOL_Items'!AY331)/3)</f>
        <v>14.666666666666666</v>
      </c>
      <c r="O331" s="4">
        <f t="shared" si="81"/>
        <v>75</v>
      </c>
      <c r="P331" s="4">
        <f t="shared" si="82"/>
        <v>66.666666666666657</v>
      </c>
      <c r="Q331" s="5">
        <f t="shared" si="83"/>
        <v>-0.11111111111111124</v>
      </c>
      <c r="R331" s="4">
        <f>4*(('01_WHOQOL_Items'!K331 + '01_WHOQOL_Items'!L331 + '01_WHOQOL_Items'!O331 + '01_WHOQOL_Items'!P331 + '01_WHOQOL_Items'!Q331 + '01_WHOQOL_Items'!Z331 + '01_WHOQOL_Items'!AA331 + '01_WHOQOL_Items'!AB331)/8)</f>
        <v>8.5</v>
      </c>
      <c r="S331" s="4">
        <f>4*(('01_WHOQOL_Items'!AK331 + '01_WHOQOL_Items'!AL331 + '01_WHOQOL_Items'!AO331 + '01_WHOQOL_Items'!AP331 + '01_WHOQOL_Items'!AQ331 + '01_WHOQOL_Items'!AZ331 + '01_WHOQOL_Items'!BA331 + '01_WHOQOL_Items'!BB331)/8)</f>
        <v>10</v>
      </c>
      <c r="T331" s="4">
        <f t="shared" si="84"/>
        <v>28.125</v>
      </c>
      <c r="U331" s="4">
        <f t="shared" si="85"/>
        <v>37.5</v>
      </c>
      <c r="V331" s="5">
        <f t="shared" si="86"/>
        <v>0.33333333333333331</v>
      </c>
      <c r="W331" s="4">
        <f t="shared" si="87"/>
        <v>52.120535714285715</v>
      </c>
      <c r="X331" s="4">
        <f t="shared" si="88"/>
        <v>53.273809523809518</v>
      </c>
      <c r="Y331" s="5">
        <f t="shared" si="89"/>
        <v>2.2127052105638707E-2</v>
      </c>
      <c r="Z331" s="1">
        <f>'01_WHOQOL_Items'!D331</f>
        <v>3</v>
      </c>
      <c r="AA331" s="1">
        <f>'01_WHOQOL_Items'!AD331</f>
        <v>3</v>
      </c>
      <c r="AB331" s="1">
        <f>'01_WHOQOL_Items'!E331</f>
        <v>3</v>
      </c>
      <c r="AC331" s="1">
        <f>'01_WHOQOL_Items'!AE331</f>
        <v>4</v>
      </c>
    </row>
    <row r="332" spans="1:29">
      <c r="A332" s="1" t="str">
        <f>'01_WHOQOL_Items'!A332</f>
        <v>CON-050</v>
      </c>
      <c r="B332" s="1" t="str">
        <f>'01_WHOQOL_Items'!B332</f>
        <v>Control</v>
      </c>
      <c r="C332" s="4">
        <f>4*(((6-'01_WHOQOL_Items'!F332) + (6-'01_WHOQOL_Items'!G332) + '01_WHOQOL_Items'!M332 + '01_WHOQOL_Items'!R332 + '01_WHOQOL_Items'!S332 + '01_WHOQOL_Items'!T332 + '01_WHOQOL_Items'!U332)/7)</f>
        <v>13.714285714285714</v>
      </c>
      <c r="D332" s="4">
        <f>4*(((6-'01_WHOQOL_Items'!AF332) + (6-'01_WHOQOL_Items'!AG332) + '01_WHOQOL_Items'!AM332 + '01_WHOQOL_Items'!AR332 + '01_WHOQOL_Items'!AS332 + '01_WHOQOL_Items'!AT332 + '01_WHOQOL_Items'!AU332)/7)</f>
        <v>12.571428571428571</v>
      </c>
      <c r="E332" s="4">
        <f t="shared" si="75"/>
        <v>60.714285714285708</v>
      </c>
      <c r="F332" s="4">
        <f t="shared" si="76"/>
        <v>53.571428571428569</v>
      </c>
      <c r="G332" s="5">
        <f t="shared" si="77"/>
        <v>-0.11764705882352935</v>
      </c>
      <c r="H332" s="4">
        <f>4*(('01_WHOQOL_Items'!H332 + '01_WHOQOL_Items'!I332 + '01_WHOQOL_Items'!J332 + '01_WHOQOL_Items'!N332 + '01_WHOQOL_Items'!V332 + (6-'01_WHOQOL_Items'!AC332))/6)</f>
        <v>8.6666666666666661</v>
      </c>
      <c r="I332" s="4">
        <f>4*(('01_WHOQOL_Items'!AH332 + '01_WHOQOL_Items'!AI332 + '01_WHOQOL_Items'!AJ332 + '01_WHOQOL_Items'!AN332 + '01_WHOQOL_Items'!AV332 + (6-'01_WHOQOL_Items'!BC332))/6)</f>
        <v>8</v>
      </c>
      <c r="J332" s="4">
        <f t="shared" si="78"/>
        <v>29.166666666666664</v>
      </c>
      <c r="K332" s="4">
        <f t="shared" si="79"/>
        <v>25</v>
      </c>
      <c r="L332" s="5">
        <f t="shared" si="80"/>
        <v>-0.14285714285714279</v>
      </c>
      <c r="M332" s="4">
        <f>4*(('01_WHOQOL_Items'!W332 + '01_WHOQOL_Items'!X332 + '01_WHOQOL_Items'!Y332)/3)</f>
        <v>13.333333333333334</v>
      </c>
      <c r="N332" s="4">
        <f>4*(('01_WHOQOL_Items'!AW332 + '01_WHOQOL_Items'!AX332 + '01_WHOQOL_Items'!AY332)/3)</f>
        <v>10.666666666666666</v>
      </c>
      <c r="O332" s="4">
        <f t="shared" si="81"/>
        <v>58.333333333333336</v>
      </c>
      <c r="P332" s="4">
        <f t="shared" si="82"/>
        <v>41.666666666666664</v>
      </c>
      <c r="Q332" s="5">
        <f t="shared" si="83"/>
        <v>-0.28571428571428581</v>
      </c>
      <c r="R332" s="4">
        <f>4*(('01_WHOQOL_Items'!K332 + '01_WHOQOL_Items'!L332 + '01_WHOQOL_Items'!O332 + '01_WHOQOL_Items'!P332 + '01_WHOQOL_Items'!Q332 + '01_WHOQOL_Items'!Z332 + '01_WHOQOL_Items'!AA332 + '01_WHOQOL_Items'!AB332)/8)</f>
        <v>14</v>
      </c>
      <c r="S332" s="4">
        <f>4*(('01_WHOQOL_Items'!AK332 + '01_WHOQOL_Items'!AL332 + '01_WHOQOL_Items'!AO332 + '01_WHOQOL_Items'!AP332 + '01_WHOQOL_Items'!AQ332 + '01_WHOQOL_Items'!AZ332 + '01_WHOQOL_Items'!BA332 + '01_WHOQOL_Items'!BB332)/8)</f>
        <v>12</v>
      </c>
      <c r="T332" s="4">
        <f t="shared" si="84"/>
        <v>62.5</v>
      </c>
      <c r="U332" s="4">
        <f t="shared" si="85"/>
        <v>50</v>
      </c>
      <c r="V332" s="5">
        <f t="shared" si="86"/>
        <v>-0.2</v>
      </c>
      <c r="W332" s="4">
        <f t="shared" si="87"/>
        <v>52.678571428571431</v>
      </c>
      <c r="X332" s="4">
        <f t="shared" si="88"/>
        <v>42.55952380952381</v>
      </c>
      <c r="Y332" s="5">
        <f t="shared" si="89"/>
        <v>-0.19209039548022599</v>
      </c>
      <c r="Z332" s="1">
        <f>'01_WHOQOL_Items'!D332</f>
        <v>3</v>
      </c>
      <c r="AA332" s="1">
        <f>'01_WHOQOL_Items'!AD332</f>
        <v>3</v>
      </c>
      <c r="AB332" s="1">
        <f>'01_WHOQOL_Items'!E332</f>
        <v>4</v>
      </c>
      <c r="AC332" s="1">
        <f>'01_WHOQOL_Items'!AE332</f>
        <v>3</v>
      </c>
    </row>
    <row r="333" spans="1:29">
      <c r="A333" s="1" t="str">
        <f>'01_WHOQOL_Items'!A333</f>
        <v>CON-051</v>
      </c>
      <c r="B333" s="1" t="str">
        <f>'01_WHOQOL_Items'!B333</f>
        <v>Control</v>
      </c>
      <c r="C333" s="4">
        <f>4*(((6-'01_WHOQOL_Items'!F333) + (6-'01_WHOQOL_Items'!G333) + '01_WHOQOL_Items'!M333 + '01_WHOQOL_Items'!R333 + '01_WHOQOL_Items'!S333 + '01_WHOQOL_Items'!T333 + '01_WHOQOL_Items'!U333)/7)</f>
        <v>11.428571428571429</v>
      </c>
      <c r="D333" s="4">
        <f>4*(((6-'01_WHOQOL_Items'!AF333) + (6-'01_WHOQOL_Items'!AG333) + '01_WHOQOL_Items'!AM333 + '01_WHOQOL_Items'!AR333 + '01_WHOQOL_Items'!AS333 + '01_WHOQOL_Items'!AT333 + '01_WHOQOL_Items'!AU333)/7)</f>
        <v>9.7142857142857135</v>
      </c>
      <c r="E333" s="4">
        <f t="shared" si="75"/>
        <v>46.428571428571431</v>
      </c>
      <c r="F333" s="4">
        <f t="shared" si="76"/>
        <v>35.714285714285708</v>
      </c>
      <c r="G333" s="5">
        <f t="shared" si="77"/>
        <v>-0.23076923076923092</v>
      </c>
      <c r="H333" s="4">
        <f>4*(('01_WHOQOL_Items'!H333 + '01_WHOQOL_Items'!I333 + '01_WHOQOL_Items'!J333 + '01_WHOQOL_Items'!N333 + '01_WHOQOL_Items'!V333 + (6-'01_WHOQOL_Items'!AC333))/6)</f>
        <v>14.666666666666666</v>
      </c>
      <c r="I333" s="4">
        <f>4*(('01_WHOQOL_Items'!AH333 + '01_WHOQOL_Items'!AI333 + '01_WHOQOL_Items'!AJ333 + '01_WHOQOL_Items'!AN333 + '01_WHOQOL_Items'!AV333 + (6-'01_WHOQOL_Items'!BC333))/6)</f>
        <v>15.333333333333334</v>
      </c>
      <c r="J333" s="4">
        <f t="shared" si="78"/>
        <v>66.666666666666657</v>
      </c>
      <c r="K333" s="4">
        <f t="shared" si="79"/>
        <v>70.833333333333343</v>
      </c>
      <c r="L333" s="5">
        <f t="shared" si="80"/>
        <v>6.2500000000000291E-2</v>
      </c>
      <c r="M333" s="4">
        <f>4*(('01_WHOQOL_Items'!W333 + '01_WHOQOL_Items'!X333 + '01_WHOQOL_Items'!Y333)/3)</f>
        <v>10.666666666666666</v>
      </c>
      <c r="N333" s="4">
        <f>4*(('01_WHOQOL_Items'!AW333 + '01_WHOQOL_Items'!AX333 + '01_WHOQOL_Items'!AY333)/3)</f>
        <v>10.666666666666666</v>
      </c>
      <c r="O333" s="4">
        <f t="shared" si="81"/>
        <v>41.666666666666664</v>
      </c>
      <c r="P333" s="4">
        <f t="shared" si="82"/>
        <v>41.666666666666664</v>
      </c>
      <c r="Q333" s="5">
        <f t="shared" si="83"/>
        <v>0</v>
      </c>
      <c r="R333" s="4">
        <f>4*(('01_WHOQOL_Items'!K333 + '01_WHOQOL_Items'!L333 + '01_WHOQOL_Items'!O333 + '01_WHOQOL_Items'!P333 + '01_WHOQOL_Items'!Q333 + '01_WHOQOL_Items'!Z333 + '01_WHOQOL_Items'!AA333 + '01_WHOQOL_Items'!AB333)/8)</f>
        <v>11</v>
      </c>
      <c r="S333" s="4">
        <f>4*(('01_WHOQOL_Items'!AK333 + '01_WHOQOL_Items'!AL333 + '01_WHOQOL_Items'!AO333 + '01_WHOQOL_Items'!AP333 + '01_WHOQOL_Items'!AQ333 + '01_WHOQOL_Items'!AZ333 + '01_WHOQOL_Items'!BA333 + '01_WHOQOL_Items'!BB333)/8)</f>
        <v>11.5</v>
      </c>
      <c r="T333" s="4">
        <f t="shared" si="84"/>
        <v>43.75</v>
      </c>
      <c r="U333" s="4">
        <f t="shared" si="85"/>
        <v>46.875</v>
      </c>
      <c r="V333" s="5">
        <f t="shared" si="86"/>
        <v>7.1428571428571425E-2</v>
      </c>
      <c r="W333" s="4">
        <f t="shared" si="87"/>
        <v>49.62797619047619</v>
      </c>
      <c r="X333" s="4">
        <f t="shared" si="88"/>
        <v>48.772321428571431</v>
      </c>
      <c r="Y333" s="5">
        <f t="shared" si="89"/>
        <v>-1.7241379310344772E-2</v>
      </c>
      <c r="Z333" s="1">
        <f>'01_WHOQOL_Items'!D333</f>
        <v>4</v>
      </c>
      <c r="AA333" s="1">
        <f>'01_WHOQOL_Items'!AD333</f>
        <v>2</v>
      </c>
      <c r="AB333" s="1">
        <f>'01_WHOQOL_Items'!E333</f>
        <v>2</v>
      </c>
      <c r="AC333" s="1">
        <f>'01_WHOQOL_Items'!AE333</f>
        <v>3</v>
      </c>
    </row>
    <row r="334" spans="1:29">
      <c r="A334" s="1" t="str">
        <f>'01_WHOQOL_Items'!A334</f>
        <v>CON-052</v>
      </c>
      <c r="B334" s="1" t="str">
        <f>'01_WHOQOL_Items'!B334</f>
        <v>Control</v>
      </c>
      <c r="C334" s="4">
        <f>4*(((6-'01_WHOQOL_Items'!F334) + (6-'01_WHOQOL_Items'!G334) + '01_WHOQOL_Items'!M334 + '01_WHOQOL_Items'!R334 + '01_WHOQOL_Items'!S334 + '01_WHOQOL_Items'!T334 + '01_WHOQOL_Items'!U334)/7)</f>
        <v>16</v>
      </c>
      <c r="D334" s="4">
        <f>4*(((6-'01_WHOQOL_Items'!AF334) + (6-'01_WHOQOL_Items'!AG334) + '01_WHOQOL_Items'!AM334 + '01_WHOQOL_Items'!AR334 + '01_WHOQOL_Items'!AS334 + '01_WHOQOL_Items'!AT334 + '01_WHOQOL_Items'!AU334)/7)</f>
        <v>15.428571428571429</v>
      </c>
      <c r="E334" s="4">
        <f t="shared" si="75"/>
        <v>75</v>
      </c>
      <c r="F334" s="4">
        <f t="shared" si="76"/>
        <v>71.428571428571431</v>
      </c>
      <c r="G334" s="5">
        <f t="shared" si="77"/>
        <v>-4.7619047619047589E-2</v>
      </c>
      <c r="H334" s="4">
        <f>4*(('01_WHOQOL_Items'!H334 + '01_WHOQOL_Items'!I334 + '01_WHOQOL_Items'!J334 + '01_WHOQOL_Items'!N334 + '01_WHOQOL_Items'!V334 + (6-'01_WHOQOL_Items'!AC334))/6)</f>
        <v>8</v>
      </c>
      <c r="I334" s="4">
        <f>4*(('01_WHOQOL_Items'!AH334 + '01_WHOQOL_Items'!AI334 + '01_WHOQOL_Items'!AJ334 + '01_WHOQOL_Items'!AN334 + '01_WHOQOL_Items'!AV334 + (6-'01_WHOQOL_Items'!BC334))/6)</f>
        <v>9.3333333333333339</v>
      </c>
      <c r="J334" s="4">
        <f t="shared" si="78"/>
        <v>25</v>
      </c>
      <c r="K334" s="4">
        <f t="shared" si="79"/>
        <v>33.333333333333336</v>
      </c>
      <c r="L334" s="5">
        <f t="shared" si="80"/>
        <v>0.33333333333333343</v>
      </c>
      <c r="M334" s="4">
        <f>4*(('01_WHOQOL_Items'!W334 + '01_WHOQOL_Items'!X334 + '01_WHOQOL_Items'!Y334)/3)</f>
        <v>10.666666666666666</v>
      </c>
      <c r="N334" s="4">
        <f>4*(('01_WHOQOL_Items'!AW334 + '01_WHOQOL_Items'!AX334 + '01_WHOQOL_Items'!AY334)/3)</f>
        <v>13.333333333333334</v>
      </c>
      <c r="O334" s="4">
        <f t="shared" si="81"/>
        <v>41.666666666666664</v>
      </c>
      <c r="P334" s="4">
        <f t="shared" si="82"/>
        <v>58.333333333333336</v>
      </c>
      <c r="Q334" s="5">
        <f t="shared" si="83"/>
        <v>0.40000000000000013</v>
      </c>
      <c r="R334" s="4">
        <f>4*(('01_WHOQOL_Items'!K334 + '01_WHOQOL_Items'!L334 + '01_WHOQOL_Items'!O334 + '01_WHOQOL_Items'!P334 + '01_WHOQOL_Items'!Q334 + '01_WHOQOL_Items'!Z334 + '01_WHOQOL_Items'!AA334 + '01_WHOQOL_Items'!AB334)/8)</f>
        <v>9.5</v>
      </c>
      <c r="S334" s="4">
        <f>4*(('01_WHOQOL_Items'!AK334 + '01_WHOQOL_Items'!AL334 + '01_WHOQOL_Items'!AO334 + '01_WHOQOL_Items'!AP334 + '01_WHOQOL_Items'!AQ334 + '01_WHOQOL_Items'!AZ334 + '01_WHOQOL_Items'!BA334 + '01_WHOQOL_Items'!BB334)/8)</f>
        <v>9</v>
      </c>
      <c r="T334" s="4">
        <f t="shared" si="84"/>
        <v>34.375</v>
      </c>
      <c r="U334" s="4">
        <f t="shared" si="85"/>
        <v>31.25</v>
      </c>
      <c r="V334" s="5">
        <f t="shared" si="86"/>
        <v>-9.0909090909090912E-2</v>
      </c>
      <c r="W334" s="4">
        <f t="shared" si="87"/>
        <v>44.010416666666664</v>
      </c>
      <c r="X334" s="4">
        <f t="shared" si="88"/>
        <v>48.586309523809526</v>
      </c>
      <c r="Y334" s="5">
        <f t="shared" si="89"/>
        <v>0.10397295012679637</v>
      </c>
      <c r="Z334" s="1">
        <f>'01_WHOQOL_Items'!D334</f>
        <v>2</v>
      </c>
      <c r="AA334" s="1">
        <f>'01_WHOQOL_Items'!AD334</f>
        <v>2</v>
      </c>
      <c r="AB334" s="1">
        <f>'01_WHOQOL_Items'!E334</f>
        <v>4</v>
      </c>
      <c r="AC334" s="1">
        <f>'01_WHOQOL_Items'!AE334</f>
        <v>4</v>
      </c>
    </row>
    <row r="335" spans="1:29">
      <c r="A335" s="1" t="str">
        <f>'01_WHOQOL_Items'!A335</f>
        <v>CON-053</v>
      </c>
      <c r="B335" s="1" t="str">
        <f>'01_WHOQOL_Items'!B335</f>
        <v>Control</v>
      </c>
      <c r="C335" s="4">
        <f>4*(((6-'01_WHOQOL_Items'!F335) + (6-'01_WHOQOL_Items'!G335) + '01_WHOQOL_Items'!M335 + '01_WHOQOL_Items'!R335 + '01_WHOQOL_Items'!S335 + '01_WHOQOL_Items'!T335 + '01_WHOQOL_Items'!U335)/7)</f>
        <v>12</v>
      </c>
      <c r="D335" s="4">
        <f>4*(((6-'01_WHOQOL_Items'!AF335) + (6-'01_WHOQOL_Items'!AG335) + '01_WHOQOL_Items'!AM335 + '01_WHOQOL_Items'!AR335 + '01_WHOQOL_Items'!AS335 + '01_WHOQOL_Items'!AT335 + '01_WHOQOL_Items'!AU335)/7)</f>
        <v>12</v>
      </c>
      <c r="E335" s="4">
        <f t="shared" si="75"/>
        <v>50</v>
      </c>
      <c r="F335" s="4">
        <f t="shared" si="76"/>
        <v>50</v>
      </c>
      <c r="G335" s="5">
        <f t="shared" si="77"/>
        <v>0</v>
      </c>
      <c r="H335" s="4">
        <f>4*(('01_WHOQOL_Items'!H335 + '01_WHOQOL_Items'!I335 + '01_WHOQOL_Items'!J335 + '01_WHOQOL_Items'!N335 + '01_WHOQOL_Items'!V335 + (6-'01_WHOQOL_Items'!AC335))/6)</f>
        <v>12.666666666666666</v>
      </c>
      <c r="I335" s="4">
        <f>4*(('01_WHOQOL_Items'!AH335 + '01_WHOQOL_Items'!AI335 + '01_WHOQOL_Items'!AJ335 + '01_WHOQOL_Items'!AN335 + '01_WHOQOL_Items'!AV335 + (6-'01_WHOQOL_Items'!BC335))/6)</f>
        <v>12</v>
      </c>
      <c r="J335" s="4">
        <f t="shared" si="78"/>
        <v>54.166666666666664</v>
      </c>
      <c r="K335" s="4">
        <f t="shared" si="79"/>
        <v>50</v>
      </c>
      <c r="L335" s="5">
        <f t="shared" si="80"/>
        <v>-7.6923076923076886E-2</v>
      </c>
      <c r="M335" s="4">
        <f>4*(('01_WHOQOL_Items'!W335 + '01_WHOQOL_Items'!X335 + '01_WHOQOL_Items'!Y335)/3)</f>
        <v>10.666666666666666</v>
      </c>
      <c r="N335" s="4">
        <f>4*(('01_WHOQOL_Items'!AW335 + '01_WHOQOL_Items'!AX335 + '01_WHOQOL_Items'!AY335)/3)</f>
        <v>12</v>
      </c>
      <c r="O335" s="4">
        <f t="shared" si="81"/>
        <v>41.666666666666664</v>
      </c>
      <c r="P335" s="4">
        <f t="shared" si="82"/>
        <v>50</v>
      </c>
      <c r="Q335" s="5">
        <f t="shared" si="83"/>
        <v>0.20000000000000007</v>
      </c>
      <c r="R335" s="4">
        <f>4*(('01_WHOQOL_Items'!K335 + '01_WHOQOL_Items'!L335 + '01_WHOQOL_Items'!O335 + '01_WHOQOL_Items'!P335 + '01_WHOQOL_Items'!Q335 + '01_WHOQOL_Items'!Z335 + '01_WHOQOL_Items'!AA335 + '01_WHOQOL_Items'!AB335)/8)</f>
        <v>8.5</v>
      </c>
      <c r="S335" s="4">
        <f>4*(('01_WHOQOL_Items'!AK335 + '01_WHOQOL_Items'!AL335 + '01_WHOQOL_Items'!AO335 + '01_WHOQOL_Items'!AP335 + '01_WHOQOL_Items'!AQ335 + '01_WHOQOL_Items'!AZ335 + '01_WHOQOL_Items'!BA335 + '01_WHOQOL_Items'!BB335)/8)</f>
        <v>9.5</v>
      </c>
      <c r="T335" s="4">
        <f t="shared" si="84"/>
        <v>28.125</v>
      </c>
      <c r="U335" s="4">
        <f t="shared" si="85"/>
        <v>34.375</v>
      </c>
      <c r="V335" s="5">
        <f t="shared" si="86"/>
        <v>0.22222222222222221</v>
      </c>
      <c r="W335" s="4">
        <f t="shared" si="87"/>
        <v>43.489583333333329</v>
      </c>
      <c r="X335" s="4">
        <f t="shared" si="88"/>
        <v>46.09375</v>
      </c>
      <c r="Y335" s="5">
        <f t="shared" si="89"/>
        <v>5.9880239520958202E-2</v>
      </c>
      <c r="Z335" s="1">
        <f>'01_WHOQOL_Items'!D335</f>
        <v>3</v>
      </c>
      <c r="AA335" s="1">
        <f>'01_WHOQOL_Items'!AD335</f>
        <v>3</v>
      </c>
      <c r="AB335" s="1">
        <f>'01_WHOQOL_Items'!E335</f>
        <v>4</v>
      </c>
      <c r="AC335" s="1">
        <f>'01_WHOQOL_Items'!AE335</f>
        <v>3</v>
      </c>
    </row>
    <row r="336" spans="1:29">
      <c r="A336" s="1" t="str">
        <f>'01_WHOQOL_Items'!A336</f>
        <v>CON-054</v>
      </c>
      <c r="B336" s="1" t="str">
        <f>'01_WHOQOL_Items'!B336</f>
        <v>Control</v>
      </c>
      <c r="C336" s="4">
        <f>4*(((6-'01_WHOQOL_Items'!F336) + (6-'01_WHOQOL_Items'!G336) + '01_WHOQOL_Items'!M336 + '01_WHOQOL_Items'!R336 + '01_WHOQOL_Items'!S336 + '01_WHOQOL_Items'!T336 + '01_WHOQOL_Items'!U336)/7)</f>
        <v>12.571428571428571</v>
      </c>
      <c r="D336" s="4">
        <f>4*(((6-'01_WHOQOL_Items'!AF336) + (6-'01_WHOQOL_Items'!AG336) + '01_WHOQOL_Items'!AM336 + '01_WHOQOL_Items'!AR336 + '01_WHOQOL_Items'!AS336 + '01_WHOQOL_Items'!AT336 + '01_WHOQOL_Items'!AU336)/7)</f>
        <v>12</v>
      </c>
      <c r="E336" s="4">
        <f t="shared" si="75"/>
        <v>53.571428571428569</v>
      </c>
      <c r="F336" s="4">
        <f t="shared" si="76"/>
        <v>50</v>
      </c>
      <c r="G336" s="5">
        <f t="shared" si="77"/>
        <v>-6.6666666666666638E-2</v>
      </c>
      <c r="H336" s="4">
        <f>4*(('01_WHOQOL_Items'!H336 + '01_WHOQOL_Items'!I336 + '01_WHOQOL_Items'!J336 + '01_WHOQOL_Items'!N336 + '01_WHOQOL_Items'!V336 + (6-'01_WHOQOL_Items'!AC336))/6)</f>
        <v>11.333333333333334</v>
      </c>
      <c r="I336" s="4">
        <f>4*(('01_WHOQOL_Items'!AH336 + '01_WHOQOL_Items'!AI336 + '01_WHOQOL_Items'!AJ336 + '01_WHOQOL_Items'!AN336 + '01_WHOQOL_Items'!AV336 + (6-'01_WHOQOL_Items'!BC336))/6)</f>
        <v>13.333333333333334</v>
      </c>
      <c r="J336" s="4">
        <f t="shared" si="78"/>
        <v>45.833333333333336</v>
      </c>
      <c r="K336" s="4">
        <f t="shared" si="79"/>
        <v>58.333333333333336</v>
      </c>
      <c r="L336" s="5">
        <f t="shared" si="80"/>
        <v>0.27272727272727271</v>
      </c>
      <c r="M336" s="4">
        <f>4*(('01_WHOQOL_Items'!W336 + '01_WHOQOL_Items'!X336 + '01_WHOQOL_Items'!Y336)/3)</f>
        <v>10.666666666666666</v>
      </c>
      <c r="N336" s="4">
        <f>4*(('01_WHOQOL_Items'!AW336 + '01_WHOQOL_Items'!AX336 + '01_WHOQOL_Items'!AY336)/3)</f>
        <v>10.666666666666666</v>
      </c>
      <c r="O336" s="4">
        <f t="shared" si="81"/>
        <v>41.666666666666664</v>
      </c>
      <c r="P336" s="4">
        <f t="shared" si="82"/>
        <v>41.666666666666664</v>
      </c>
      <c r="Q336" s="5">
        <f t="shared" si="83"/>
        <v>0</v>
      </c>
      <c r="R336" s="4">
        <f>4*(('01_WHOQOL_Items'!K336 + '01_WHOQOL_Items'!L336 + '01_WHOQOL_Items'!O336 + '01_WHOQOL_Items'!P336 + '01_WHOQOL_Items'!Q336 + '01_WHOQOL_Items'!Z336 + '01_WHOQOL_Items'!AA336 + '01_WHOQOL_Items'!AB336)/8)</f>
        <v>13.5</v>
      </c>
      <c r="S336" s="4">
        <f>4*(('01_WHOQOL_Items'!AK336 + '01_WHOQOL_Items'!AL336 + '01_WHOQOL_Items'!AO336 + '01_WHOQOL_Items'!AP336 + '01_WHOQOL_Items'!AQ336 + '01_WHOQOL_Items'!AZ336 + '01_WHOQOL_Items'!BA336 + '01_WHOQOL_Items'!BB336)/8)</f>
        <v>12.5</v>
      </c>
      <c r="T336" s="4">
        <f t="shared" si="84"/>
        <v>59.375</v>
      </c>
      <c r="U336" s="4">
        <f t="shared" si="85"/>
        <v>53.125</v>
      </c>
      <c r="V336" s="5">
        <f t="shared" si="86"/>
        <v>-0.10526315789473684</v>
      </c>
      <c r="W336" s="4">
        <f t="shared" si="87"/>
        <v>50.111607142857139</v>
      </c>
      <c r="X336" s="4">
        <f t="shared" si="88"/>
        <v>50.78125</v>
      </c>
      <c r="Y336" s="5">
        <f t="shared" si="89"/>
        <v>1.336302895322948E-2</v>
      </c>
      <c r="Z336" s="1">
        <f>'01_WHOQOL_Items'!D336</f>
        <v>3</v>
      </c>
      <c r="AA336" s="1">
        <f>'01_WHOQOL_Items'!AD336</f>
        <v>4</v>
      </c>
      <c r="AB336" s="1">
        <f>'01_WHOQOL_Items'!E336</f>
        <v>4</v>
      </c>
      <c r="AC336" s="1">
        <f>'01_WHOQOL_Items'!AE336</f>
        <v>2</v>
      </c>
    </row>
    <row r="337" spans="1:29">
      <c r="A337" s="1" t="str">
        <f>'01_WHOQOL_Items'!A337</f>
        <v>CON-055</v>
      </c>
      <c r="B337" s="1" t="str">
        <f>'01_WHOQOL_Items'!B337</f>
        <v>Control</v>
      </c>
      <c r="C337" s="4">
        <f>4*(((6-'01_WHOQOL_Items'!F337) + (6-'01_WHOQOL_Items'!G337) + '01_WHOQOL_Items'!M337 + '01_WHOQOL_Items'!R337 + '01_WHOQOL_Items'!S337 + '01_WHOQOL_Items'!T337 + '01_WHOQOL_Items'!U337)/7)</f>
        <v>10.857142857142858</v>
      </c>
      <c r="D337" s="4">
        <f>4*(((6-'01_WHOQOL_Items'!AF337) + (6-'01_WHOQOL_Items'!AG337) + '01_WHOQOL_Items'!AM337 + '01_WHOQOL_Items'!AR337 + '01_WHOQOL_Items'!AS337 + '01_WHOQOL_Items'!AT337 + '01_WHOQOL_Items'!AU337)/7)</f>
        <v>11.428571428571429</v>
      </c>
      <c r="E337" s="4">
        <f t="shared" si="75"/>
        <v>42.857142857142861</v>
      </c>
      <c r="F337" s="4">
        <f t="shared" si="76"/>
        <v>46.428571428571431</v>
      </c>
      <c r="G337" s="5">
        <f t="shared" si="77"/>
        <v>8.3333333333333273E-2</v>
      </c>
      <c r="H337" s="4">
        <f>4*(('01_WHOQOL_Items'!H337 + '01_WHOQOL_Items'!I337 + '01_WHOQOL_Items'!J337 + '01_WHOQOL_Items'!N337 + '01_WHOQOL_Items'!V337 + (6-'01_WHOQOL_Items'!AC337))/6)</f>
        <v>11.333333333333334</v>
      </c>
      <c r="I337" s="4">
        <f>4*(('01_WHOQOL_Items'!AH337 + '01_WHOQOL_Items'!AI337 + '01_WHOQOL_Items'!AJ337 + '01_WHOQOL_Items'!AN337 + '01_WHOQOL_Items'!AV337 + (6-'01_WHOQOL_Items'!BC337))/6)</f>
        <v>11.333333333333334</v>
      </c>
      <c r="J337" s="4">
        <f t="shared" si="78"/>
        <v>45.833333333333336</v>
      </c>
      <c r="K337" s="4">
        <f t="shared" si="79"/>
        <v>45.833333333333336</v>
      </c>
      <c r="L337" s="5">
        <f t="shared" si="80"/>
        <v>0</v>
      </c>
      <c r="M337" s="4">
        <f>4*(('01_WHOQOL_Items'!W337 + '01_WHOQOL_Items'!X337 + '01_WHOQOL_Items'!Y337)/3)</f>
        <v>9.3333333333333339</v>
      </c>
      <c r="N337" s="4">
        <f>4*(('01_WHOQOL_Items'!AW337 + '01_WHOQOL_Items'!AX337 + '01_WHOQOL_Items'!AY337)/3)</f>
        <v>8</v>
      </c>
      <c r="O337" s="4">
        <f t="shared" si="81"/>
        <v>33.333333333333336</v>
      </c>
      <c r="P337" s="4">
        <f t="shared" si="82"/>
        <v>25</v>
      </c>
      <c r="Q337" s="5">
        <f t="shared" si="83"/>
        <v>-0.25000000000000006</v>
      </c>
      <c r="R337" s="4">
        <f>4*(('01_WHOQOL_Items'!K337 + '01_WHOQOL_Items'!L337 + '01_WHOQOL_Items'!O337 + '01_WHOQOL_Items'!P337 + '01_WHOQOL_Items'!Q337 + '01_WHOQOL_Items'!Z337 + '01_WHOQOL_Items'!AA337 + '01_WHOQOL_Items'!AB337)/8)</f>
        <v>11.5</v>
      </c>
      <c r="S337" s="4">
        <f>4*(('01_WHOQOL_Items'!AK337 + '01_WHOQOL_Items'!AL337 + '01_WHOQOL_Items'!AO337 + '01_WHOQOL_Items'!AP337 + '01_WHOQOL_Items'!AQ337 + '01_WHOQOL_Items'!AZ337 + '01_WHOQOL_Items'!BA337 + '01_WHOQOL_Items'!BB337)/8)</f>
        <v>12</v>
      </c>
      <c r="T337" s="4">
        <f t="shared" si="84"/>
        <v>46.875</v>
      </c>
      <c r="U337" s="4">
        <f t="shared" si="85"/>
        <v>50</v>
      </c>
      <c r="V337" s="5">
        <f t="shared" si="86"/>
        <v>6.6666666666666666E-2</v>
      </c>
      <c r="W337" s="4">
        <f t="shared" si="87"/>
        <v>42.224702380952387</v>
      </c>
      <c r="X337" s="4">
        <f t="shared" si="88"/>
        <v>41.81547619047619</v>
      </c>
      <c r="Y337" s="5">
        <f t="shared" si="89"/>
        <v>-9.6916299559472868E-3</v>
      </c>
      <c r="Z337" s="1">
        <f>'01_WHOQOL_Items'!D337</f>
        <v>3</v>
      </c>
      <c r="AA337" s="1">
        <f>'01_WHOQOL_Items'!AD337</f>
        <v>3</v>
      </c>
      <c r="AB337" s="1">
        <f>'01_WHOQOL_Items'!E337</f>
        <v>3</v>
      </c>
      <c r="AC337" s="1">
        <f>'01_WHOQOL_Items'!AE337</f>
        <v>3</v>
      </c>
    </row>
    <row r="338" spans="1:29">
      <c r="A338" s="1" t="str">
        <f>'01_WHOQOL_Items'!A338</f>
        <v>CON-056</v>
      </c>
      <c r="B338" s="1" t="str">
        <f>'01_WHOQOL_Items'!B338</f>
        <v>Control</v>
      </c>
      <c r="C338" s="4">
        <f>4*(((6-'01_WHOQOL_Items'!F338) + (6-'01_WHOQOL_Items'!G338) + '01_WHOQOL_Items'!M338 + '01_WHOQOL_Items'!R338 + '01_WHOQOL_Items'!S338 + '01_WHOQOL_Items'!T338 + '01_WHOQOL_Items'!U338)/7)</f>
        <v>12.571428571428571</v>
      </c>
      <c r="D338" s="4">
        <f>4*(((6-'01_WHOQOL_Items'!AF338) + (6-'01_WHOQOL_Items'!AG338) + '01_WHOQOL_Items'!AM338 + '01_WHOQOL_Items'!AR338 + '01_WHOQOL_Items'!AS338 + '01_WHOQOL_Items'!AT338 + '01_WHOQOL_Items'!AU338)/7)</f>
        <v>13.714285714285714</v>
      </c>
      <c r="E338" s="4">
        <f t="shared" si="75"/>
        <v>53.571428571428569</v>
      </c>
      <c r="F338" s="4">
        <f t="shared" si="76"/>
        <v>60.714285714285708</v>
      </c>
      <c r="G338" s="5">
        <f t="shared" si="77"/>
        <v>0.13333333333333328</v>
      </c>
      <c r="H338" s="4">
        <f>4*(('01_WHOQOL_Items'!H338 + '01_WHOQOL_Items'!I338 + '01_WHOQOL_Items'!J338 + '01_WHOQOL_Items'!N338 + '01_WHOQOL_Items'!V338 + (6-'01_WHOQOL_Items'!AC338))/6)</f>
        <v>8.6666666666666661</v>
      </c>
      <c r="I338" s="4">
        <f>4*(('01_WHOQOL_Items'!AH338 + '01_WHOQOL_Items'!AI338 + '01_WHOQOL_Items'!AJ338 + '01_WHOQOL_Items'!AN338 + '01_WHOQOL_Items'!AV338 + (6-'01_WHOQOL_Items'!BC338))/6)</f>
        <v>12</v>
      </c>
      <c r="J338" s="4">
        <f t="shared" si="78"/>
        <v>29.166666666666664</v>
      </c>
      <c r="K338" s="4">
        <f t="shared" si="79"/>
        <v>50</v>
      </c>
      <c r="L338" s="5">
        <f t="shared" si="80"/>
        <v>0.71428571428571441</v>
      </c>
      <c r="M338" s="4">
        <f>4*(('01_WHOQOL_Items'!W338 + '01_WHOQOL_Items'!X338 + '01_WHOQOL_Items'!Y338)/3)</f>
        <v>10.666666666666666</v>
      </c>
      <c r="N338" s="4">
        <f>4*(('01_WHOQOL_Items'!AW338 + '01_WHOQOL_Items'!AX338 + '01_WHOQOL_Items'!AY338)/3)</f>
        <v>13.333333333333334</v>
      </c>
      <c r="O338" s="4">
        <f t="shared" si="81"/>
        <v>41.666666666666664</v>
      </c>
      <c r="P338" s="4">
        <f t="shared" si="82"/>
        <v>58.333333333333336</v>
      </c>
      <c r="Q338" s="5">
        <f t="shared" si="83"/>
        <v>0.40000000000000013</v>
      </c>
      <c r="R338" s="4">
        <f>4*(('01_WHOQOL_Items'!K338 + '01_WHOQOL_Items'!L338 + '01_WHOQOL_Items'!O338 + '01_WHOQOL_Items'!P338 + '01_WHOQOL_Items'!Q338 + '01_WHOQOL_Items'!Z338 + '01_WHOQOL_Items'!AA338 + '01_WHOQOL_Items'!AB338)/8)</f>
        <v>17</v>
      </c>
      <c r="S338" s="4">
        <f>4*(('01_WHOQOL_Items'!AK338 + '01_WHOQOL_Items'!AL338 + '01_WHOQOL_Items'!AO338 + '01_WHOQOL_Items'!AP338 + '01_WHOQOL_Items'!AQ338 + '01_WHOQOL_Items'!AZ338 + '01_WHOQOL_Items'!BA338 + '01_WHOQOL_Items'!BB338)/8)</f>
        <v>18</v>
      </c>
      <c r="T338" s="4">
        <f t="shared" si="84"/>
        <v>81.25</v>
      </c>
      <c r="U338" s="4">
        <f t="shared" si="85"/>
        <v>87.5</v>
      </c>
      <c r="V338" s="5">
        <f t="shared" si="86"/>
        <v>7.6923076923076927E-2</v>
      </c>
      <c r="W338" s="4">
        <f t="shared" si="87"/>
        <v>51.413690476190474</v>
      </c>
      <c r="X338" s="4">
        <f t="shared" si="88"/>
        <v>64.136904761904759</v>
      </c>
      <c r="Y338" s="5">
        <f t="shared" si="89"/>
        <v>0.24746743849493485</v>
      </c>
      <c r="Z338" s="1">
        <f>'01_WHOQOL_Items'!D338</f>
        <v>3</v>
      </c>
      <c r="AA338" s="1">
        <f>'01_WHOQOL_Items'!AD338</f>
        <v>3</v>
      </c>
      <c r="AB338" s="1">
        <f>'01_WHOQOL_Items'!E338</f>
        <v>3</v>
      </c>
      <c r="AC338" s="1">
        <f>'01_WHOQOL_Items'!AE338</f>
        <v>4</v>
      </c>
    </row>
    <row r="339" spans="1:29">
      <c r="A339" s="1" t="str">
        <f>'01_WHOQOL_Items'!A339</f>
        <v>CON-057</v>
      </c>
      <c r="B339" s="1" t="str">
        <f>'01_WHOQOL_Items'!B339</f>
        <v>Control</v>
      </c>
      <c r="C339" s="4">
        <f>4*(((6-'01_WHOQOL_Items'!F339) + (6-'01_WHOQOL_Items'!G339) + '01_WHOQOL_Items'!M339 + '01_WHOQOL_Items'!R339 + '01_WHOQOL_Items'!S339 + '01_WHOQOL_Items'!T339 + '01_WHOQOL_Items'!U339)/7)</f>
        <v>12</v>
      </c>
      <c r="D339" s="4">
        <f>4*(((6-'01_WHOQOL_Items'!AF339) + (6-'01_WHOQOL_Items'!AG339) + '01_WHOQOL_Items'!AM339 + '01_WHOQOL_Items'!AR339 + '01_WHOQOL_Items'!AS339 + '01_WHOQOL_Items'!AT339 + '01_WHOQOL_Items'!AU339)/7)</f>
        <v>12</v>
      </c>
      <c r="E339" s="4">
        <f t="shared" si="75"/>
        <v>50</v>
      </c>
      <c r="F339" s="4">
        <f t="shared" si="76"/>
        <v>50</v>
      </c>
      <c r="G339" s="5">
        <f t="shared" si="77"/>
        <v>0</v>
      </c>
      <c r="H339" s="4">
        <f>4*(('01_WHOQOL_Items'!H339 + '01_WHOQOL_Items'!I339 + '01_WHOQOL_Items'!J339 + '01_WHOQOL_Items'!N339 + '01_WHOQOL_Items'!V339 + (6-'01_WHOQOL_Items'!AC339))/6)</f>
        <v>7.333333333333333</v>
      </c>
      <c r="I339" s="4">
        <f>4*(('01_WHOQOL_Items'!AH339 + '01_WHOQOL_Items'!AI339 + '01_WHOQOL_Items'!AJ339 + '01_WHOQOL_Items'!AN339 + '01_WHOQOL_Items'!AV339 + (6-'01_WHOQOL_Items'!BC339))/6)</f>
        <v>11.333333333333334</v>
      </c>
      <c r="J339" s="4">
        <f t="shared" si="78"/>
        <v>20.833333333333332</v>
      </c>
      <c r="K339" s="4">
        <f t="shared" si="79"/>
        <v>45.833333333333336</v>
      </c>
      <c r="L339" s="5">
        <f t="shared" si="80"/>
        <v>1.2000000000000002</v>
      </c>
      <c r="M339" s="4">
        <f>4*(('01_WHOQOL_Items'!W339 + '01_WHOQOL_Items'!X339 + '01_WHOQOL_Items'!Y339)/3)</f>
        <v>10.666666666666666</v>
      </c>
      <c r="N339" s="4">
        <f>4*(('01_WHOQOL_Items'!AW339 + '01_WHOQOL_Items'!AX339 + '01_WHOQOL_Items'!AY339)/3)</f>
        <v>9.3333333333333339</v>
      </c>
      <c r="O339" s="4">
        <f t="shared" si="81"/>
        <v>41.666666666666664</v>
      </c>
      <c r="P339" s="4">
        <f t="shared" si="82"/>
        <v>33.333333333333336</v>
      </c>
      <c r="Q339" s="5">
        <f t="shared" si="83"/>
        <v>-0.1999999999999999</v>
      </c>
      <c r="R339" s="4">
        <f>4*(('01_WHOQOL_Items'!K339 + '01_WHOQOL_Items'!L339 + '01_WHOQOL_Items'!O339 + '01_WHOQOL_Items'!P339 + '01_WHOQOL_Items'!Q339 + '01_WHOQOL_Items'!Z339 + '01_WHOQOL_Items'!AA339 + '01_WHOQOL_Items'!AB339)/8)</f>
        <v>12</v>
      </c>
      <c r="S339" s="4">
        <f>4*(('01_WHOQOL_Items'!AK339 + '01_WHOQOL_Items'!AL339 + '01_WHOQOL_Items'!AO339 + '01_WHOQOL_Items'!AP339 + '01_WHOQOL_Items'!AQ339 + '01_WHOQOL_Items'!AZ339 + '01_WHOQOL_Items'!BA339 + '01_WHOQOL_Items'!BB339)/8)</f>
        <v>15</v>
      </c>
      <c r="T339" s="4">
        <f t="shared" si="84"/>
        <v>50</v>
      </c>
      <c r="U339" s="4">
        <f t="shared" si="85"/>
        <v>68.75</v>
      </c>
      <c r="V339" s="5">
        <f t="shared" si="86"/>
        <v>0.375</v>
      </c>
      <c r="W339" s="4">
        <f t="shared" si="87"/>
        <v>40.625</v>
      </c>
      <c r="X339" s="4">
        <f t="shared" si="88"/>
        <v>49.479166666666671</v>
      </c>
      <c r="Y339" s="5">
        <f t="shared" si="89"/>
        <v>0.21794871794871806</v>
      </c>
      <c r="Z339" s="1">
        <f>'01_WHOQOL_Items'!D339</f>
        <v>2</v>
      </c>
      <c r="AA339" s="1">
        <f>'01_WHOQOL_Items'!AD339</f>
        <v>3</v>
      </c>
      <c r="AB339" s="1">
        <f>'01_WHOQOL_Items'!E339</f>
        <v>3</v>
      </c>
      <c r="AC339" s="1">
        <f>'01_WHOQOL_Items'!AE339</f>
        <v>3</v>
      </c>
    </row>
    <row r="340" spans="1:29">
      <c r="A340" s="1" t="str">
        <f>'01_WHOQOL_Items'!A340</f>
        <v>CON-058</v>
      </c>
      <c r="B340" s="1" t="str">
        <f>'01_WHOQOL_Items'!B340</f>
        <v>Control</v>
      </c>
      <c r="C340" s="4">
        <f>4*(((6-'01_WHOQOL_Items'!F340) + (6-'01_WHOQOL_Items'!G340) + '01_WHOQOL_Items'!M340 + '01_WHOQOL_Items'!R340 + '01_WHOQOL_Items'!S340 + '01_WHOQOL_Items'!T340 + '01_WHOQOL_Items'!U340)/7)</f>
        <v>13.142857142857142</v>
      </c>
      <c r="D340" s="4">
        <f>4*(((6-'01_WHOQOL_Items'!AF340) + (6-'01_WHOQOL_Items'!AG340) + '01_WHOQOL_Items'!AM340 + '01_WHOQOL_Items'!AR340 + '01_WHOQOL_Items'!AS340 + '01_WHOQOL_Items'!AT340 + '01_WHOQOL_Items'!AU340)/7)</f>
        <v>12</v>
      </c>
      <c r="E340" s="4">
        <f t="shared" si="75"/>
        <v>57.142857142857139</v>
      </c>
      <c r="F340" s="4">
        <f t="shared" si="76"/>
        <v>50</v>
      </c>
      <c r="G340" s="5">
        <f t="shared" si="77"/>
        <v>-0.12499999999999994</v>
      </c>
      <c r="H340" s="4">
        <f>4*(('01_WHOQOL_Items'!H340 + '01_WHOQOL_Items'!I340 + '01_WHOQOL_Items'!J340 + '01_WHOQOL_Items'!N340 + '01_WHOQOL_Items'!V340 + (6-'01_WHOQOL_Items'!AC340))/6)</f>
        <v>8</v>
      </c>
      <c r="I340" s="4">
        <f>4*(('01_WHOQOL_Items'!AH340 + '01_WHOQOL_Items'!AI340 + '01_WHOQOL_Items'!AJ340 + '01_WHOQOL_Items'!AN340 + '01_WHOQOL_Items'!AV340 + (6-'01_WHOQOL_Items'!BC340))/6)</f>
        <v>6.666666666666667</v>
      </c>
      <c r="J340" s="4">
        <f t="shared" si="78"/>
        <v>25</v>
      </c>
      <c r="K340" s="4">
        <f t="shared" si="79"/>
        <v>16.666666666666668</v>
      </c>
      <c r="L340" s="5">
        <f t="shared" si="80"/>
        <v>-0.33333333333333326</v>
      </c>
      <c r="M340" s="4">
        <f>4*(('01_WHOQOL_Items'!W340 + '01_WHOQOL_Items'!X340 + '01_WHOQOL_Items'!Y340)/3)</f>
        <v>13.333333333333334</v>
      </c>
      <c r="N340" s="4">
        <f>4*(('01_WHOQOL_Items'!AW340 + '01_WHOQOL_Items'!AX340 + '01_WHOQOL_Items'!AY340)/3)</f>
        <v>16</v>
      </c>
      <c r="O340" s="4">
        <f t="shared" si="81"/>
        <v>58.333333333333336</v>
      </c>
      <c r="P340" s="4">
        <f t="shared" si="82"/>
        <v>75</v>
      </c>
      <c r="Q340" s="5">
        <f t="shared" si="83"/>
        <v>0.28571428571428564</v>
      </c>
      <c r="R340" s="4">
        <f>4*(('01_WHOQOL_Items'!K340 + '01_WHOQOL_Items'!L340 + '01_WHOQOL_Items'!O340 + '01_WHOQOL_Items'!P340 + '01_WHOQOL_Items'!Q340 + '01_WHOQOL_Items'!Z340 + '01_WHOQOL_Items'!AA340 + '01_WHOQOL_Items'!AB340)/8)</f>
        <v>16.5</v>
      </c>
      <c r="S340" s="4">
        <f>4*(('01_WHOQOL_Items'!AK340 + '01_WHOQOL_Items'!AL340 + '01_WHOQOL_Items'!AO340 + '01_WHOQOL_Items'!AP340 + '01_WHOQOL_Items'!AQ340 + '01_WHOQOL_Items'!AZ340 + '01_WHOQOL_Items'!BA340 + '01_WHOQOL_Items'!BB340)/8)</f>
        <v>18.5</v>
      </c>
      <c r="T340" s="4">
        <f t="shared" si="84"/>
        <v>78.125</v>
      </c>
      <c r="U340" s="4">
        <f t="shared" si="85"/>
        <v>90.625</v>
      </c>
      <c r="V340" s="5">
        <f t="shared" si="86"/>
        <v>0.16</v>
      </c>
      <c r="W340" s="4">
        <f t="shared" si="87"/>
        <v>54.65029761904762</v>
      </c>
      <c r="X340" s="4">
        <f t="shared" si="88"/>
        <v>58.072916666666671</v>
      </c>
      <c r="Y340" s="5">
        <f t="shared" si="89"/>
        <v>6.2627637848876844E-2</v>
      </c>
      <c r="Z340" s="1">
        <f>'01_WHOQOL_Items'!D340</f>
        <v>4</v>
      </c>
      <c r="AA340" s="1">
        <f>'01_WHOQOL_Items'!AD340</f>
        <v>2</v>
      </c>
      <c r="AB340" s="1">
        <f>'01_WHOQOL_Items'!E340</f>
        <v>3</v>
      </c>
      <c r="AC340" s="1">
        <f>'01_WHOQOL_Items'!AE340</f>
        <v>3</v>
      </c>
    </row>
    <row r="341" spans="1:29">
      <c r="A341" s="1" t="str">
        <f>'01_WHOQOL_Items'!A341</f>
        <v>CON-059</v>
      </c>
      <c r="B341" s="1" t="str">
        <f>'01_WHOQOL_Items'!B341</f>
        <v>Control</v>
      </c>
      <c r="C341" s="4">
        <f>4*(((6-'01_WHOQOL_Items'!F341) + (6-'01_WHOQOL_Items'!G341) + '01_WHOQOL_Items'!M341 + '01_WHOQOL_Items'!R341 + '01_WHOQOL_Items'!S341 + '01_WHOQOL_Items'!T341 + '01_WHOQOL_Items'!U341)/7)</f>
        <v>16.571428571428573</v>
      </c>
      <c r="D341" s="4">
        <f>4*(((6-'01_WHOQOL_Items'!AF341) + (6-'01_WHOQOL_Items'!AG341) + '01_WHOQOL_Items'!AM341 + '01_WHOQOL_Items'!AR341 + '01_WHOQOL_Items'!AS341 + '01_WHOQOL_Items'!AT341 + '01_WHOQOL_Items'!AU341)/7)</f>
        <v>16.571428571428573</v>
      </c>
      <c r="E341" s="4">
        <f t="shared" si="75"/>
        <v>78.571428571428584</v>
      </c>
      <c r="F341" s="4">
        <f t="shared" si="76"/>
        <v>78.571428571428584</v>
      </c>
      <c r="G341" s="5">
        <f t="shared" si="77"/>
        <v>0</v>
      </c>
      <c r="H341" s="4">
        <f>4*(('01_WHOQOL_Items'!H341 + '01_WHOQOL_Items'!I341 + '01_WHOQOL_Items'!J341 + '01_WHOQOL_Items'!N341 + '01_WHOQOL_Items'!V341 + (6-'01_WHOQOL_Items'!AC341))/6)</f>
        <v>12</v>
      </c>
      <c r="I341" s="4">
        <f>4*(('01_WHOQOL_Items'!AH341 + '01_WHOQOL_Items'!AI341 + '01_WHOQOL_Items'!AJ341 + '01_WHOQOL_Items'!AN341 + '01_WHOQOL_Items'!AV341 + (6-'01_WHOQOL_Items'!BC341))/6)</f>
        <v>13.333333333333334</v>
      </c>
      <c r="J341" s="4">
        <f t="shared" si="78"/>
        <v>50</v>
      </c>
      <c r="K341" s="4">
        <f t="shared" si="79"/>
        <v>58.333333333333336</v>
      </c>
      <c r="L341" s="5">
        <f t="shared" si="80"/>
        <v>0.16666666666666671</v>
      </c>
      <c r="M341" s="4">
        <f>4*(('01_WHOQOL_Items'!W341 + '01_WHOQOL_Items'!X341 + '01_WHOQOL_Items'!Y341)/3)</f>
        <v>12</v>
      </c>
      <c r="N341" s="4">
        <f>4*(('01_WHOQOL_Items'!AW341 + '01_WHOQOL_Items'!AX341 + '01_WHOQOL_Items'!AY341)/3)</f>
        <v>10.666666666666666</v>
      </c>
      <c r="O341" s="4">
        <f t="shared" si="81"/>
        <v>50</v>
      </c>
      <c r="P341" s="4">
        <f t="shared" si="82"/>
        <v>41.666666666666664</v>
      </c>
      <c r="Q341" s="5">
        <f t="shared" si="83"/>
        <v>-0.16666666666666671</v>
      </c>
      <c r="R341" s="4">
        <f>4*(('01_WHOQOL_Items'!K341 + '01_WHOQOL_Items'!L341 + '01_WHOQOL_Items'!O341 + '01_WHOQOL_Items'!P341 + '01_WHOQOL_Items'!Q341 + '01_WHOQOL_Items'!Z341 + '01_WHOQOL_Items'!AA341 + '01_WHOQOL_Items'!AB341)/8)</f>
        <v>13.5</v>
      </c>
      <c r="S341" s="4">
        <f>4*(('01_WHOQOL_Items'!AK341 + '01_WHOQOL_Items'!AL341 + '01_WHOQOL_Items'!AO341 + '01_WHOQOL_Items'!AP341 + '01_WHOQOL_Items'!AQ341 + '01_WHOQOL_Items'!AZ341 + '01_WHOQOL_Items'!BA341 + '01_WHOQOL_Items'!BB341)/8)</f>
        <v>13</v>
      </c>
      <c r="T341" s="4">
        <f t="shared" si="84"/>
        <v>59.375</v>
      </c>
      <c r="U341" s="4">
        <f t="shared" si="85"/>
        <v>56.25</v>
      </c>
      <c r="V341" s="5">
        <f t="shared" si="86"/>
        <v>-5.2631578947368418E-2</v>
      </c>
      <c r="W341" s="4">
        <f t="shared" si="87"/>
        <v>59.486607142857146</v>
      </c>
      <c r="X341" s="4">
        <f t="shared" si="88"/>
        <v>58.705357142857146</v>
      </c>
      <c r="Y341" s="5">
        <f t="shared" si="89"/>
        <v>-1.3133208255159474E-2</v>
      </c>
      <c r="Z341" s="1">
        <f>'01_WHOQOL_Items'!D341</f>
        <v>4</v>
      </c>
      <c r="AA341" s="1">
        <f>'01_WHOQOL_Items'!AD341</f>
        <v>3</v>
      </c>
      <c r="AB341" s="1">
        <f>'01_WHOQOL_Items'!E341</f>
        <v>5</v>
      </c>
      <c r="AC341" s="1">
        <f>'01_WHOQOL_Items'!AE341</f>
        <v>4</v>
      </c>
    </row>
    <row r="342" spans="1:29">
      <c r="A342" s="1" t="str">
        <f>'01_WHOQOL_Items'!A342</f>
        <v>CON-060</v>
      </c>
      <c r="B342" s="1" t="str">
        <f>'01_WHOQOL_Items'!B342</f>
        <v>Control</v>
      </c>
      <c r="C342" s="4">
        <f>4*(((6-'01_WHOQOL_Items'!F342) + (6-'01_WHOQOL_Items'!G342) + '01_WHOQOL_Items'!M342 + '01_WHOQOL_Items'!R342 + '01_WHOQOL_Items'!S342 + '01_WHOQOL_Items'!T342 + '01_WHOQOL_Items'!U342)/7)</f>
        <v>13.714285714285714</v>
      </c>
      <c r="D342" s="4">
        <f>4*(((6-'01_WHOQOL_Items'!AF342) + (6-'01_WHOQOL_Items'!AG342) + '01_WHOQOL_Items'!AM342 + '01_WHOQOL_Items'!AR342 + '01_WHOQOL_Items'!AS342 + '01_WHOQOL_Items'!AT342 + '01_WHOQOL_Items'!AU342)/7)</f>
        <v>12</v>
      </c>
      <c r="E342" s="4">
        <f t="shared" si="75"/>
        <v>60.714285714285708</v>
      </c>
      <c r="F342" s="4">
        <f t="shared" si="76"/>
        <v>50</v>
      </c>
      <c r="G342" s="5">
        <f t="shared" si="77"/>
        <v>-0.17647058823529405</v>
      </c>
      <c r="H342" s="4">
        <f>4*(('01_WHOQOL_Items'!H342 + '01_WHOQOL_Items'!I342 + '01_WHOQOL_Items'!J342 + '01_WHOQOL_Items'!N342 + '01_WHOQOL_Items'!V342 + (6-'01_WHOQOL_Items'!AC342))/6)</f>
        <v>10.666666666666666</v>
      </c>
      <c r="I342" s="4">
        <f>4*(('01_WHOQOL_Items'!AH342 + '01_WHOQOL_Items'!AI342 + '01_WHOQOL_Items'!AJ342 + '01_WHOQOL_Items'!AN342 + '01_WHOQOL_Items'!AV342 + (6-'01_WHOQOL_Items'!BC342))/6)</f>
        <v>10.666666666666666</v>
      </c>
      <c r="J342" s="4">
        <f t="shared" si="78"/>
        <v>41.666666666666664</v>
      </c>
      <c r="K342" s="4">
        <f t="shared" si="79"/>
        <v>41.666666666666664</v>
      </c>
      <c r="L342" s="5">
        <f t="shared" si="80"/>
        <v>0</v>
      </c>
      <c r="M342" s="4">
        <f>4*(('01_WHOQOL_Items'!W342 + '01_WHOQOL_Items'!X342 + '01_WHOQOL_Items'!Y342)/3)</f>
        <v>10.666666666666666</v>
      </c>
      <c r="N342" s="4">
        <f>4*(('01_WHOQOL_Items'!AW342 + '01_WHOQOL_Items'!AX342 + '01_WHOQOL_Items'!AY342)/3)</f>
        <v>9.3333333333333339</v>
      </c>
      <c r="O342" s="4">
        <f t="shared" si="81"/>
        <v>41.666666666666664</v>
      </c>
      <c r="P342" s="4">
        <f t="shared" si="82"/>
        <v>33.333333333333336</v>
      </c>
      <c r="Q342" s="5">
        <f t="shared" si="83"/>
        <v>-0.1999999999999999</v>
      </c>
      <c r="R342" s="4">
        <f>4*(('01_WHOQOL_Items'!K342 + '01_WHOQOL_Items'!L342 + '01_WHOQOL_Items'!O342 + '01_WHOQOL_Items'!P342 + '01_WHOQOL_Items'!Q342 + '01_WHOQOL_Items'!Z342 + '01_WHOQOL_Items'!AA342 + '01_WHOQOL_Items'!AB342)/8)</f>
        <v>9</v>
      </c>
      <c r="S342" s="4">
        <f>4*(('01_WHOQOL_Items'!AK342 + '01_WHOQOL_Items'!AL342 + '01_WHOQOL_Items'!AO342 + '01_WHOQOL_Items'!AP342 + '01_WHOQOL_Items'!AQ342 + '01_WHOQOL_Items'!AZ342 + '01_WHOQOL_Items'!BA342 + '01_WHOQOL_Items'!BB342)/8)</f>
        <v>8</v>
      </c>
      <c r="T342" s="4">
        <f t="shared" si="84"/>
        <v>31.25</v>
      </c>
      <c r="U342" s="4">
        <f t="shared" si="85"/>
        <v>25</v>
      </c>
      <c r="V342" s="5">
        <f t="shared" si="86"/>
        <v>-0.2</v>
      </c>
      <c r="W342" s="4">
        <f t="shared" si="87"/>
        <v>43.824404761904759</v>
      </c>
      <c r="X342" s="4">
        <f t="shared" si="88"/>
        <v>37.5</v>
      </c>
      <c r="Y342" s="5">
        <f t="shared" si="89"/>
        <v>-0.14431239388794562</v>
      </c>
      <c r="Z342" s="1">
        <f>'01_WHOQOL_Items'!D342</f>
        <v>2</v>
      </c>
      <c r="AA342" s="1">
        <f>'01_WHOQOL_Items'!AD342</f>
        <v>2</v>
      </c>
      <c r="AB342" s="1">
        <f>'01_WHOQOL_Items'!E342</f>
        <v>3</v>
      </c>
      <c r="AC342" s="1">
        <f>'01_WHOQOL_Items'!AE342</f>
        <v>3</v>
      </c>
    </row>
    <row r="343" spans="1:29">
      <c r="A343" s="1" t="str">
        <f>'01_WHOQOL_Items'!A343</f>
        <v>CON-061</v>
      </c>
      <c r="B343" s="1" t="str">
        <f>'01_WHOQOL_Items'!B343</f>
        <v>Control</v>
      </c>
      <c r="C343" s="4">
        <f>4*(((6-'01_WHOQOL_Items'!F343) + (6-'01_WHOQOL_Items'!G343) + '01_WHOQOL_Items'!M343 + '01_WHOQOL_Items'!R343 + '01_WHOQOL_Items'!S343 + '01_WHOQOL_Items'!T343 + '01_WHOQOL_Items'!U343)/7)</f>
        <v>14.285714285714286</v>
      </c>
      <c r="D343" s="4">
        <f>4*(((6-'01_WHOQOL_Items'!AF343) + (6-'01_WHOQOL_Items'!AG343) + '01_WHOQOL_Items'!AM343 + '01_WHOQOL_Items'!AR343 + '01_WHOQOL_Items'!AS343 + '01_WHOQOL_Items'!AT343 + '01_WHOQOL_Items'!AU343)/7)</f>
        <v>17.142857142857142</v>
      </c>
      <c r="E343" s="4">
        <f t="shared" si="75"/>
        <v>64.285714285714292</v>
      </c>
      <c r="F343" s="4">
        <f t="shared" si="76"/>
        <v>82.142857142857139</v>
      </c>
      <c r="G343" s="5">
        <f t="shared" si="77"/>
        <v>0.27777777777777757</v>
      </c>
      <c r="H343" s="4">
        <f>4*(('01_WHOQOL_Items'!H343 + '01_WHOQOL_Items'!I343 + '01_WHOQOL_Items'!J343 + '01_WHOQOL_Items'!N343 + '01_WHOQOL_Items'!V343 + (6-'01_WHOQOL_Items'!AC343))/6)</f>
        <v>14.666666666666666</v>
      </c>
      <c r="I343" s="4">
        <f>4*(('01_WHOQOL_Items'!AH343 + '01_WHOQOL_Items'!AI343 + '01_WHOQOL_Items'!AJ343 + '01_WHOQOL_Items'!AN343 + '01_WHOQOL_Items'!AV343 + (6-'01_WHOQOL_Items'!BC343))/6)</f>
        <v>12.666666666666666</v>
      </c>
      <c r="J343" s="4">
        <f t="shared" si="78"/>
        <v>66.666666666666657</v>
      </c>
      <c r="K343" s="4">
        <f t="shared" si="79"/>
        <v>54.166666666666664</v>
      </c>
      <c r="L343" s="5">
        <f t="shared" si="80"/>
        <v>-0.18749999999999992</v>
      </c>
      <c r="M343" s="4">
        <f>4*(('01_WHOQOL_Items'!W343 + '01_WHOQOL_Items'!X343 + '01_WHOQOL_Items'!Y343)/3)</f>
        <v>10.666666666666666</v>
      </c>
      <c r="N343" s="4">
        <f>4*(('01_WHOQOL_Items'!AW343 + '01_WHOQOL_Items'!AX343 + '01_WHOQOL_Items'!AY343)/3)</f>
        <v>13.333333333333334</v>
      </c>
      <c r="O343" s="4">
        <f t="shared" si="81"/>
        <v>41.666666666666664</v>
      </c>
      <c r="P343" s="4">
        <f t="shared" si="82"/>
        <v>58.333333333333336</v>
      </c>
      <c r="Q343" s="5">
        <f t="shared" si="83"/>
        <v>0.40000000000000013</v>
      </c>
      <c r="R343" s="4">
        <f>4*(('01_WHOQOL_Items'!K343 + '01_WHOQOL_Items'!L343 + '01_WHOQOL_Items'!O343 + '01_WHOQOL_Items'!P343 + '01_WHOQOL_Items'!Q343 + '01_WHOQOL_Items'!Z343 + '01_WHOQOL_Items'!AA343 + '01_WHOQOL_Items'!AB343)/8)</f>
        <v>9.5</v>
      </c>
      <c r="S343" s="4">
        <f>4*(('01_WHOQOL_Items'!AK343 + '01_WHOQOL_Items'!AL343 + '01_WHOQOL_Items'!AO343 + '01_WHOQOL_Items'!AP343 + '01_WHOQOL_Items'!AQ343 + '01_WHOQOL_Items'!AZ343 + '01_WHOQOL_Items'!BA343 + '01_WHOQOL_Items'!BB343)/8)</f>
        <v>8.5</v>
      </c>
      <c r="T343" s="4">
        <f t="shared" si="84"/>
        <v>34.375</v>
      </c>
      <c r="U343" s="4">
        <f t="shared" si="85"/>
        <v>28.125</v>
      </c>
      <c r="V343" s="5">
        <f t="shared" si="86"/>
        <v>-0.18181818181818182</v>
      </c>
      <c r="W343" s="4">
        <f t="shared" si="87"/>
        <v>51.748511904761905</v>
      </c>
      <c r="X343" s="4">
        <f t="shared" si="88"/>
        <v>55.691964285714285</v>
      </c>
      <c r="Y343" s="5">
        <f t="shared" si="89"/>
        <v>7.6204169662113561E-2</v>
      </c>
      <c r="Z343" s="1">
        <f>'01_WHOQOL_Items'!D343</f>
        <v>3</v>
      </c>
      <c r="AA343" s="1">
        <f>'01_WHOQOL_Items'!AD343</f>
        <v>2</v>
      </c>
      <c r="AB343" s="1">
        <f>'01_WHOQOL_Items'!E343</f>
        <v>3</v>
      </c>
      <c r="AC343" s="1">
        <f>'01_WHOQOL_Items'!AE343</f>
        <v>2</v>
      </c>
    </row>
    <row r="344" spans="1:29">
      <c r="A344" s="1" t="str">
        <f>'01_WHOQOL_Items'!A344</f>
        <v>CON-062</v>
      </c>
      <c r="B344" s="1" t="str">
        <f>'01_WHOQOL_Items'!B344</f>
        <v>Control</v>
      </c>
      <c r="C344" s="4">
        <f>4*(((6-'01_WHOQOL_Items'!F344) + (6-'01_WHOQOL_Items'!G344) + '01_WHOQOL_Items'!M344 + '01_WHOQOL_Items'!R344 + '01_WHOQOL_Items'!S344 + '01_WHOQOL_Items'!T344 + '01_WHOQOL_Items'!U344)/7)</f>
        <v>14.285714285714286</v>
      </c>
      <c r="D344" s="4">
        <f>4*(((6-'01_WHOQOL_Items'!AF344) + (6-'01_WHOQOL_Items'!AG344) + '01_WHOQOL_Items'!AM344 + '01_WHOQOL_Items'!AR344 + '01_WHOQOL_Items'!AS344 + '01_WHOQOL_Items'!AT344 + '01_WHOQOL_Items'!AU344)/7)</f>
        <v>12.571428571428571</v>
      </c>
      <c r="E344" s="4">
        <f t="shared" si="75"/>
        <v>64.285714285714292</v>
      </c>
      <c r="F344" s="4">
        <f t="shared" si="76"/>
        <v>53.571428571428569</v>
      </c>
      <c r="G344" s="5">
        <f t="shared" si="77"/>
        <v>-0.16666666666666677</v>
      </c>
      <c r="H344" s="4">
        <f>4*(('01_WHOQOL_Items'!H344 + '01_WHOQOL_Items'!I344 + '01_WHOQOL_Items'!J344 + '01_WHOQOL_Items'!N344 + '01_WHOQOL_Items'!V344 + (6-'01_WHOQOL_Items'!AC344))/6)</f>
        <v>9.3333333333333339</v>
      </c>
      <c r="I344" s="4">
        <f>4*(('01_WHOQOL_Items'!AH344 + '01_WHOQOL_Items'!AI344 + '01_WHOQOL_Items'!AJ344 + '01_WHOQOL_Items'!AN344 + '01_WHOQOL_Items'!AV344 + (6-'01_WHOQOL_Items'!BC344))/6)</f>
        <v>10.666666666666666</v>
      </c>
      <c r="J344" s="4">
        <f t="shared" si="78"/>
        <v>33.333333333333336</v>
      </c>
      <c r="K344" s="4">
        <f t="shared" si="79"/>
        <v>41.666666666666664</v>
      </c>
      <c r="L344" s="5">
        <f t="shared" si="80"/>
        <v>0.24999999999999983</v>
      </c>
      <c r="M344" s="4">
        <f>4*(('01_WHOQOL_Items'!W344 + '01_WHOQOL_Items'!X344 + '01_WHOQOL_Items'!Y344)/3)</f>
        <v>12</v>
      </c>
      <c r="N344" s="4">
        <f>4*(('01_WHOQOL_Items'!AW344 + '01_WHOQOL_Items'!AX344 + '01_WHOQOL_Items'!AY344)/3)</f>
        <v>9.3333333333333339</v>
      </c>
      <c r="O344" s="4">
        <f t="shared" si="81"/>
        <v>50</v>
      </c>
      <c r="P344" s="4">
        <f t="shared" si="82"/>
        <v>33.333333333333336</v>
      </c>
      <c r="Q344" s="5">
        <f t="shared" si="83"/>
        <v>-0.33333333333333326</v>
      </c>
      <c r="R344" s="4">
        <f>4*(('01_WHOQOL_Items'!K344 + '01_WHOQOL_Items'!L344 + '01_WHOQOL_Items'!O344 + '01_WHOQOL_Items'!P344 + '01_WHOQOL_Items'!Q344 + '01_WHOQOL_Items'!Z344 + '01_WHOQOL_Items'!AA344 + '01_WHOQOL_Items'!AB344)/8)</f>
        <v>9</v>
      </c>
      <c r="S344" s="4">
        <f>4*(('01_WHOQOL_Items'!AK344 + '01_WHOQOL_Items'!AL344 + '01_WHOQOL_Items'!AO344 + '01_WHOQOL_Items'!AP344 + '01_WHOQOL_Items'!AQ344 + '01_WHOQOL_Items'!AZ344 + '01_WHOQOL_Items'!BA344 + '01_WHOQOL_Items'!BB344)/8)</f>
        <v>7</v>
      </c>
      <c r="T344" s="4">
        <f t="shared" si="84"/>
        <v>31.25</v>
      </c>
      <c r="U344" s="4">
        <f t="shared" si="85"/>
        <v>18.75</v>
      </c>
      <c r="V344" s="5">
        <f t="shared" si="86"/>
        <v>-0.4</v>
      </c>
      <c r="W344" s="4">
        <f t="shared" si="87"/>
        <v>44.717261904761905</v>
      </c>
      <c r="X344" s="4">
        <f t="shared" si="88"/>
        <v>36.830357142857146</v>
      </c>
      <c r="Y344" s="5">
        <f t="shared" si="89"/>
        <v>-0.17637271214642256</v>
      </c>
      <c r="Z344" s="1">
        <f>'01_WHOQOL_Items'!D344</f>
        <v>2</v>
      </c>
      <c r="AA344" s="1">
        <f>'01_WHOQOL_Items'!AD344</f>
        <v>2</v>
      </c>
      <c r="AB344" s="1">
        <f>'01_WHOQOL_Items'!E344</f>
        <v>4</v>
      </c>
      <c r="AC344" s="1">
        <f>'01_WHOQOL_Items'!AE344</f>
        <v>3</v>
      </c>
    </row>
    <row r="345" spans="1:29">
      <c r="A345" s="1" t="str">
        <f>'01_WHOQOL_Items'!A345</f>
        <v>CON-063</v>
      </c>
      <c r="B345" s="1" t="str">
        <f>'01_WHOQOL_Items'!B345</f>
        <v>Control</v>
      </c>
      <c r="C345" s="4">
        <f>4*(((6-'01_WHOQOL_Items'!F345) + (6-'01_WHOQOL_Items'!G345) + '01_WHOQOL_Items'!M345 + '01_WHOQOL_Items'!R345 + '01_WHOQOL_Items'!S345 + '01_WHOQOL_Items'!T345 + '01_WHOQOL_Items'!U345)/7)</f>
        <v>13.142857142857142</v>
      </c>
      <c r="D345" s="4">
        <f>4*(((6-'01_WHOQOL_Items'!AF345) + (6-'01_WHOQOL_Items'!AG345) + '01_WHOQOL_Items'!AM345 + '01_WHOQOL_Items'!AR345 + '01_WHOQOL_Items'!AS345 + '01_WHOQOL_Items'!AT345 + '01_WHOQOL_Items'!AU345)/7)</f>
        <v>15.428571428571429</v>
      </c>
      <c r="E345" s="4">
        <f t="shared" si="75"/>
        <v>57.142857142857139</v>
      </c>
      <c r="F345" s="4">
        <f t="shared" si="76"/>
        <v>71.428571428571431</v>
      </c>
      <c r="G345" s="5">
        <f t="shared" si="77"/>
        <v>0.25000000000000011</v>
      </c>
      <c r="H345" s="4">
        <f>4*(('01_WHOQOL_Items'!H345 + '01_WHOQOL_Items'!I345 + '01_WHOQOL_Items'!J345 + '01_WHOQOL_Items'!N345 + '01_WHOQOL_Items'!V345 + (6-'01_WHOQOL_Items'!AC345))/6)</f>
        <v>12.666666666666666</v>
      </c>
      <c r="I345" s="4">
        <f>4*(('01_WHOQOL_Items'!AH345 + '01_WHOQOL_Items'!AI345 + '01_WHOQOL_Items'!AJ345 + '01_WHOQOL_Items'!AN345 + '01_WHOQOL_Items'!AV345 + (6-'01_WHOQOL_Items'!BC345))/6)</f>
        <v>13.333333333333334</v>
      </c>
      <c r="J345" s="4">
        <f t="shared" si="78"/>
        <v>54.166666666666664</v>
      </c>
      <c r="K345" s="4">
        <f t="shared" si="79"/>
        <v>58.333333333333336</v>
      </c>
      <c r="L345" s="5">
        <f t="shared" si="80"/>
        <v>7.6923076923077011E-2</v>
      </c>
      <c r="M345" s="4">
        <f>4*(('01_WHOQOL_Items'!W345 + '01_WHOQOL_Items'!X345 + '01_WHOQOL_Items'!Y345)/3)</f>
        <v>6.666666666666667</v>
      </c>
      <c r="N345" s="4">
        <f>4*(('01_WHOQOL_Items'!AW345 + '01_WHOQOL_Items'!AX345 + '01_WHOQOL_Items'!AY345)/3)</f>
        <v>8</v>
      </c>
      <c r="O345" s="4">
        <f t="shared" si="81"/>
        <v>16.666666666666668</v>
      </c>
      <c r="P345" s="4">
        <f t="shared" si="82"/>
        <v>25</v>
      </c>
      <c r="Q345" s="5">
        <f t="shared" si="83"/>
        <v>0.49999999999999989</v>
      </c>
      <c r="R345" s="4">
        <f>4*(('01_WHOQOL_Items'!K345 + '01_WHOQOL_Items'!L345 + '01_WHOQOL_Items'!O345 + '01_WHOQOL_Items'!P345 + '01_WHOQOL_Items'!Q345 + '01_WHOQOL_Items'!Z345 + '01_WHOQOL_Items'!AA345 + '01_WHOQOL_Items'!AB345)/8)</f>
        <v>11</v>
      </c>
      <c r="S345" s="4">
        <f>4*(('01_WHOQOL_Items'!AK345 + '01_WHOQOL_Items'!AL345 + '01_WHOQOL_Items'!AO345 + '01_WHOQOL_Items'!AP345 + '01_WHOQOL_Items'!AQ345 + '01_WHOQOL_Items'!AZ345 + '01_WHOQOL_Items'!BA345 + '01_WHOQOL_Items'!BB345)/8)</f>
        <v>9</v>
      </c>
      <c r="T345" s="4">
        <f t="shared" si="84"/>
        <v>43.75</v>
      </c>
      <c r="U345" s="4">
        <f t="shared" si="85"/>
        <v>31.25</v>
      </c>
      <c r="V345" s="5">
        <f t="shared" si="86"/>
        <v>-0.2857142857142857</v>
      </c>
      <c r="W345" s="4">
        <f t="shared" si="87"/>
        <v>42.93154761904762</v>
      </c>
      <c r="X345" s="4">
        <f t="shared" si="88"/>
        <v>46.50297619047619</v>
      </c>
      <c r="Y345" s="5">
        <f t="shared" si="89"/>
        <v>8.318890814558054E-2</v>
      </c>
      <c r="Z345" s="1">
        <f>'01_WHOQOL_Items'!D345</f>
        <v>3</v>
      </c>
      <c r="AA345" s="1">
        <f>'01_WHOQOL_Items'!AD345</f>
        <v>3</v>
      </c>
      <c r="AB345" s="1">
        <f>'01_WHOQOL_Items'!E345</f>
        <v>5</v>
      </c>
      <c r="AC345" s="1">
        <f>'01_WHOQOL_Items'!AE345</f>
        <v>3</v>
      </c>
    </row>
    <row r="346" spans="1:29">
      <c r="A346" s="1" t="str">
        <f>'01_WHOQOL_Items'!A346</f>
        <v>CON-064</v>
      </c>
      <c r="B346" s="1" t="str">
        <f>'01_WHOQOL_Items'!B346</f>
        <v>Control</v>
      </c>
      <c r="C346" s="4">
        <f>4*(((6-'01_WHOQOL_Items'!F346) + (6-'01_WHOQOL_Items'!G346) + '01_WHOQOL_Items'!M346 + '01_WHOQOL_Items'!R346 + '01_WHOQOL_Items'!S346 + '01_WHOQOL_Items'!T346 + '01_WHOQOL_Items'!U346)/7)</f>
        <v>12</v>
      </c>
      <c r="D346" s="4">
        <f>4*(((6-'01_WHOQOL_Items'!AF346) + (6-'01_WHOQOL_Items'!AG346) + '01_WHOQOL_Items'!AM346 + '01_WHOQOL_Items'!AR346 + '01_WHOQOL_Items'!AS346 + '01_WHOQOL_Items'!AT346 + '01_WHOQOL_Items'!AU346)/7)</f>
        <v>10.857142857142858</v>
      </c>
      <c r="E346" s="4">
        <f t="shared" si="75"/>
        <v>50</v>
      </c>
      <c r="F346" s="4">
        <f t="shared" si="76"/>
        <v>42.857142857142861</v>
      </c>
      <c r="G346" s="5">
        <f t="shared" si="77"/>
        <v>-0.14285714285714277</v>
      </c>
      <c r="H346" s="4">
        <f>4*(('01_WHOQOL_Items'!H346 + '01_WHOQOL_Items'!I346 + '01_WHOQOL_Items'!J346 + '01_WHOQOL_Items'!N346 + '01_WHOQOL_Items'!V346 + (6-'01_WHOQOL_Items'!AC346))/6)</f>
        <v>13.333333333333334</v>
      </c>
      <c r="I346" s="4">
        <f>4*(('01_WHOQOL_Items'!AH346 + '01_WHOQOL_Items'!AI346 + '01_WHOQOL_Items'!AJ346 + '01_WHOQOL_Items'!AN346 + '01_WHOQOL_Items'!AV346 + (6-'01_WHOQOL_Items'!BC346))/6)</f>
        <v>15.333333333333334</v>
      </c>
      <c r="J346" s="4">
        <f t="shared" si="78"/>
        <v>58.333333333333336</v>
      </c>
      <c r="K346" s="4">
        <f t="shared" si="79"/>
        <v>70.833333333333343</v>
      </c>
      <c r="L346" s="5">
        <f t="shared" si="80"/>
        <v>0.21428571428571441</v>
      </c>
      <c r="M346" s="4">
        <f>4*(('01_WHOQOL_Items'!W346 + '01_WHOQOL_Items'!X346 + '01_WHOQOL_Items'!Y346)/3)</f>
        <v>8</v>
      </c>
      <c r="N346" s="4">
        <f>4*(('01_WHOQOL_Items'!AW346 + '01_WHOQOL_Items'!AX346 + '01_WHOQOL_Items'!AY346)/3)</f>
        <v>8</v>
      </c>
      <c r="O346" s="4">
        <f t="shared" si="81"/>
        <v>25</v>
      </c>
      <c r="P346" s="4">
        <f t="shared" si="82"/>
        <v>25</v>
      </c>
      <c r="Q346" s="5">
        <f t="shared" si="83"/>
        <v>0</v>
      </c>
      <c r="R346" s="4">
        <f>4*(('01_WHOQOL_Items'!K346 + '01_WHOQOL_Items'!L346 + '01_WHOQOL_Items'!O346 + '01_WHOQOL_Items'!P346 + '01_WHOQOL_Items'!Q346 + '01_WHOQOL_Items'!Z346 + '01_WHOQOL_Items'!AA346 + '01_WHOQOL_Items'!AB346)/8)</f>
        <v>14</v>
      </c>
      <c r="S346" s="4">
        <f>4*(('01_WHOQOL_Items'!AK346 + '01_WHOQOL_Items'!AL346 + '01_WHOQOL_Items'!AO346 + '01_WHOQOL_Items'!AP346 + '01_WHOQOL_Items'!AQ346 + '01_WHOQOL_Items'!AZ346 + '01_WHOQOL_Items'!BA346 + '01_WHOQOL_Items'!BB346)/8)</f>
        <v>14</v>
      </c>
      <c r="T346" s="4">
        <f t="shared" si="84"/>
        <v>62.5</v>
      </c>
      <c r="U346" s="4">
        <f t="shared" si="85"/>
        <v>62.5</v>
      </c>
      <c r="V346" s="5">
        <f t="shared" si="86"/>
        <v>0</v>
      </c>
      <c r="W346" s="4">
        <f t="shared" si="87"/>
        <v>48.958333333333336</v>
      </c>
      <c r="X346" s="4">
        <f t="shared" si="88"/>
        <v>50.297619047619051</v>
      </c>
      <c r="Y346" s="5">
        <f t="shared" si="89"/>
        <v>2.7355623100303973E-2</v>
      </c>
      <c r="Z346" s="1">
        <f>'01_WHOQOL_Items'!D346</f>
        <v>2</v>
      </c>
      <c r="AA346" s="1">
        <f>'01_WHOQOL_Items'!AD346</f>
        <v>4</v>
      </c>
      <c r="AB346" s="1">
        <f>'01_WHOQOL_Items'!E346</f>
        <v>3</v>
      </c>
      <c r="AC346" s="1">
        <f>'01_WHOQOL_Items'!AE346</f>
        <v>3</v>
      </c>
    </row>
    <row r="347" spans="1:29">
      <c r="A347" s="1" t="str">
        <f>'01_WHOQOL_Items'!A347</f>
        <v>CON-065</v>
      </c>
      <c r="B347" s="1" t="str">
        <f>'01_WHOQOL_Items'!B347</f>
        <v>Control</v>
      </c>
      <c r="C347" s="4">
        <f>4*(((6-'01_WHOQOL_Items'!F347) + (6-'01_WHOQOL_Items'!G347) + '01_WHOQOL_Items'!M347 + '01_WHOQOL_Items'!R347 + '01_WHOQOL_Items'!S347 + '01_WHOQOL_Items'!T347 + '01_WHOQOL_Items'!U347)/7)</f>
        <v>10.857142857142858</v>
      </c>
      <c r="D347" s="4">
        <f>4*(((6-'01_WHOQOL_Items'!AF347) + (6-'01_WHOQOL_Items'!AG347) + '01_WHOQOL_Items'!AM347 + '01_WHOQOL_Items'!AR347 + '01_WHOQOL_Items'!AS347 + '01_WHOQOL_Items'!AT347 + '01_WHOQOL_Items'!AU347)/7)</f>
        <v>10.857142857142858</v>
      </c>
      <c r="E347" s="4">
        <f t="shared" si="75"/>
        <v>42.857142857142861</v>
      </c>
      <c r="F347" s="4">
        <f t="shared" si="76"/>
        <v>42.857142857142861</v>
      </c>
      <c r="G347" s="5">
        <f t="shared" si="77"/>
        <v>0</v>
      </c>
      <c r="H347" s="4">
        <f>4*(('01_WHOQOL_Items'!H347 + '01_WHOQOL_Items'!I347 + '01_WHOQOL_Items'!J347 + '01_WHOQOL_Items'!N347 + '01_WHOQOL_Items'!V347 + (6-'01_WHOQOL_Items'!AC347))/6)</f>
        <v>10</v>
      </c>
      <c r="I347" s="4">
        <f>4*(('01_WHOQOL_Items'!AH347 + '01_WHOQOL_Items'!AI347 + '01_WHOQOL_Items'!AJ347 + '01_WHOQOL_Items'!AN347 + '01_WHOQOL_Items'!AV347 + (6-'01_WHOQOL_Items'!BC347))/6)</f>
        <v>10</v>
      </c>
      <c r="J347" s="4">
        <f t="shared" si="78"/>
        <v>37.5</v>
      </c>
      <c r="K347" s="4">
        <f t="shared" si="79"/>
        <v>37.5</v>
      </c>
      <c r="L347" s="5">
        <f t="shared" si="80"/>
        <v>0</v>
      </c>
      <c r="M347" s="4">
        <f>4*(('01_WHOQOL_Items'!W347 + '01_WHOQOL_Items'!X347 + '01_WHOQOL_Items'!Y347)/3)</f>
        <v>6.666666666666667</v>
      </c>
      <c r="N347" s="4">
        <f>4*(('01_WHOQOL_Items'!AW347 + '01_WHOQOL_Items'!AX347 + '01_WHOQOL_Items'!AY347)/3)</f>
        <v>9.3333333333333339</v>
      </c>
      <c r="O347" s="4">
        <f t="shared" si="81"/>
        <v>16.666666666666668</v>
      </c>
      <c r="P347" s="4">
        <f t="shared" si="82"/>
        <v>33.333333333333336</v>
      </c>
      <c r="Q347" s="5">
        <f t="shared" si="83"/>
        <v>1</v>
      </c>
      <c r="R347" s="4">
        <f>4*(('01_WHOQOL_Items'!K347 + '01_WHOQOL_Items'!L347 + '01_WHOQOL_Items'!O347 + '01_WHOQOL_Items'!P347 + '01_WHOQOL_Items'!Q347 + '01_WHOQOL_Items'!Z347 + '01_WHOQOL_Items'!AA347 + '01_WHOQOL_Items'!AB347)/8)</f>
        <v>10.5</v>
      </c>
      <c r="S347" s="4">
        <f>4*(('01_WHOQOL_Items'!AK347 + '01_WHOQOL_Items'!AL347 + '01_WHOQOL_Items'!AO347 + '01_WHOQOL_Items'!AP347 + '01_WHOQOL_Items'!AQ347 + '01_WHOQOL_Items'!AZ347 + '01_WHOQOL_Items'!BA347 + '01_WHOQOL_Items'!BB347)/8)</f>
        <v>10</v>
      </c>
      <c r="T347" s="4">
        <f t="shared" si="84"/>
        <v>40.625</v>
      </c>
      <c r="U347" s="4">
        <f t="shared" si="85"/>
        <v>37.5</v>
      </c>
      <c r="V347" s="5">
        <f t="shared" si="86"/>
        <v>-7.6923076923076927E-2</v>
      </c>
      <c r="W347" s="4">
        <f t="shared" si="87"/>
        <v>34.41220238095238</v>
      </c>
      <c r="X347" s="4">
        <f t="shared" si="88"/>
        <v>37.797619047619051</v>
      </c>
      <c r="Y347" s="5">
        <f t="shared" si="89"/>
        <v>9.8378378378378525E-2</v>
      </c>
      <c r="Z347" s="1">
        <f>'01_WHOQOL_Items'!D347</f>
        <v>3</v>
      </c>
      <c r="AA347" s="1">
        <f>'01_WHOQOL_Items'!AD347</f>
        <v>3</v>
      </c>
      <c r="AB347" s="1">
        <f>'01_WHOQOL_Items'!E347</f>
        <v>2</v>
      </c>
      <c r="AC347" s="1">
        <f>'01_WHOQOL_Items'!AE347</f>
        <v>3</v>
      </c>
    </row>
    <row r="348" spans="1:29">
      <c r="A348" s="1" t="str">
        <f>'01_WHOQOL_Items'!A348</f>
        <v>CON-066</v>
      </c>
      <c r="B348" s="1" t="str">
        <f>'01_WHOQOL_Items'!B348</f>
        <v>Control</v>
      </c>
      <c r="C348" s="4">
        <f>4*(((6-'01_WHOQOL_Items'!F348) + (6-'01_WHOQOL_Items'!G348) + '01_WHOQOL_Items'!M348 + '01_WHOQOL_Items'!R348 + '01_WHOQOL_Items'!S348 + '01_WHOQOL_Items'!T348 + '01_WHOQOL_Items'!U348)/7)</f>
        <v>13.142857142857142</v>
      </c>
      <c r="D348" s="4">
        <f>4*(((6-'01_WHOQOL_Items'!AF348) + (6-'01_WHOQOL_Items'!AG348) + '01_WHOQOL_Items'!AM348 + '01_WHOQOL_Items'!AR348 + '01_WHOQOL_Items'!AS348 + '01_WHOQOL_Items'!AT348 + '01_WHOQOL_Items'!AU348)/7)</f>
        <v>13.714285714285714</v>
      </c>
      <c r="E348" s="4">
        <f t="shared" si="75"/>
        <v>57.142857142857139</v>
      </c>
      <c r="F348" s="4">
        <f t="shared" si="76"/>
        <v>60.714285714285708</v>
      </c>
      <c r="G348" s="5">
        <f t="shared" si="77"/>
        <v>6.2499999999999972E-2</v>
      </c>
      <c r="H348" s="4">
        <f>4*(('01_WHOQOL_Items'!H348 + '01_WHOQOL_Items'!I348 + '01_WHOQOL_Items'!J348 + '01_WHOQOL_Items'!N348 + '01_WHOQOL_Items'!V348 + (6-'01_WHOQOL_Items'!AC348))/6)</f>
        <v>10.666666666666666</v>
      </c>
      <c r="I348" s="4">
        <f>4*(('01_WHOQOL_Items'!AH348 + '01_WHOQOL_Items'!AI348 + '01_WHOQOL_Items'!AJ348 + '01_WHOQOL_Items'!AN348 + '01_WHOQOL_Items'!AV348 + (6-'01_WHOQOL_Items'!BC348))/6)</f>
        <v>12.666666666666666</v>
      </c>
      <c r="J348" s="4">
        <f t="shared" si="78"/>
        <v>41.666666666666664</v>
      </c>
      <c r="K348" s="4">
        <f t="shared" si="79"/>
        <v>54.166666666666664</v>
      </c>
      <c r="L348" s="5">
        <f t="shared" si="80"/>
        <v>0.30000000000000004</v>
      </c>
      <c r="M348" s="4">
        <f>4*(('01_WHOQOL_Items'!W348 + '01_WHOQOL_Items'!X348 + '01_WHOQOL_Items'!Y348)/3)</f>
        <v>12</v>
      </c>
      <c r="N348" s="4">
        <f>4*(('01_WHOQOL_Items'!AW348 + '01_WHOQOL_Items'!AX348 + '01_WHOQOL_Items'!AY348)/3)</f>
        <v>14.666666666666666</v>
      </c>
      <c r="O348" s="4">
        <f t="shared" si="81"/>
        <v>50</v>
      </c>
      <c r="P348" s="4">
        <f t="shared" si="82"/>
        <v>66.666666666666657</v>
      </c>
      <c r="Q348" s="5">
        <f t="shared" si="83"/>
        <v>0.33333333333333315</v>
      </c>
      <c r="R348" s="4">
        <f>4*(('01_WHOQOL_Items'!K348 + '01_WHOQOL_Items'!L348 + '01_WHOQOL_Items'!O348 + '01_WHOQOL_Items'!P348 + '01_WHOQOL_Items'!Q348 + '01_WHOQOL_Items'!Z348 + '01_WHOQOL_Items'!AA348 + '01_WHOQOL_Items'!AB348)/8)</f>
        <v>11</v>
      </c>
      <c r="S348" s="4">
        <f>4*(('01_WHOQOL_Items'!AK348 + '01_WHOQOL_Items'!AL348 + '01_WHOQOL_Items'!AO348 + '01_WHOQOL_Items'!AP348 + '01_WHOQOL_Items'!AQ348 + '01_WHOQOL_Items'!AZ348 + '01_WHOQOL_Items'!BA348 + '01_WHOQOL_Items'!BB348)/8)</f>
        <v>12</v>
      </c>
      <c r="T348" s="4">
        <f t="shared" si="84"/>
        <v>43.75</v>
      </c>
      <c r="U348" s="4">
        <f t="shared" si="85"/>
        <v>50</v>
      </c>
      <c r="V348" s="5">
        <f t="shared" si="86"/>
        <v>0.14285714285714285</v>
      </c>
      <c r="W348" s="4">
        <f t="shared" si="87"/>
        <v>48.139880952380949</v>
      </c>
      <c r="X348" s="4">
        <f t="shared" si="88"/>
        <v>57.886904761904759</v>
      </c>
      <c r="Y348" s="5">
        <f t="shared" si="89"/>
        <v>0.20247295208655336</v>
      </c>
      <c r="Z348" s="1">
        <f>'01_WHOQOL_Items'!D348</f>
        <v>4</v>
      </c>
      <c r="AA348" s="1">
        <f>'01_WHOQOL_Items'!AD348</f>
        <v>4</v>
      </c>
      <c r="AB348" s="1">
        <f>'01_WHOQOL_Items'!E348</f>
        <v>3</v>
      </c>
      <c r="AC348" s="1">
        <f>'01_WHOQOL_Items'!AE348</f>
        <v>4</v>
      </c>
    </row>
    <row r="349" spans="1:29">
      <c r="A349" s="1" t="str">
        <f>'01_WHOQOL_Items'!A349</f>
        <v>CON-067</v>
      </c>
      <c r="B349" s="1" t="str">
        <f>'01_WHOQOL_Items'!B349</f>
        <v>Control</v>
      </c>
      <c r="C349" s="4">
        <f>4*(((6-'01_WHOQOL_Items'!F349) + (6-'01_WHOQOL_Items'!G349) + '01_WHOQOL_Items'!M349 + '01_WHOQOL_Items'!R349 + '01_WHOQOL_Items'!S349 + '01_WHOQOL_Items'!T349 + '01_WHOQOL_Items'!U349)/7)</f>
        <v>14.857142857142858</v>
      </c>
      <c r="D349" s="4">
        <f>4*(((6-'01_WHOQOL_Items'!AF349) + (6-'01_WHOQOL_Items'!AG349) + '01_WHOQOL_Items'!AM349 + '01_WHOQOL_Items'!AR349 + '01_WHOQOL_Items'!AS349 + '01_WHOQOL_Items'!AT349 + '01_WHOQOL_Items'!AU349)/7)</f>
        <v>14.285714285714286</v>
      </c>
      <c r="E349" s="4">
        <f t="shared" si="75"/>
        <v>67.857142857142861</v>
      </c>
      <c r="F349" s="4">
        <f t="shared" si="76"/>
        <v>64.285714285714292</v>
      </c>
      <c r="G349" s="5">
        <f t="shared" si="77"/>
        <v>-5.263157894736839E-2</v>
      </c>
      <c r="H349" s="4">
        <f>4*(('01_WHOQOL_Items'!H349 + '01_WHOQOL_Items'!I349 + '01_WHOQOL_Items'!J349 + '01_WHOQOL_Items'!N349 + '01_WHOQOL_Items'!V349 + (6-'01_WHOQOL_Items'!AC349))/6)</f>
        <v>13.333333333333334</v>
      </c>
      <c r="I349" s="4">
        <f>4*(('01_WHOQOL_Items'!AH349 + '01_WHOQOL_Items'!AI349 + '01_WHOQOL_Items'!AJ349 + '01_WHOQOL_Items'!AN349 + '01_WHOQOL_Items'!AV349 + (6-'01_WHOQOL_Items'!BC349))/6)</f>
        <v>12</v>
      </c>
      <c r="J349" s="4">
        <f t="shared" si="78"/>
        <v>58.333333333333336</v>
      </c>
      <c r="K349" s="4">
        <f t="shared" si="79"/>
        <v>50</v>
      </c>
      <c r="L349" s="5">
        <f t="shared" si="80"/>
        <v>-0.1428571428571429</v>
      </c>
      <c r="M349" s="4">
        <f>4*(('01_WHOQOL_Items'!W349 + '01_WHOQOL_Items'!X349 + '01_WHOQOL_Items'!Y349)/3)</f>
        <v>12</v>
      </c>
      <c r="N349" s="4">
        <f>4*(('01_WHOQOL_Items'!AW349 + '01_WHOQOL_Items'!AX349 + '01_WHOQOL_Items'!AY349)/3)</f>
        <v>12</v>
      </c>
      <c r="O349" s="4">
        <f t="shared" si="81"/>
        <v>50</v>
      </c>
      <c r="P349" s="4">
        <f t="shared" si="82"/>
        <v>50</v>
      </c>
      <c r="Q349" s="5">
        <f t="shared" si="83"/>
        <v>0</v>
      </c>
      <c r="R349" s="4">
        <f>4*(('01_WHOQOL_Items'!K349 + '01_WHOQOL_Items'!L349 + '01_WHOQOL_Items'!O349 + '01_WHOQOL_Items'!P349 + '01_WHOQOL_Items'!Q349 + '01_WHOQOL_Items'!Z349 + '01_WHOQOL_Items'!AA349 + '01_WHOQOL_Items'!AB349)/8)</f>
        <v>9.5</v>
      </c>
      <c r="S349" s="4">
        <f>4*(('01_WHOQOL_Items'!AK349 + '01_WHOQOL_Items'!AL349 + '01_WHOQOL_Items'!AO349 + '01_WHOQOL_Items'!AP349 + '01_WHOQOL_Items'!AQ349 + '01_WHOQOL_Items'!AZ349 + '01_WHOQOL_Items'!BA349 + '01_WHOQOL_Items'!BB349)/8)</f>
        <v>10</v>
      </c>
      <c r="T349" s="4">
        <f t="shared" si="84"/>
        <v>34.375</v>
      </c>
      <c r="U349" s="4">
        <f t="shared" si="85"/>
        <v>37.5</v>
      </c>
      <c r="V349" s="5">
        <f t="shared" si="86"/>
        <v>9.0909090909090912E-2</v>
      </c>
      <c r="W349" s="4">
        <f t="shared" si="87"/>
        <v>52.641369047619051</v>
      </c>
      <c r="X349" s="4">
        <f t="shared" si="88"/>
        <v>50.446428571428569</v>
      </c>
      <c r="Y349" s="5">
        <f t="shared" si="89"/>
        <v>-4.1696113074205045E-2</v>
      </c>
      <c r="Z349" s="1">
        <f>'01_WHOQOL_Items'!D349</f>
        <v>3</v>
      </c>
      <c r="AA349" s="1">
        <f>'01_WHOQOL_Items'!AD349</f>
        <v>3</v>
      </c>
      <c r="AB349" s="1">
        <f>'01_WHOQOL_Items'!E349</f>
        <v>4</v>
      </c>
      <c r="AC349" s="1">
        <f>'01_WHOQOL_Items'!AE349</f>
        <v>3</v>
      </c>
    </row>
    <row r="350" spans="1:29">
      <c r="A350" s="1" t="str">
        <f>'01_WHOQOL_Items'!A350</f>
        <v>CON-068</v>
      </c>
      <c r="B350" s="1" t="str">
        <f>'01_WHOQOL_Items'!B350</f>
        <v>Control</v>
      </c>
      <c r="C350" s="4">
        <f>4*(((6-'01_WHOQOL_Items'!F350) + (6-'01_WHOQOL_Items'!G350) + '01_WHOQOL_Items'!M350 + '01_WHOQOL_Items'!R350 + '01_WHOQOL_Items'!S350 + '01_WHOQOL_Items'!T350 + '01_WHOQOL_Items'!U350)/7)</f>
        <v>13.142857142857142</v>
      </c>
      <c r="D350" s="4">
        <f>4*(((6-'01_WHOQOL_Items'!AF350) + (6-'01_WHOQOL_Items'!AG350) + '01_WHOQOL_Items'!AM350 + '01_WHOQOL_Items'!AR350 + '01_WHOQOL_Items'!AS350 + '01_WHOQOL_Items'!AT350 + '01_WHOQOL_Items'!AU350)/7)</f>
        <v>17.142857142857142</v>
      </c>
      <c r="E350" s="4">
        <f t="shared" si="75"/>
        <v>57.142857142857139</v>
      </c>
      <c r="F350" s="4">
        <f t="shared" si="76"/>
        <v>82.142857142857139</v>
      </c>
      <c r="G350" s="5">
        <f t="shared" si="77"/>
        <v>0.43750000000000006</v>
      </c>
      <c r="H350" s="4">
        <f>4*(('01_WHOQOL_Items'!H350 + '01_WHOQOL_Items'!I350 + '01_WHOQOL_Items'!J350 + '01_WHOQOL_Items'!N350 + '01_WHOQOL_Items'!V350 + (6-'01_WHOQOL_Items'!AC350))/6)</f>
        <v>9.3333333333333339</v>
      </c>
      <c r="I350" s="4">
        <f>4*(('01_WHOQOL_Items'!AH350 + '01_WHOQOL_Items'!AI350 + '01_WHOQOL_Items'!AJ350 + '01_WHOQOL_Items'!AN350 + '01_WHOQOL_Items'!AV350 + (6-'01_WHOQOL_Items'!BC350))/6)</f>
        <v>10</v>
      </c>
      <c r="J350" s="4">
        <f t="shared" si="78"/>
        <v>33.333333333333336</v>
      </c>
      <c r="K350" s="4">
        <f t="shared" si="79"/>
        <v>37.5</v>
      </c>
      <c r="L350" s="5">
        <f t="shared" si="80"/>
        <v>0.12499999999999992</v>
      </c>
      <c r="M350" s="4">
        <f>4*(('01_WHOQOL_Items'!W350 + '01_WHOQOL_Items'!X350 + '01_WHOQOL_Items'!Y350)/3)</f>
        <v>8</v>
      </c>
      <c r="N350" s="4">
        <f>4*(('01_WHOQOL_Items'!AW350 + '01_WHOQOL_Items'!AX350 + '01_WHOQOL_Items'!AY350)/3)</f>
        <v>5.333333333333333</v>
      </c>
      <c r="O350" s="4">
        <f t="shared" si="81"/>
        <v>25</v>
      </c>
      <c r="P350" s="4">
        <f t="shared" si="82"/>
        <v>8.3333333333333321</v>
      </c>
      <c r="Q350" s="5">
        <f t="shared" si="83"/>
        <v>-0.66666666666666674</v>
      </c>
      <c r="R350" s="4">
        <f>4*(('01_WHOQOL_Items'!K350 + '01_WHOQOL_Items'!L350 + '01_WHOQOL_Items'!O350 + '01_WHOQOL_Items'!P350 + '01_WHOQOL_Items'!Q350 + '01_WHOQOL_Items'!Z350 + '01_WHOQOL_Items'!AA350 + '01_WHOQOL_Items'!AB350)/8)</f>
        <v>8</v>
      </c>
      <c r="S350" s="4">
        <f>4*(('01_WHOQOL_Items'!AK350 + '01_WHOQOL_Items'!AL350 + '01_WHOQOL_Items'!AO350 + '01_WHOQOL_Items'!AP350 + '01_WHOQOL_Items'!AQ350 + '01_WHOQOL_Items'!AZ350 + '01_WHOQOL_Items'!BA350 + '01_WHOQOL_Items'!BB350)/8)</f>
        <v>8.5</v>
      </c>
      <c r="T350" s="4">
        <f t="shared" si="84"/>
        <v>25</v>
      </c>
      <c r="U350" s="4">
        <f t="shared" si="85"/>
        <v>28.125</v>
      </c>
      <c r="V350" s="5">
        <f t="shared" si="86"/>
        <v>0.125</v>
      </c>
      <c r="W350" s="4">
        <f t="shared" si="87"/>
        <v>35.11904761904762</v>
      </c>
      <c r="X350" s="4">
        <f t="shared" si="88"/>
        <v>39.02529761904762</v>
      </c>
      <c r="Y350" s="5">
        <f t="shared" si="89"/>
        <v>0.11122881355932203</v>
      </c>
      <c r="Z350" s="1">
        <f>'01_WHOQOL_Items'!D350</f>
        <v>2</v>
      </c>
      <c r="AA350" s="1">
        <f>'01_WHOQOL_Items'!AD350</f>
        <v>3</v>
      </c>
      <c r="AB350" s="1">
        <f>'01_WHOQOL_Items'!E350</f>
        <v>3</v>
      </c>
      <c r="AC350" s="1">
        <f>'01_WHOQOL_Items'!AE350</f>
        <v>4</v>
      </c>
    </row>
    <row r="351" spans="1:29">
      <c r="A351" s="1" t="str">
        <f>'01_WHOQOL_Items'!A351</f>
        <v>CON-069</v>
      </c>
      <c r="B351" s="1" t="str">
        <f>'01_WHOQOL_Items'!B351</f>
        <v>Control</v>
      </c>
      <c r="C351" s="4">
        <f>4*(((6-'01_WHOQOL_Items'!F351) + (6-'01_WHOQOL_Items'!G351) + '01_WHOQOL_Items'!M351 + '01_WHOQOL_Items'!R351 + '01_WHOQOL_Items'!S351 + '01_WHOQOL_Items'!T351 + '01_WHOQOL_Items'!U351)/7)</f>
        <v>12.571428571428571</v>
      </c>
      <c r="D351" s="4">
        <f>4*(((6-'01_WHOQOL_Items'!AF351) + (6-'01_WHOQOL_Items'!AG351) + '01_WHOQOL_Items'!AM351 + '01_WHOQOL_Items'!AR351 + '01_WHOQOL_Items'!AS351 + '01_WHOQOL_Items'!AT351 + '01_WHOQOL_Items'!AU351)/7)</f>
        <v>12.571428571428571</v>
      </c>
      <c r="E351" s="4">
        <f t="shared" si="75"/>
        <v>53.571428571428569</v>
      </c>
      <c r="F351" s="4">
        <f t="shared" si="76"/>
        <v>53.571428571428569</v>
      </c>
      <c r="G351" s="5">
        <f t="shared" si="77"/>
        <v>0</v>
      </c>
      <c r="H351" s="4">
        <f>4*(('01_WHOQOL_Items'!H351 + '01_WHOQOL_Items'!I351 + '01_WHOQOL_Items'!J351 + '01_WHOQOL_Items'!N351 + '01_WHOQOL_Items'!V351 + (6-'01_WHOQOL_Items'!AC351))/6)</f>
        <v>11.333333333333334</v>
      </c>
      <c r="I351" s="4">
        <f>4*(('01_WHOQOL_Items'!AH351 + '01_WHOQOL_Items'!AI351 + '01_WHOQOL_Items'!AJ351 + '01_WHOQOL_Items'!AN351 + '01_WHOQOL_Items'!AV351 + (6-'01_WHOQOL_Items'!BC351))/6)</f>
        <v>10</v>
      </c>
      <c r="J351" s="4">
        <f t="shared" si="78"/>
        <v>45.833333333333336</v>
      </c>
      <c r="K351" s="4">
        <f t="shared" si="79"/>
        <v>37.5</v>
      </c>
      <c r="L351" s="5">
        <f t="shared" si="80"/>
        <v>-0.18181818181818185</v>
      </c>
      <c r="M351" s="4">
        <f>4*(('01_WHOQOL_Items'!W351 + '01_WHOQOL_Items'!X351 + '01_WHOQOL_Items'!Y351)/3)</f>
        <v>13.333333333333334</v>
      </c>
      <c r="N351" s="4">
        <f>4*(('01_WHOQOL_Items'!AW351 + '01_WHOQOL_Items'!AX351 + '01_WHOQOL_Items'!AY351)/3)</f>
        <v>12</v>
      </c>
      <c r="O351" s="4">
        <f t="shared" si="81"/>
        <v>58.333333333333336</v>
      </c>
      <c r="P351" s="4">
        <f t="shared" si="82"/>
        <v>50</v>
      </c>
      <c r="Q351" s="5">
        <f t="shared" si="83"/>
        <v>-0.1428571428571429</v>
      </c>
      <c r="R351" s="4">
        <f>4*(('01_WHOQOL_Items'!K351 + '01_WHOQOL_Items'!L351 + '01_WHOQOL_Items'!O351 + '01_WHOQOL_Items'!P351 + '01_WHOQOL_Items'!Q351 + '01_WHOQOL_Items'!Z351 + '01_WHOQOL_Items'!AA351 + '01_WHOQOL_Items'!AB351)/8)</f>
        <v>10</v>
      </c>
      <c r="S351" s="4">
        <f>4*(('01_WHOQOL_Items'!AK351 + '01_WHOQOL_Items'!AL351 + '01_WHOQOL_Items'!AO351 + '01_WHOQOL_Items'!AP351 + '01_WHOQOL_Items'!AQ351 + '01_WHOQOL_Items'!AZ351 + '01_WHOQOL_Items'!BA351 + '01_WHOQOL_Items'!BB351)/8)</f>
        <v>9</v>
      </c>
      <c r="T351" s="4">
        <f t="shared" si="84"/>
        <v>37.5</v>
      </c>
      <c r="U351" s="4">
        <f t="shared" si="85"/>
        <v>31.25</v>
      </c>
      <c r="V351" s="5">
        <f t="shared" si="86"/>
        <v>-0.16666666666666666</v>
      </c>
      <c r="W351" s="4">
        <f t="shared" si="87"/>
        <v>48.80952380952381</v>
      </c>
      <c r="X351" s="4">
        <f t="shared" si="88"/>
        <v>43.080357142857139</v>
      </c>
      <c r="Y351" s="5">
        <f t="shared" si="89"/>
        <v>-0.1173780487804879</v>
      </c>
      <c r="Z351" s="1">
        <f>'01_WHOQOL_Items'!D351</f>
        <v>3</v>
      </c>
      <c r="AA351" s="1">
        <f>'01_WHOQOL_Items'!AD351</f>
        <v>3</v>
      </c>
      <c r="AB351" s="1">
        <f>'01_WHOQOL_Items'!E351</f>
        <v>3</v>
      </c>
      <c r="AC351" s="1">
        <f>'01_WHOQOL_Items'!AE351</f>
        <v>2</v>
      </c>
    </row>
    <row r="352" spans="1:29">
      <c r="A352" s="1" t="str">
        <f>'01_WHOQOL_Items'!A352</f>
        <v>CON-070</v>
      </c>
      <c r="B352" s="1" t="str">
        <f>'01_WHOQOL_Items'!B352</f>
        <v>Control</v>
      </c>
      <c r="C352" s="4">
        <f>4*(((6-'01_WHOQOL_Items'!F352) + (6-'01_WHOQOL_Items'!G352) + '01_WHOQOL_Items'!M352 + '01_WHOQOL_Items'!R352 + '01_WHOQOL_Items'!S352 + '01_WHOQOL_Items'!T352 + '01_WHOQOL_Items'!U352)/7)</f>
        <v>13.714285714285714</v>
      </c>
      <c r="D352" s="4">
        <f>4*(((6-'01_WHOQOL_Items'!AF352) + (6-'01_WHOQOL_Items'!AG352) + '01_WHOQOL_Items'!AM352 + '01_WHOQOL_Items'!AR352 + '01_WHOQOL_Items'!AS352 + '01_WHOQOL_Items'!AT352 + '01_WHOQOL_Items'!AU352)/7)</f>
        <v>13.714285714285714</v>
      </c>
      <c r="E352" s="4">
        <f t="shared" si="75"/>
        <v>60.714285714285708</v>
      </c>
      <c r="F352" s="4">
        <f t="shared" si="76"/>
        <v>60.714285714285708</v>
      </c>
      <c r="G352" s="5">
        <f t="shared" si="77"/>
        <v>0</v>
      </c>
      <c r="H352" s="4">
        <f>4*(('01_WHOQOL_Items'!H352 + '01_WHOQOL_Items'!I352 + '01_WHOQOL_Items'!J352 + '01_WHOQOL_Items'!N352 + '01_WHOQOL_Items'!V352 + (6-'01_WHOQOL_Items'!AC352))/6)</f>
        <v>9.3333333333333339</v>
      </c>
      <c r="I352" s="4">
        <f>4*(('01_WHOQOL_Items'!AH352 + '01_WHOQOL_Items'!AI352 + '01_WHOQOL_Items'!AJ352 + '01_WHOQOL_Items'!AN352 + '01_WHOQOL_Items'!AV352 + (6-'01_WHOQOL_Items'!BC352))/6)</f>
        <v>9.3333333333333339</v>
      </c>
      <c r="J352" s="4">
        <f t="shared" si="78"/>
        <v>33.333333333333336</v>
      </c>
      <c r="K352" s="4">
        <f t="shared" si="79"/>
        <v>33.333333333333336</v>
      </c>
      <c r="L352" s="5">
        <f t="shared" si="80"/>
        <v>0</v>
      </c>
      <c r="M352" s="4">
        <f>4*(('01_WHOQOL_Items'!W352 + '01_WHOQOL_Items'!X352 + '01_WHOQOL_Items'!Y352)/3)</f>
        <v>14.666666666666666</v>
      </c>
      <c r="N352" s="4">
        <f>4*(('01_WHOQOL_Items'!AW352 + '01_WHOQOL_Items'!AX352 + '01_WHOQOL_Items'!AY352)/3)</f>
        <v>14.666666666666666</v>
      </c>
      <c r="O352" s="4">
        <f t="shared" si="81"/>
        <v>66.666666666666657</v>
      </c>
      <c r="P352" s="4">
        <f t="shared" si="82"/>
        <v>66.666666666666657</v>
      </c>
      <c r="Q352" s="5">
        <f t="shared" si="83"/>
        <v>0</v>
      </c>
      <c r="R352" s="4">
        <f>4*(('01_WHOQOL_Items'!K352 + '01_WHOQOL_Items'!L352 + '01_WHOQOL_Items'!O352 + '01_WHOQOL_Items'!P352 + '01_WHOQOL_Items'!Q352 + '01_WHOQOL_Items'!Z352 + '01_WHOQOL_Items'!AA352 + '01_WHOQOL_Items'!AB352)/8)</f>
        <v>9.5</v>
      </c>
      <c r="S352" s="4">
        <f>4*(('01_WHOQOL_Items'!AK352 + '01_WHOQOL_Items'!AL352 + '01_WHOQOL_Items'!AO352 + '01_WHOQOL_Items'!AP352 + '01_WHOQOL_Items'!AQ352 + '01_WHOQOL_Items'!AZ352 + '01_WHOQOL_Items'!BA352 + '01_WHOQOL_Items'!BB352)/8)</f>
        <v>8</v>
      </c>
      <c r="T352" s="4">
        <f t="shared" si="84"/>
        <v>34.375</v>
      </c>
      <c r="U352" s="4">
        <f t="shared" si="85"/>
        <v>25</v>
      </c>
      <c r="V352" s="5">
        <f t="shared" si="86"/>
        <v>-0.27272727272727271</v>
      </c>
      <c r="W352" s="4">
        <f t="shared" si="87"/>
        <v>48.772321428571423</v>
      </c>
      <c r="X352" s="4">
        <f t="shared" si="88"/>
        <v>46.428571428571423</v>
      </c>
      <c r="Y352" s="5">
        <f t="shared" si="89"/>
        <v>-4.8054919908466824E-2</v>
      </c>
      <c r="Z352" s="1">
        <f>'01_WHOQOL_Items'!D352</f>
        <v>3</v>
      </c>
      <c r="AA352" s="1">
        <f>'01_WHOQOL_Items'!AD352</f>
        <v>3</v>
      </c>
      <c r="AB352" s="1">
        <f>'01_WHOQOL_Items'!E352</f>
        <v>4</v>
      </c>
      <c r="AC352" s="1">
        <f>'01_WHOQOL_Items'!AE352</f>
        <v>3</v>
      </c>
    </row>
    <row r="353" spans="1:29">
      <c r="A353" s="1" t="str">
        <f>'01_WHOQOL_Items'!A353</f>
        <v>CON-071</v>
      </c>
      <c r="B353" s="1" t="str">
        <f>'01_WHOQOL_Items'!B353</f>
        <v>Control</v>
      </c>
      <c r="C353" s="4">
        <f>4*(((6-'01_WHOQOL_Items'!F353) + (6-'01_WHOQOL_Items'!G353) + '01_WHOQOL_Items'!M353 + '01_WHOQOL_Items'!R353 + '01_WHOQOL_Items'!S353 + '01_WHOQOL_Items'!T353 + '01_WHOQOL_Items'!U353)/7)</f>
        <v>12</v>
      </c>
      <c r="D353" s="4">
        <f>4*(((6-'01_WHOQOL_Items'!AF353) + (6-'01_WHOQOL_Items'!AG353) + '01_WHOQOL_Items'!AM353 + '01_WHOQOL_Items'!AR353 + '01_WHOQOL_Items'!AS353 + '01_WHOQOL_Items'!AT353 + '01_WHOQOL_Items'!AU353)/7)</f>
        <v>13.714285714285714</v>
      </c>
      <c r="E353" s="4">
        <f t="shared" si="75"/>
        <v>50</v>
      </c>
      <c r="F353" s="4">
        <f t="shared" si="76"/>
        <v>60.714285714285708</v>
      </c>
      <c r="G353" s="5">
        <f t="shared" si="77"/>
        <v>0.21428571428571416</v>
      </c>
      <c r="H353" s="4">
        <f>4*(('01_WHOQOL_Items'!H353 + '01_WHOQOL_Items'!I353 + '01_WHOQOL_Items'!J353 + '01_WHOQOL_Items'!N353 + '01_WHOQOL_Items'!V353 + (6-'01_WHOQOL_Items'!AC353))/6)</f>
        <v>14</v>
      </c>
      <c r="I353" s="4">
        <f>4*(('01_WHOQOL_Items'!AH353 + '01_WHOQOL_Items'!AI353 + '01_WHOQOL_Items'!AJ353 + '01_WHOQOL_Items'!AN353 + '01_WHOQOL_Items'!AV353 + (6-'01_WHOQOL_Items'!BC353))/6)</f>
        <v>12.666666666666666</v>
      </c>
      <c r="J353" s="4">
        <f t="shared" si="78"/>
        <v>62.5</v>
      </c>
      <c r="K353" s="4">
        <f t="shared" si="79"/>
        <v>54.166666666666664</v>
      </c>
      <c r="L353" s="5">
        <f t="shared" si="80"/>
        <v>-0.13333333333333336</v>
      </c>
      <c r="M353" s="4">
        <f>4*(('01_WHOQOL_Items'!W353 + '01_WHOQOL_Items'!X353 + '01_WHOQOL_Items'!Y353)/3)</f>
        <v>12</v>
      </c>
      <c r="N353" s="4">
        <f>4*(('01_WHOQOL_Items'!AW353 + '01_WHOQOL_Items'!AX353 + '01_WHOQOL_Items'!AY353)/3)</f>
        <v>10.666666666666666</v>
      </c>
      <c r="O353" s="4">
        <f t="shared" si="81"/>
        <v>50</v>
      </c>
      <c r="P353" s="4">
        <f t="shared" si="82"/>
        <v>41.666666666666664</v>
      </c>
      <c r="Q353" s="5">
        <f t="shared" si="83"/>
        <v>-0.16666666666666671</v>
      </c>
      <c r="R353" s="4">
        <f>4*(('01_WHOQOL_Items'!K353 + '01_WHOQOL_Items'!L353 + '01_WHOQOL_Items'!O353 + '01_WHOQOL_Items'!P353 + '01_WHOQOL_Items'!Q353 + '01_WHOQOL_Items'!Z353 + '01_WHOQOL_Items'!AA353 + '01_WHOQOL_Items'!AB353)/8)</f>
        <v>10.5</v>
      </c>
      <c r="S353" s="4">
        <f>4*(('01_WHOQOL_Items'!AK353 + '01_WHOQOL_Items'!AL353 + '01_WHOQOL_Items'!AO353 + '01_WHOQOL_Items'!AP353 + '01_WHOQOL_Items'!AQ353 + '01_WHOQOL_Items'!AZ353 + '01_WHOQOL_Items'!BA353 + '01_WHOQOL_Items'!BB353)/8)</f>
        <v>11</v>
      </c>
      <c r="T353" s="4">
        <f t="shared" si="84"/>
        <v>40.625</v>
      </c>
      <c r="U353" s="4">
        <f t="shared" si="85"/>
        <v>43.75</v>
      </c>
      <c r="V353" s="5">
        <f t="shared" si="86"/>
        <v>7.6923076923076927E-2</v>
      </c>
      <c r="W353" s="4">
        <f t="shared" si="87"/>
        <v>50.78125</v>
      </c>
      <c r="X353" s="4">
        <f t="shared" si="88"/>
        <v>50.074404761904759</v>
      </c>
      <c r="Y353" s="5">
        <f t="shared" si="89"/>
        <v>-1.3919413919413972E-2</v>
      </c>
      <c r="Z353" s="1">
        <f>'01_WHOQOL_Items'!D353</f>
        <v>3</v>
      </c>
      <c r="AA353" s="1">
        <f>'01_WHOQOL_Items'!AD353</f>
        <v>3</v>
      </c>
      <c r="AB353" s="1">
        <f>'01_WHOQOL_Items'!E353</f>
        <v>4</v>
      </c>
      <c r="AC353" s="1">
        <f>'01_WHOQOL_Items'!AE353</f>
        <v>3</v>
      </c>
    </row>
    <row r="354" spans="1:29">
      <c r="A354" s="1" t="str">
        <f>'01_WHOQOL_Items'!A354</f>
        <v>CON-072</v>
      </c>
      <c r="B354" s="1" t="str">
        <f>'01_WHOQOL_Items'!B354</f>
        <v>Control</v>
      </c>
      <c r="C354" s="4">
        <f>4*(((6-'01_WHOQOL_Items'!F354) + (6-'01_WHOQOL_Items'!G354) + '01_WHOQOL_Items'!M354 + '01_WHOQOL_Items'!R354 + '01_WHOQOL_Items'!S354 + '01_WHOQOL_Items'!T354 + '01_WHOQOL_Items'!U354)/7)</f>
        <v>13.714285714285714</v>
      </c>
      <c r="D354" s="4">
        <f>4*(((6-'01_WHOQOL_Items'!AF354) + (6-'01_WHOQOL_Items'!AG354) + '01_WHOQOL_Items'!AM354 + '01_WHOQOL_Items'!AR354 + '01_WHOQOL_Items'!AS354 + '01_WHOQOL_Items'!AT354 + '01_WHOQOL_Items'!AU354)/7)</f>
        <v>14.285714285714286</v>
      </c>
      <c r="E354" s="4">
        <f t="shared" si="75"/>
        <v>60.714285714285708</v>
      </c>
      <c r="F354" s="4">
        <f t="shared" si="76"/>
        <v>64.285714285714292</v>
      </c>
      <c r="G354" s="5">
        <f t="shared" si="77"/>
        <v>5.8823529411764913E-2</v>
      </c>
      <c r="H354" s="4">
        <f>4*(('01_WHOQOL_Items'!H354 + '01_WHOQOL_Items'!I354 + '01_WHOQOL_Items'!J354 + '01_WHOQOL_Items'!N354 + '01_WHOQOL_Items'!V354 + (6-'01_WHOQOL_Items'!AC354))/6)</f>
        <v>13.333333333333334</v>
      </c>
      <c r="I354" s="4">
        <f>4*(('01_WHOQOL_Items'!AH354 + '01_WHOQOL_Items'!AI354 + '01_WHOQOL_Items'!AJ354 + '01_WHOQOL_Items'!AN354 + '01_WHOQOL_Items'!AV354 + (6-'01_WHOQOL_Items'!BC354))/6)</f>
        <v>12.666666666666666</v>
      </c>
      <c r="J354" s="4">
        <f t="shared" si="78"/>
        <v>58.333333333333336</v>
      </c>
      <c r="K354" s="4">
        <f t="shared" si="79"/>
        <v>54.166666666666664</v>
      </c>
      <c r="L354" s="5">
        <f t="shared" si="80"/>
        <v>-7.1428571428571508E-2</v>
      </c>
      <c r="M354" s="4">
        <f>4*(('01_WHOQOL_Items'!W354 + '01_WHOQOL_Items'!X354 + '01_WHOQOL_Items'!Y354)/3)</f>
        <v>9.3333333333333339</v>
      </c>
      <c r="N354" s="4">
        <f>4*(('01_WHOQOL_Items'!AW354 + '01_WHOQOL_Items'!AX354 + '01_WHOQOL_Items'!AY354)/3)</f>
        <v>12</v>
      </c>
      <c r="O354" s="4">
        <f t="shared" si="81"/>
        <v>33.333333333333336</v>
      </c>
      <c r="P354" s="4">
        <f t="shared" si="82"/>
        <v>50</v>
      </c>
      <c r="Q354" s="5">
        <f t="shared" si="83"/>
        <v>0.49999999999999989</v>
      </c>
      <c r="R354" s="4">
        <f>4*(('01_WHOQOL_Items'!K354 + '01_WHOQOL_Items'!L354 + '01_WHOQOL_Items'!O354 + '01_WHOQOL_Items'!P354 + '01_WHOQOL_Items'!Q354 + '01_WHOQOL_Items'!Z354 + '01_WHOQOL_Items'!AA354 + '01_WHOQOL_Items'!AB354)/8)</f>
        <v>9.5</v>
      </c>
      <c r="S354" s="4">
        <f>4*(('01_WHOQOL_Items'!AK354 + '01_WHOQOL_Items'!AL354 + '01_WHOQOL_Items'!AO354 + '01_WHOQOL_Items'!AP354 + '01_WHOQOL_Items'!AQ354 + '01_WHOQOL_Items'!AZ354 + '01_WHOQOL_Items'!BA354 + '01_WHOQOL_Items'!BB354)/8)</f>
        <v>9.5</v>
      </c>
      <c r="T354" s="4">
        <f t="shared" si="84"/>
        <v>34.375</v>
      </c>
      <c r="U354" s="4">
        <f t="shared" si="85"/>
        <v>34.375</v>
      </c>
      <c r="V354" s="5">
        <f t="shared" si="86"/>
        <v>0</v>
      </c>
      <c r="W354" s="4">
        <f t="shared" si="87"/>
        <v>46.688988095238095</v>
      </c>
      <c r="X354" s="4">
        <f t="shared" si="88"/>
        <v>50.706845238095241</v>
      </c>
      <c r="Y354" s="5">
        <f t="shared" si="89"/>
        <v>8.6055776892430338E-2</v>
      </c>
      <c r="Z354" s="1">
        <f>'01_WHOQOL_Items'!D354</f>
        <v>2</v>
      </c>
      <c r="AA354" s="1">
        <f>'01_WHOQOL_Items'!AD354</f>
        <v>4</v>
      </c>
      <c r="AB354" s="1">
        <f>'01_WHOQOL_Items'!E354</f>
        <v>3</v>
      </c>
      <c r="AC354" s="1">
        <f>'01_WHOQOL_Items'!AE354</f>
        <v>3</v>
      </c>
    </row>
    <row r="355" spans="1:29">
      <c r="A355" s="1" t="str">
        <f>'01_WHOQOL_Items'!A355</f>
        <v>CON-073</v>
      </c>
      <c r="B355" s="1" t="str">
        <f>'01_WHOQOL_Items'!B355</f>
        <v>Control</v>
      </c>
      <c r="C355" s="4">
        <f>4*(((6-'01_WHOQOL_Items'!F355) + (6-'01_WHOQOL_Items'!G355) + '01_WHOQOL_Items'!M355 + '01_WHOQOL_Items'!R355 + '01_WHOQOL_Items'!S355 + '01_WHOQOL_Items'!T355 + '01_WHOQOL_Items'!U355)/7)</f>
        <v>13.142857142857142</v>
      </c>
      <c r="D355" s="4">
        <f>4*(((6-'01_WHOQOL_Items'!AF355) + (6-'01_WHOQOL_Items'!AG355) + '01_WHOQOL_Items'!AM355 + '01_WHOQOL_Items'!AR355 + '01_WHOQOL_Items'!AS355 + '01_WHOQOL_Items'!AT355 + '01_WHOQOL_Items'!AU355)/7)</f>
        <v>12</v>
      </c>
      <c r="E355" s="4">
        <f t="shared" si="75"/>
        <v>57.142857142857139</v>
      </c>
      <c r="F355" s="4">
        <f t="shared" si="76"/>
        <v>50</v>
      </c>
      <c r="G355" s="5">
        <f t="shared" si="77"/>
        <v>-0.12499999999999994</v>
      </c>
      <c r="H355" s="4">
        <f>4*(('01_WHOQOL_Items'!H355 + '01_WHOQOL_Items'!I355 + '01_WHOQOL_Items'!J355 + '01_WHOQOL_Items'!N355 + '01_WHOQOL_Items'!V355 + (6-'01_WHOQOL_Items'!AC355))/6)</f>
        <v>12</v>
      </c>
      <c r="I355" s="4">
        <f>4*(('01_WHOQOL_Items'!AH355 + '01_WHOQOL_Items'!AI355 + '01_WHOQOL_Items'!AJ355 + '01_WHOQOL_Items'!AN355 + '01_WHOQOL_Items'!AV355 + (6-'01_WHOQOL_Items'!BC355))/6)</f>
        <v>13.333333333333334</v>
      </c>
      <c r="J355" s="4">
        <f t="shared" si="78"/>
        <v>50</v>
      </c>
      <c r="K355" s="4">
        <f t="shared" si="79"/>
        <v>58.333333333333336</v>
      </c>
      <c r="L355" s="5">
        <f t="shared" si="80"/>
        <v>0.16666666666666671</v>
      </c>
      <c r="M355" s="4">
        <f>4*(('01_WHOQOL_Items'!W355 + '01_WHOQOL_Items'!X355 + '01_WHOQOL_Items'!Y355)/3)</f>
        <v>12</v>
      </c>
      <c r="N355" s="4">
        <f>4*(('01_WHOQOL_Items'!AW355 + '01_WHOQOL_Items'!AX355 + '01_WHOQOL_Items'!AY355)/3)</f>
        <v>10.666666666666666</v>
      </c>
      <c r="O355" s="4">
        <f t="shared" si="81"/>
        <v>50</v>
      </c>
      <c r="P355" s="4">
        <f t="shared" si="82"/>
        <v>41.666666666666664</v>
      </c>
      <c r="Q355" s="5">
        <f t="shared" si="83"/>
        <v>-0.16666666666666671</v>
      </c>
      <c r="R355" s="4">
        <f>4*(('01_WHOQOL_Items'!K355 + '01_WHOQOL_Items'!L355 + '01_WHOQOL_Items'!O355 + '01_WHOQOL_Items'!P355 + '01_WHOQOL_Items'!Q355 + '01_WHOQOL_Items'!Z355 + '01_WHOQOL_Items'!AA355 + '01_WHOQOL_Items'!AB355)/8)</f>
        <v>11</v>
      </c>
      <c r="S355" s="4">
        <f>4*(('01_WHOQOL_Items'!AK355 + '01_WHOQOL_Items'!AL355 + '01_WHOQOL_Items'!AO355 + '01_WHOQOL_Items'!AP355 + '01_WHOQOL_Items'!AQ355 + '01_WHOQOL_Items'!AZ355 + '01_WHOQOL_Items'!BA355 + '01_WHOQOL_Items'!BB355)/8)</f>
        <v>10</v>
      </c>
      <c r="T355" s="4">
        <f t="shared" si="84"/>
        <v>43.75</v>
      </c>
      <c r="U355" s="4">
        <f t="shared" si="85"/>
        <v>37.5</v>
      </c>
      <c r="V355" s="5">
        <f t="shared" si="86"/>
        <v>-0.14285714285714285</v>
      </c>
      <c r="W355" s="4">
        <f t="shared" si="87"/>
        <v>50.223214285714285</v>
      </c>
      <c r="X355" s="4">
        <f t="shared" si="88"/>
        <v>46.875</v>
      </c>
      <c r="Y355" s="5">
        <f t="shared" si="89"/>
        <v>-6.6666666666666652E-2</v>
      </c>
      <c r="Z355" s="1">
        <f>'01_WHOQOL_Items'!D355</f>
        <v>3</v>
      </c>
      <c r="AA355" s="1">
        <f>'01_WHOQOL_Items'!AD355</f>
        <v>3</v>
      </c>
      <c r="AB355" s="1">
        <f>'01_WHOQOL_Items'!E355</f>
        <v>3</v>
      </c>
      <c r="AC355" s="1">
        <f>'01_WHOQOL_Items'!AE355</f>
        <v>3</v>
      </c>
    </row>
    <row r="356" spans="1:29">
      <c r="A356" s="1" t="str">
        <f>'01_WHOQOL_Items'!A356</f>
        <v>CON-074</v>
      </c>
      <c r="B356" s="1" t="str">
        <f>'01_WHOQOL_Items'!B356</f>
        <v>Control</v>
      </c>
      <c r="C356" s="4">
        <f>4*(((6-'01_WHOQOL_Items'!F356) + (6-'01_WHOQOL_Items'!G356) + '01_WHOQOL_Items'!M356 + '01_WHOQOL_Items'!R356 + '01_WHOQOL_Items'!S356 + '01_WHOQOL_Items'!T356 + '01_WHOQOL_Items'!U356)/7)</f>
        <v>11.428571428571429</v>
      </c>
      <c r="D356" s="4">
        <f>4*(((6-'01_WHOQOL_Items'!AF356) + (6-'01_WHOQOL_Items'!AG356) + '01_WHOQOL_Items'!AM356 + '01_WHOQOL_Items'!AR356 + '01_WHOQOL_Items'!AS356 + '01_WHOQOL_Items'!AT356 + '01_WHOQOL_Items'!AU356)/7)</f>
        <v>9.7142857142857135</v>
      </c>
      <c r="E356" s="4">
        <f t="shared" si="75"/>
        <v>46.428571428571431</v>
      </c>
      <c r="F356" s="4">
        <f t="shared" si="76"/>
        <v>35.714285714285708</v>
      </c>
      <c r="G356" s="5">
        <f t="shared" si="77"/>
        <v>-0.23076923076923092</v>
      </c>
      <c r="H356" s="4">
        <f>4*(('01_WHOQOL_Items'!H356 + '01_WHOQOL_Items'!I356 + '01_WHOQOL_Items'!J356 + '01_WHOQOL_Items'!N356 + '01_WHOQOL_Items'!V356 + (6-'01_WHOQOL_Items'!AC356))/6)</f>
        <v>12</v>
      </c>
      <c r="I356" s="4">
        <f>4*(('01_WHOQOL_Items'!AH356 + '01_WHOQOL_Items'!AI356 + '01_WHOQOL_Items'!AJ356 + '01_WHOQOL_Items'!AN356 + '01_WHOQOL_Items'!AV356 + (6-'01_WHOQOL_Items'!BC356))/6)</f>
        <v>9.3333333333333339</v>
      </c>
      <c r="J356" s="4">
        <f t="shared" si="78"/>
        <v>50</v>
      </c>
      <c r="K356" s="4">
        <f t="shared" si="79"/>
        <v>33.333333333333336</v>
      </c>
      <c r="L356" s="5">
        <f t="shared" si="80"/>
        <v>-0.33333333333333326</v>
      </c>
      <c r="M356" s="4">
        <f>4*(('01_WHOQOL_Items'!W356 + '01_WHOQOL_Items'!X356 + '01_WHOQOL_Items'!Y356)/3)</f>
        <v>9.3333333333333339</v>
      </c>
      <c r="N356" s="4">
        <f>4*(('01_WHOQOL_Items'!AW356 + '01_WHOQOL_Items'!AX356 + '01_WHOQOL_Items'!AY356)/3)</f>
        <v>6.666666666666667</v>
      </c>
      <c r="O356" s="4">
        <f t="shared" si="81"/>
        <v>33.333333333333336</v>
      </c>
      <c r="P356" s="4">
        <f t="shared" si="82"/>
        <v>16.666666666666668</v>
      </c>
      <c r="Q356" s="5">
        <f t="shared" si="83"/>
        <v>-0.5</v>
      </c>
      <c r="R356" s="4">
        <f>4*(('01_WHOQOL_Items'!K356 + '01_WHOQOL_Items'!L356 + '01_WHOQOL_Items'!O356 + '01_WHOQOL_Items'!P356 + '01_WHOQOL_Items'!Q356 + '01_WHOQOL_Items'!Z356 + '01_WHOQOL_Items'!AA356 + '01_WHOQOL_Items'!AB356)/8)</f>
        <v>14</v>
      </c>
      <c r="S356" s="4">
        <f>4*(('01_WHOQOL_Items'!AK356 + '01_WHOQOL_Items'!AL356 + '01_WHOQOL_Items'!AO356 + '01_WHOQOL_Items'!AP356 + '01_WHOQOL_Items'!AQ356 + '01_WHOQOL_Items'!AZ356 + '01_WHOQOL_Items'!BA356 + '01_WHOQOL_Items'!BB356)/8)</f>
        <v>12</v>
      </c>
      <c r="T356" s="4">
        <f t="shared" si="84"/>
        <v>62.5</v>
      </c>
      <c r="U356" s="4">
        <f t="shared" si="85"/>
        <v>50</v>
      </c>
      <c r="V356" s="5">
        <f t="shared" si="86"/>
        <v>-0.2</v>
      </c>
      <c r="W356" s="4">
        <f t="shared" si="87"/>
        <v>48.06547619047619</v>
      </c>
      <c r="X356" s="4">
        <f t="shared" si="88"/>
        <v>33.928571428571431</v>
      </c>
      <c r="Y356" s="5">
        <f t="shared" si="89"/>
        <v>-0.29411764705882348</v>
      </c>
      <c r="Z356" s="1">
        <f>'01_WHOQOL_Items'!D356</f>
        <v>3</v>
      </c>
      <c r="AA356" s="1">
        <f>'01_WHOQOL_Items'!AD356</f>
        <v>2</v>
      </c>
      <c r="AB356" s="1">
        <f>'01_WHOQOL_Items'!E356</f>
        <v>3</v>
      </c>
      <c r="AC356" s="1">
        <f>'01_WHOQOL_Items'!AE356</f>
        <v>3</v>
      </c>
    </row>
    <row r="357" spans="1:29">
      <c r="A357" s="1" t="str">
        <f>'01_WHOQOL_Items'!A357</f>
        <v>CON-075</v>
      </c>
      <c r="B357" s="1" t="str">
        <f>'01_WHOQOL_Items'!B357</f>
        <v>Control</v>
      </c>
      <c r="C357" s="4">
        <f>4*(((6-'01_WHOQOL_Items'!F357) + (6-'01_WHOQOL_Items'!G357) + '01_WHOQOL_Items'!M357 + '01_WHOQOL_Items'!R357 + '01_WHOQOL_Items'!S357 + '01_WHOQOL_Items'!T357 + '01_WHOQOL_Items'!U357)/7)</f>
        <v>10.285714285714286</v>
      </c>
      <c r="D357" s="4">
        <f>4*(((6-'01_WHOQOL_Items'!AF357) + (6-'01_WHOQOL_Items'!AG357) + '01_WHOQOL_Items'!AM357 + '01_WHOQOL_Items'!AR357 + '01_WHOQOL_Items'!AS357 + '01_WHOQOL_Items'!AT357 + '01_WHOQOL_Items'!AU357)/7)</f>
        <v>9.1428571428571423</v>
      </c>
      <c r="E357" s="4">
        <f t="shared" si="75"/>
        <v>39.285714285714292</v>
      </c>
      <c r="F357" s="4">
        <f t="shared" si="76"/>
        <v>32.142857142857139</v>
      </c>
      <c r="G357" s="5">
        <f t="shared" si="77"/>
        <v>-0.18181818181818205</v>
      </c>
      <c r="H357" s="4">
        <f>4*(('01_WHOQOL_Items'!H357 + '01_WHOQOL_Items'!I357 + '01_WHOQOL_Items'!J357 + '01_WHOQOL_Items'!N357 + '01_WHOQOL_Items'!V357 + (6-'01_WHOQOL_Items'!AC357))/6)</f>
        <v>12</v>
      </c>
      <c r="I357" s="4">
        <f>4*(('01_WHOQOL_Items'!AH357 + '01_WHOQOL_Items'!AI357 + '01_WHOQOL_Items'!AJ357 + '01_WHOQOL_Items'!AN357 + '01_WHOQOL_Items'!AV357 + (6-'01_WHOQOL_Items'!BC357))/6)</f>
        <v>13.333333333333334</v>
      </c>
      <c r="J357" s="4">
        <f t="shared" si="78"/>
        <v>50</v>
      </c>
      <c r="K357" s="4">
        <f t="shared" si="79"/>
        <v>58.333333333333336</v>
      </c>
      <c r="L357" s="5">
        <f t="shared" si="80"/>
        <v>0.16666666666666671</v>
      </c>
      <c r="M357" s="4">
        <f>4*(('01_WHOQOL_Items'!W357 + '01_WHOQOL_Items'!X357 + '01_WHOQOL_Items'!Y357)/3)</f>
        <v>8</v>
      </c>
      <c r="N357" s="4">
        <f>4*(('01_WHOQOL_Items'!AW357 + '01_WHOQOL_Items'!AX357 + '01_WHOQOL_Items'!AY357)/3)</f>
        <v>10.666666666666666</v>
      </c>
      <c r="O357" s="4">
        <f t="shared" si="81"/>
        <v>25</v>
      </c>
      <c r="P357" s="4">
        <f t="shared" si="82"/>
        <v>41.666666666666664</v>
      </c>
      <c r="Q357" s="5">
        <f t="shared" si="83"/>
        <v>0.66666666666666652</v>
      </c>
      <c r="R357" s="4">
        <f>4*(('01_WHOQOL_Items'!K357 + '01_WHOQOL_Items'!L357 + '01_WHOQOL_Items'!O357 + '01_WHOQOL_Items'!P357 + '01_WHOQOL_Items'!Q357 + '01_WHOQOL_Items'!Z357 + '01_WHOQOL_Items'!AA357 + '01_WHOQOL_Items'!AB357)/8)</f>
        <v>12.5</v>
      </c>
      <c r="S357" s="4">
        <f>4*(('01_WHOQOL_Items'!AK357 + '01_WHOQOL_Items'!AL357 + '01_WHOQOL_Items'!AO357 + '01_WHOQOL_Items'!AP357 + '01_WHOQOL_Items'!AQ357 + '01_WHOQOL_Items'!AZ357 + '01_WHOQOL_Items'!BA357 + '01_WHOQOL_Items'!BB357)/8)</f>
        <v>11.5</v>
      </c>
      <c r="T357" s="4">
        <f t="shared" si="84"/>
        <v>53.125</v>
      </c>
      <c r="U357" s="4">
        <f t="shared" si="85"/>
        <v>46.875</v>
      </c>
      <c r="V357" s="5">
        <f t="shared" si="86"/>
        <v>-0.11764705882352941</v>
      </c>
      <c r="W357" s="4">
        <f t="shared" si="87"/>
        <v>41.852678571428569</v>
      </c>
      <c r="X357" s="4">
        <f t="shared" si="88"/>
        <v>44.754464285714285</v>
      </c>
      <c r="Y357" s="5">
        <f t="shared" si="89"/>
        <v>6.9333333333333358E-2</v>
      </c>
      <c r="Z357" s="1">
        <f>'01_WHOQOL_Items'!D357</f>
        <v>2</v>
      </c>
      <c r="AA357" s="1">
        <f>'01_WHOQOL_Items'!AD357</f>
        <v>3</v>
      </c>
      <c r="AB357" s="1">
        <f>'01_WHOQOL_Items'!E357</f>
        <v>2</v>
      </c>
      <c r="AC357" s="1">
        <f>'01_WHOQOL_Items'!AE357</f>
        <v>2</v>
      </c>
    </row>
    <row r="358" spans="1:29">
      <c r="A358" s="1" t="str">
        <f>'01_WHOQOL_Items'!A358</f>
        <v>CON-076</v>
      </c>
      <c r="B358" s="1" t="str">
        <f>'01_WHOQOL_Items'!B358</f>
        <v>Control</v>
      </c>
      <c r="C358" s="4">
        <f>4*(((6-'01_WHOQOL_Items'!F358) + (6-'01_WHOQOL_Items'!G358) + '01_WHOQOL_Items'!M358 + '01_WHOQOL_Items'!R358 + '01_WHOQOL_Items'!S358 + '01_WHOQOL_Items'!T358 + '01_WHOQOL_Items'!U358)/7)</f>
        <v>14.285714285714286</v>
      </c>
      <c r="D358" s="4">
        <f>4*(((6-'01_WHOQOL_Items'!AF358) + (6-'01_WHOQOL_Items'!AG358) + '01_WHOQOL_Items'!AM358 + '01_WHOQOL_Items'!AR358 + '01_WHOQOL_Items'!AS358 + '01_WHOQOL_Items'!AT358 + '01_WHOQOL_Items'!AU358)/7)</f>
        <v>13.142857142857142</v>
      </c>
      <c r="E358" s="4">
        <f t="shared" si="75"/>
        <v>64.285714285714292</v>
      </c>
      <c r="F358" s="4">
        <f t="shared" si="76"/>
        <v>57.142857142857139</v>
      </c>
      <c r="G358" s="5">
        <f t="shared" si="77"/>
        <v>-0.11111111111111126</v>
      </c>
      <c r="H358" s="4">
        <f>4*(('01_WHOQOL_Items'!H358 + '01_WHOQOL_Items'!I358 + '01_WHOQOL_Items'!J358 + '01_WHOQOL_Items'!N358 + '01_WHOQOL_Items'!V358 + (6-'01_WHOQOL_Items'!AC358))/6)</f>
        <v>13.333333333333334</v>
      </c>
      <c r="I358" s="4">
        <f>4*(('01_WHOQOL_Items'!AH358 + '01_WHOQOL_Items'!AI358 + '01_WHOQOL_Items'!AJ358 + '01_WHOQOL_Items'!AN358 + '01_WHOQOL_Items'!AV358 + (6-'01_WHOQOL_Items'!BC358))/6)</f>
        <v>10</v>
      </c>
      <c r="J358" s="4">
        <f t="shared" si="78"/>
        <v>58.333333333333336</v>
      </c>
      <c r="K358" s="4">
        <f t="shared" si="79"/>
        <v>37.5</v>
      </c>
      <c r="L358" s="5">
        <f t="shared" si="80"/>
        <v>-0.35714285714285715</v>
      </c>
      <c r="M358" s="4">
        <f>4*(('01_WHOQOL_Items'!W358 + '01_WHOQOL_Items'!X358 + '01_WHOQOL_Items'!Y358)/3)</f>
        <v>13.333333333333334</v>
      </c>
      <c r="N358" s="4">
        <f>4*(('01_WHOQOL_Items'!AW358 + '01_WHOQOL_Items'!AX358 + '01_WHOQOL_Items'!AY358)/3)</f>
        <v>12</v>
      </c>
      <c r="O358" s="4">
        <f t="shared" si="81"/>
        <v>58.333333333333336</v>
      </c>
      <c r="P358" s="4">
        <f t="shared" si="82"/>
        <v>50</v>
      </c>
      <c r="Q358" s="5">
        <f t="shared" si="83"/>
        <v>-0.1428571428571429</v>
      </c>
      <c r="R358" s="4">
        <f>4*(('01_WHOQOL_Items'!K358 + '01_WHOQOL_Items'!L358 + '01_WHOQOL_Items'!O358 + '01_WHOQOL_Items'!P358 + '01_WHOQOL_Items'!Q358 + '01_WHOQOL_Items'!Z358 + '01_WHOQOL_Items'!AA358 + '01_WHOQOL_Items'!AB358)/8)</f>
        <v>12</v>
      </c>
      <c r="S358" s="4">
        <f>4*(('01_WHOQOL_Items'!AK358 + '01_WHOQOL_Items'!AL358 + '01_WHOQOL_Items'!AO358 + '01_WHOQOL_Items'!AP358 + '01_WHOQOL_Items'!AQ358 + '01_WHOQOL_Items'!AZ358 + '01_WHOQOL_Items'!BA358 + '01_WHOQOL_Items'!BB358)/8)</f>
        <v>12</v>
      </c>
      <c r="T358" s="4">
        <f t="shared" si="84"/>
        <v>50</v>
      </c>
      <c r="U358" s="4">
        <f t="shared" si="85"/>
        <v>50</v>
      </c>
      <c r="V358" s="5">
        <f t="shared" si="86"/>
        <v>0</v>
      </c>
      <c r="W358" s="4">
        <f t="shared" si="87"/>
        <v>57.738095238095241</v>
      </c>
      <c r="X358" s="4">
        <f t="shared" si="88"/>
        <v>48.660714285714285</v>
      </c>
      <c r="Y358" s="5">
        <f t="shared" si="89"/>
        <v>-0.15721649484536088</v>
      </c>
      <c r="Z358" s="1">
        <f>'01_WHOQOL_Items'!D358</f>
        <v>4</v>
      </c>
      <c r="AA358" s="1">
        <f>'01_WHOQOL_Items'!AD358</f>
        <v>2</v>
      </c>
      <c r="AB358" s="1">
        <f>'01_WHOQOL_Items'!E358</f>
        <v>3</v>
      </c>
      <c r="AC358" s="1">
        <f>'01_WHOQOL_Items'!AE358</f>
        <v>3</v>
      </c>
    </row>
    <row r="359" spans="1:29">
      <c r="A359" s="1" t="str">
        <f>'01_WHOQOL_Items'!A359</f>
        <v>CON-077</v>
      </c>
      <c r="B359" s="1" t="str">
        <f>'01_WHOQOL_Items'!B359</f>
        <v>Control</v>
      </c>
      <c r="C359" s="4">
        <f>4*(((6-'01_WHOQOL_Items'!F359) + (6-'01_WHOQOL_Items'!G359) + '01_WHOQOL_Items'!M359 + '01_WHOQOL_Items'!R359 + '01_WHOQOL_Items'!S359 + '01_WHOQOL_Items'!T359 + '01_WHOQOL_Items'!U359)/7)</f>
        <v>13.714285714285714</v>
      </c>
      <c r="D359" s="4">
        <f>4*(((6-'01_WHOQOL_Items'!AF359) + (6-'01_WHOQOL_Items'!AG359) + '01_WHOQOL_Items'!AM359 + '01_WHOQOL_Items'!AR359 + '01_WHOQOL_Items'!AS359 + '01_WHOQOL_Items'!AT359 + '01_WHOQOL_Items'!AU359)/7)</f>
        <v>13.142857142857142</v>
      </c>
      <c r="E359" s="4">
        <f t="shared" si="75"/>
        <v>60.714285714285708</v>
      </c>
      <c r="F359" s="4">
        <f t="shared" si="76"/>
        <v>57.142857142857139</v>
      </c>
      <c r="G359" s="5">
        <f t="shared" si="77"/>
        <v>-5.8823529411764677E-2</v>
      </c>
      <c r="H359" s="4">
        <f>4*(('01_WHOQOL_Items'!H359 + '01_WHOQOL_Items'!I359 + '01_WHOQOL_Items'!J359 + '01_WHOQOL_Items'!N359 + '01_WHOQOL_Items'!V359 + (6-'01_WHOQOL_Items'!AC359))/6)</f>
        <v>14.666666666666666</v>
      </c>
      <c r="I359" s="4">
        <f>4*(('01_WHOQOL_Items'!AH359 + '01_WHOQOL_Items'!AI359 + '01_WHOQOL_Items'!AJ359 + '01_WHOQOL_Items'!AN359 + '01_WHOQOL_Items'!AV359 + (6-'01_WHOQOL_Items'!BC359))/6)</f>
        <v>15.333333333333334</v>
      </c>
      <c r="J359" s="4">
        <f t="shared" si="78"/>
        <v>66.666666666666657</v>
      </c>
      <c r="K359" s="4">
        <f t="shared" si="79"/>
        <v>70.833333333333343</v>
      </c>
      <c r="L359" s="5">
        <f t="shared" si="80"/>
        <v>6.2500000000000291E-2</v>
      </c>
      <c r="M359" s="4">
        <f>4*(('01_WHOQOL_Items'!W359 + '01_WHOQOL_Items'!X359 + '01_WHOQOL_Items'!Y359)/3)</f>
        <v>8</v>
      </c>
      <c r="N359" s="4">
        <f>4*(('01_WHOQOL_Items'!AW359 + '01_WHOQOL_Items'!AX359 + '01_WHOQOL_Items'!AY359)/3)</f>
        <v>10.666666666666666</v>
      </c>
      <c r="O359" s="4">
        <f t="shared" si="81"/>
        <v>25</v>
      </c>
      <c r="P359" s="4">
        <f t="shared" si="82"/>
        <v>41.666666666666664</v>
      </c>
      <c r="Q359" s="5">
        <f t="shared" si="83"/>
        <v>0.66666666666666652</v>
      </c>
      <c r="R359" s="4">
        <f>4*(('01_WHOQOL_Items'!K359 + '01_WHOQOL_Items'!L359 + '01_WHOQOL_Items'!O359 + '01_WHOQOL_Items'!P359 + '01_WHOQOL_Items'!Q359 + '01_WHOQOL_Items'!Z359 + '01_WHOQOL_Items'!AA359 + '01_WHOQOL_Items'!AB359)/8)</f>
        <v>10.5</v>
      </c>
      <c r="S359" s="4">
        <f>4*(('01_WHOQOL_Items'!AK359 + '01_WHOQOL_Items'!AL359 + '01_WHOQOL_Items'!AO359 + '01_WHOQOL_Items'!AP359 + '01_WHOQOL_Items'!AQ359 + '01_WHOQOL_Items'!AZ359 + '01_WHOQOL_Items'!BA359 + '01_WHOQOL_Items'!BB359)/8)</f>
        <v>12</v>
      </c>
      <c r="T359" s="4">
        <f t="shared" si="84"/>
        <v>40.625</v>
      </c>
      <c r="U359" s="4">
        <f t="shared" si="85"/>
        <v>50</v>
      </c>
      <c r="V359" s="5">
        <f t="shared" si="86"/>
        <v>0.23076923076923078</v>
      </c>
      <c r="W359" s="4">
        <f t="shared" si="87"/>
        <v>48.251488095238088</v>
      </c>
      <c r="X359" s="4">
        <f t="shared" si="88"/>
        <v>54.910714285714285</v>
      </c>
      <c r="Y359" s="5">
        <f t="shared" si="89"/>
        <v>0.13801079414032397</v>
      </c>
      <c r="Z359" s="1">
        <f>'01_WHOQOL_Items'!D359</f>
        <v>3</v>
      </c>
      <c r="AA359" s="1">
        <f>'01_WHOQOL_Items'!AD359</f>
        <v>3</v>
      </c>
      <c r="AB359" s="1">
        <f>'01_WHOQOL_Items'!E359</f>
        <v>4</v>
      </c>
      <c r="AC359" s="1">
        <f>'01_WHOQOL_Items'!AE359</f>
        <v>4</v>
      </c>
    </row>
    <row r="360" spans="1:29">
      <c r="A360" s="1" t="str">
        <f>'01_WHOQOL_Items'!A360</f>
        <v>CON-078</v>
      </c>
      <c r="B360" s="1" t="str">
        <f>'01_WHOQOL_Items'!B360</f>
        <v>Control</v>
      </c>
      <c r="C360" s="4">
        <f>4*(((6-'01_WHOQOL_Items'!F360) + (6-'01_WHOQOL_Items'!G360) + '01_WHOQOL_Items'!M360 + '01_WHOQOL_Items'!R360 + '01_WHOQOL_Items'!S360 + '01_WHOQOL_Items'!T360 + '01_WHOQOL_Items'!U360)/7)</f>
        <v>10.857142857142858</v>
      </c>
      <c r="D360" s="4">
        <f>4*(((6-'01_WHOQOL_Items'!AF360) + (6-'01_WHOQOL_Items'!AG360) + '01_WHOQOL_Items'!AM360 + '01_WHOQOL_Items'!AR360 + '01_WHOQOL_Items'!AS360 + '01_WHOQOL_Items'!AT360 + '01_WHOQOL_Items'!AU360)/7)</f>
        <v>10.857142857142858</v>
      </c>
      <c r="E360" s="4">
        <f t="shared" si="75"/>
        <v>42.857142857142861</v>
      </c>
      <c r="F360" s="4">
        <f t="shared" si="76"/>
        <v>42.857142857142861</v>
      </c>
      <c r="G360" s="5">
        <f t="shared" si="77"/>
        <v>0</v>
      </c>
      <c r="H360" s="4">
        <f>4*(('01_WHOQOL_Items'!H360 + '01_WHOQOL_Items'!I360 + '01_WHOQOL_Items'!J360 + '01_WHOQOL_Items'!N360 + '01_WHOQOL_Items'!V360 + (6-'01_WHOQOL_Items'!AC360))/6)</f>
        <v>12</v>
      </c>
      <c r="I360" s="4">
        <f>4*(('01_WHOQOL_Items'!AH360 + '01_WHOQOL_Items'!AI360 + '01_WHOQOL_Items'!AJ360 + '01_WHOQOL_Items'!AN360 + '01_WHOQOL_Items'!AV360 + (6-'01_WHOQOL_Items'!BC360))/6)</f>
        <v>12.666666666666666</v>
      </c>
      <c r="J360" s="4">
        <f t="shared" si="78"/>
        <v>50</v>
      </c>
      <c r="K360" s="4">
        <f t="shared" si="79"/>
        <v>54.166666666666664</v>
      </c>
      <c r="L360" s="5">
        <f t="shared" si="80"/>
        <v>8.3333333333333287E-2</v>
      </c>
      <c r="M360" s="4">
        <f>4*(('01_WHOQOL_Items'!W360 + '01_WHOQOL_Items'!X360 + '01_WHOQOL_Items'!Y360)/3)</f>
        <v>10.666666666666666</v>
      </c>
      <c r="N360" s="4">
        <f>4*(('01_WHOQOL_Items'!AW360 + '01_WHOQOL_Items'!AX360 + '01_WHOQOL_Items'!AY360)/3)</f>
        <v>9.3333333333333339</v>
      </c>
      <c r="O360" s="4">
        <f t="shared" si="81"/>
        <v>41.666666666666664</v>
      </c>
      <c r="P360" s="4">
        <f t="shared" si="82"/>
        <v>33.333333333333336</v>
      </c>
      <c r="Q360" s="5">
        <f t="shared" si="83"/>
        <v>-0.1999999999999999</v>
      </c>
      <c r="R360" s="4">
        <f>4*(('01_WHOQOL_Items'!K360 + '01_WHOQOL_Items'!L360 + '01_WHOQOL_Items'!O360 + '01_WHOQOL_Items'!P360 + '01_WHOQOL_Items'!Q360 + '01_WHOQOL_Items'!Z360 + '01_WHOQOL_Items'!AA360 + '01_WHOQOL_Items'!AB360)/8)</f>
        <v>12</v>
      </c>
      <c r="S360" s="4">
        <f>4*(('01_WHOQOL_Items'!AK360 + '01_WHOQOL_Items'!AL360 + '01_WHOQOL_Items'!AO360 + '01_WHOQOL_Items'!AP360 + '01_WHOQOL_Items'!AQ360 + '01_WHOQOL_Items'!AZ360 + '01_WHOQOL_Items'!BA360 + '01_WHOQOL_Items'!BB360)/8)</f>
        <v>11.5</v>
      </c>
      <c r="T360" s="4">
        <f t="shared" si="84"/>
        <v>50</v>
      </c>
      <c r="U360" s="4">
        <f t="shared" si="85"/>
        <v>46.875</v>
      </c>
      <c r="V360" s="5">
        <f t="shared" si="86"/>
        <v>-6.25E-2</v>
      </c>
      <c r="W360" s="4">
        <f t="shared" si="87"/>
        <v>46.13095238095238</v>
      </c>
      <c r="X360" s="4">
        <f t="shared" si="88"/>
        <v>44.308035714285715</v>
      </c>
      <c r="Y360" s="5">
        <f t="shared" si="89"/>
        <v>-3.9516129032258013E-2</v>
      </c>
      <c r="Z360" s="1">
        <f>'01_WHOQOL_Items'!D360</f>
        <v>3</v>
      </c>
      <c r="AA360" s="1">
        <f>'01_WHOQOL_Items'!AD360</f>
        <v>4</v>
      </c>
      <c r="AB360" s="1">
        <f>'01_WHOQOL_Items'!E360</f>
        <v>3</v>
      </c>
      <c r="AC360" s="1">
        <f>'01_WHOQOL_Items'!AE360</f>
        <v>2</v>
      </c>
    </row>
    <row r="361" spans="1:29">
      <c r="A361" s="1" t="str">
        <f>'01_WHOQOL_Items'!A361</f>
        <v>CON-079</v>
      </c>
      <c r="B361" s="1" t="str">
        <f>'01_WHOQOL_Items'!B361</f>
        <v>Control</v>
      </c>
      <c r="C361" s="4">
        <f>4*(((6-'01_WHOQOL_Items'!F361) + (6-'01_WHOQOL_Items'!G361) + '01_WHOQOL_Items'!M361 + '01_WHOQOL_Items'!R361 + '01_WHOQOL_Items'!S361 + '01_WHOQOL_Items'!T361 + '01_WHOQOL_Items'!U361)/7)</f>
        <v>13.142857142857142</v>
      </c>
      <c r="D361" s="4">
        <f>4*(((6-'01_WHOQOL_Items'!AF361) + (6-'01_WHOQOL_Items'!AG361) + '01_WHOQOL_Items'!AM361 + '01_WHOQOL_Items'!AR361 + '01_WHOQOL_Items'!AS361 + '01_WHOQOL_Items'!AT361 + '01_WHOQOL_Items'!AU361)/7)</f>
        <v>11.428571428571429</v>
      </c>
      <c r="E361" s="4">
        <f t="shared" si="75"/>
        <v>57.142857142857139</v>
      </c>
      <c r="F361" s="4">
        <f t="shared" si="76"/>
        <v>46.428571428571431</v>
      </c>
      <c r="G361" s="5">
        <f t="shared" si="77"/>
        <v>-0.18749999999999992</v>
      </c>
      <c r="H361" s="4">
        <f>4*(('01_WHOQOL_Items'!H361 + '01_WHOQOL_Items'!I361 + '01_WHOQOL_Items'!J361 + '01_WHOQOL_Items'!N361 + '01_WHOQOL_Items'!V361 + (6-'01_WHOQOL_Items'!AC361))/6)</f>
        <v>8.6666666666666661</v>
      </c>
      <c r="I361" s="4">
        <f>4*(('01_WHOQOL_Items'!AH361 + '01_WHOQOL_Items'!AI361 + '01_WHOQOL_Items'!AJ361 + '01_WHOQOL_Items'!AN361 + '01_WHOQOL_Items'!AV361 + (6-'01_WHOQOL_Items'!BC361))/6)</f>
        <v>9.3333333333333339</v>
      </c>
      <c r="J361" s="4">
        <f t="shared" si="78"/>
        <v>29.166666666666664</v>
      </c>
      <c r="K361" s="4">
        <f t="shared" si="79"/>
        <v>33.333333333333336</v>
      </c>
      <c r="L361" s="5">
        <f t="shared" si="80"/>
        <v>0.14285714285714304</v>
      </c>
      <c r="M361" s="4">
        <f>4*(('01_WHOQOL_Items'!W361 + '01_WHOQOL_Items'!X361 + '01_WHOQOL_Items'!Y361)/3)</f>
        <v>12</v>
      </c>
      <c r="N361" s="4">
        <f>4*(('01_WHOQOL_Items'!AW361 + '01_WHOQOL_Items'!AX361 + '01_WHOQOL_Items'!AY361)/3)</f>
        <v>13.333333333333334</v>
      </c>
      <c r="O361" s="4">
        <f t="shared" si="81"/>
        <v>50</v>
      </c>
      <c r="P361" s="4">
        <f t="shared" si="82"/>
        <v>58.333333333333336</v>
      </c>
      <c r="Q361" s="5">
        <f t="shared" si="83"/>
        <v>0.16666666666666671</v>
      </c>
      <c r="R361" s="4">
        <f>4*(('01_WHOQOL_Items'!K361 + '01_WHOQOL_Items'!L361 + '01_WHOQOL_Items'!O361 + '01_WHOQOL_Items'!P361 + '01_WHOQOL_Items'!Q361 + '01_WHOQOL_Items'!Z361 + '01_WHOQOL_Items'!AA361 + '01_WHOQOL_Items'!AB361)/8)</f>
        <v>12</v>
      </c>
      <c r="S361" s="4">
        <f>4*(('01_WHOQOL_Items'!AK361 + '01_WHOQOL_Items'!AL361 + '01_WHOQOL_Items'!AO361 + '01_WHOQOL_Items'!AP361 + '01_WHOQOL_Items'!AQ361 + '01_WHOQOL_Items'!AZ361 + '01_WHOQOL_Items'!BA361 + '01_WHOQOL_Items'!BB361)/8)</f>
        <v>13.5</v>
      </c>
      <c r="T361" s="4">
        <f t="shared" si="84"/>
        <v>50</v>
      </c>
      <c r="U361" s="4">
        <f t="shared" si="85"/>
        <v>59.375</v>
      </c>
      <c r="V361" s="5">
        <f t="shared" si="86"/>
        <v>0.1875</v>
      </c>
      <c r="W361" s="4">
        <f t="shared" si="87"/>
        <v>46.577380952380949</v>
      </c>
      <c r="X361" s="4">
        <f t="shared" si="88"/>
        <v>49.367559523809526</v>
      </c>
      <c r="Y361" s="5">
        <f t="shared" si="89"/>
        <v>5.99041533546327E-2</v>
      </c>
      <c r="Z361" s="1">
        <f>'01_WHOQOL_Items'!D361</f>
        <v>4</v>
      </c>
      <c r="AA361" s="1">
        <f>'01_WHOQOL_Items'!AD361</f>
        <v>2</v>
      </c>
      <c r="AB361" s="1">
        <f>'01_WHOQOL_Items'!E361</f>
        <v>4</v>
      </c>
      <c r="AC361" s="1">
        <f>'01_WHOQOL_Items'!AE361</f>
        <v>4</v>
      </c>
    </row>
    <row r="362" spans="1:29">
      <c r="A362" s="1" t="str">
        <f>'01_WHOQOL_Items'!A362</f>
        <v>CON-080</v>
      </c>
      <c r="B362" s="1" t="str">
        <f>'01_WHOQOL_Items'!B362</f>
        <v>Control</v>
      </c>
      <c r="C362" s="4">
        <f>4*(((6-'01_WHOQOL_Items'!F362) + (6-'01_WHOQOL_Items'!G362) + '01_WHOQOL_Items'!M362 + '01_WHOQOL_Items'!R362 + '01_WHOQOL_Items'!S362 + '01_WHOQOL_Items'!T362 + '01_WHOQOL_Items'!U362)/7)</f>
        <v>8.5714285714285712</v>
      </c>
      <c r="D362" s="4">
        <f>4*(((6-'01_WHOQOL_Items'!AF362) + (6-'01_WHOQOL_Items'!AG362) + '01_WHOQOL_Items'!AM362 + '01_WHOQOL_Items'!AR362 + '01_WHOQOL_Items'!AS362 + '01_WHOQOL_Items'!AT362 + '01_WHOQOL_Items'!AU362)/7)</f>
        <v>9.7142857142857135</v>
      </c>
      <c r="E362" s="4">
        <f t="shared" si="75"/>
        <v>28.571428571428569</v>
      </c>
      <c r="F362" s="4">
        <f t="shared" si="76"/>
        <v>35.714285714285708</v>
      </c>
      <c r="G362" s="5">
        <f t="shared" si="77"/>
        <v>0.24999999999999989</v>
      </c>
      <c r="H362" s="4">
        <f>4*(('01_WHOQOL_Items'!H362 + '01_WHOQOL_Items'!I362 + '01_WHOQOL_Items'!J362 + '01_WHOQOL_Items'!N362 + '01_WHOQOL_Items'!V362 + (6-'01_WHOQOL_Items'!AC362))/6)</f>
        <v>12</v>
      </c>
      <c r="I362" s="4">
        <f>4*(('01_WHOQOL_Items'!AH362 + '01_WHOQOL_Items'!AI362 + '01_WHOQOL_Items'!AJ362 + '01_WHOQOL_Items'!AN362 + '01_WHOQOL_Items'!AV362 + (6-'01_WHOQOL_Items'!BC362))/6)</f>
        <v>14.666666666666666</v>
      </c>
      <c r="J362" s="4">
        <f t="shared" si="78"/>
        <v>50</v>
      </c>
      <c r="K362" s="4">
        <f t="shared" si="79"/>
        <v>66.666666666666657</v>
      </c>
      <c r="L362" s="5">
        <f t="shared" si="80"/>
        <v>0.33333333333333315</v>
      </c>
      <c r="M362" s="4">
        <f>4*(('01_WHOQOL_Items'!W362 + '01_WHOQOL_Items'!X362 + '01_WHOQOL_Items'!Y362)/3)</f>
        <v>14.666666666666666</v>
      </c>
      <c r="N362" s="4">
        <f>4*(('01_WHOQOL_Items'!AW362 + '01_WHOQOL_Items'!AX362 + '01_WHOQOL_Items'!AY362)/3)</f>
        <v>12</v>
      </c>
      <c r="O362" s="4">
        <f t="shared" si="81"/>
        <v>66.666666666666657</v>
      </c>
      <c r="P362" s="4">
        <f t="shared" si="82"/>
        <v>50</v>
      </c>
      <c r="Q362" s="5">
        <f t="shared" si="83"/>
        <v>-0.24999999999999989</v>
      </c>
      <c r="R362" s="4">
        <f>4*(('01_WHOQOL_Items'!K362 + '01_WHOQOL_Items'!L362 + '01_WHOQOL_Items'!O362 + '01_WHOQOL_Items'!P362 + '01_WHOQOL_Items'!Q362 + '01_WHOQOL_Items'!Z362 + '01_WHOQOL_Items'!AA362 + '01_WHOQOL_Items'!AB362)/8)</f>
        <v>12</v>
      </c>
      <c r="S362" s="4">
        <f>4*(('01_WHOQOL_Items'!AK362 + '01_WHOQOL_Items'!AL362 + '01_WHOQOL_Items'!AO362 + '01_WHOQOL_Items'!AP362 + '01_WHOQOL_Items'!AQ362 + '01_WHOQOL_Items'!AZ362 + '01_WHOQOL_Items'!BA362 + '01_WHOQOL_Items'!BB362)/8)</f>
        <v>12.5</v>
      </c>
      <c r="T362" s="4">
        <f t="shared" si="84"/>
        <v>50</v>
      </c>
      <c r="U362" s="4">
        <f t="shared" si="85"/>
        <v>53.125</v>
      </c>
      <c r="V362" s="5">
        <f t="shared" si="86"/>
        <v>6.25E-2</v>
      </c>
      <c r="W362" s="4">
        <f t="shared" si="87"/>
        <v>48.80952380952381</v>
      </c>
      <c r="X362" s="4">
        <f t="shared" si="88"/>
        <v>51.376488095238088</v>
      </c>
      <c r="Y362" s="5">
        <f t="shared" si="89"/>
        <v>5.2591463414633978E-2</v>
      </c>
      <c r="Z362" s="1">
        <f>'01_WHOQOL_Items'!D362</f>
        <v>3</v>
      </c>
      <c r="AA362" s="1">
        <f>'01_WHOQOL_Items'!AD362</f>
        <v>4</v>
      </c>
      <c r="AB362" s="1">
        <f>'01_WHOQOL_Items'!E362</f>
        <v>2</v>
      </c>
      <c r="AC362" s="1">
        <f>'01_WHOQOL_Items'!AE362</f>
        <v>3</v>
      </c>
    </row>
    <row r="363" spans="1:29">
      <c r="A363" s="1" t="str">
        <f>'01_WHOQOL_Items'!A363</f>
        <v>CON-081</v>
      </c>
      <c r="B363" s="1" t="str">
        <f>'01_WHOQOL_Items'!B363</f>
        <v>Control</v>
      </c>
      <c r="C363" s="4">
        <f>4*(((6-'01_WHOQOL_Items'!F363) + (6-'01_WHOQOL_Items'!G363) + '01_WHOQOL_Items'!M363 + '01_WHOQOL_Items'!R363 + '01_WHOQOL_Items'!S363 + '01_WHOQOL_Items'!T363 + '01_WHOQOL_Items'!U363)/7)</f>
        <v>12</v>
      </c>
      <c r="D363" s="4">
        <f>4*(((6-'01_WHOQOL_Items'!AF363) + (6-'01_WHOQOL_Items'!AG363) + '01_WHOQOL_Items'!AM363 + '01_WHOQOL_Items'!AR363 + '01_WHOQOL_Items'!AS363 + '01_WHOQOL_Items'!AT363 + '01_WHOQOL_Items'!AU363)/7)</f>
        <v>10.857142857142858</v>
      </c>
      <c r="E363" s="4">
        <f t="shared" si="75"/>
        <v>50</v>
      </c>
      <c r="F363" s="4">
        <f t="shared" si="76"/>
        <v>42.857142857142861</v>
      </c>
      <c r="G363" s="5">
        <f t="shared" si="77"/>
        <v>-0.14285714285714277</v>
      </c>
      <c r="H363" s="4">
        <f>4*(('01_WHOQOL_Items'!H363 + '01_WHOQOL_Items'!I363 + '01_WHOQOL_Items'!J363 + '01_WHOQOL_Items'!N363 + '01_WHOQOL_Items'!V363 + (6-'01_WHOQOL_Items'!AC363))/6)</f>
        <v>12.666666666666666</v>
      </c>
      <c r="I363" s="4">
        <f>4*(('01_WHOQOL_Items'!AH363 + '01_WHOQOL_Items'!AI363 + '01_WHOQOL_Items'!AJ363 + '01_WHOQOL_Items'!AN363 + '01_WHOQOL_Items'!AV363 + (6-'01_WHOQOL_Items'!BC363))/6)</f>
        <v>12</v>
      </c>
      <c r="J363" s="4">
        <f t="shared" si="78"/>
        <v>54.166666666666664</v>
      </c>
      <c r="K363" s="4">
        <f t="shared" si="79"/>
        <v>50</v>
      </c>
      <c r="L363" s="5">
        <f t="shared" si="80"/>
        <v>-7.6923076923076886E-2</v>
      </c>
      <c r="M363" s="4">
        <f>4*(('01_WHOQOL_Items'!W363 + '01_WHOQOL_Items'!X363 + '01_WHOQOL_Items'!Y363)/3)</f>
        <v>12</v>
      </c>
      <c r="N363" s="4">
        <f>4*(('01_WHOQOL_Items'!AW363 + '01_WHOQOL_Items'!AX363 + '01_WHOQOL_Items'!AY363)/3)</f>
        <v>13.333333333333334</v>
      </c>
      <c r="O363" s="4">
        <f t="shared" si="81"/>
        <v>50</v>
      </c>
      <c r="P363" s="4">
        <f t="shared" si="82"/>
        <v>58.333333333333336</v>
      </c>
      <c r="Q363" s="5">
        <f t="shared" si="83"/>
        <v>0.16666666666666671</v>
      </c>
      <c r="R363" s="4">
        <f>4*(('01_WHOQOL_Items'!K363 + '01_WHOQOL_Items'!L363 + '01_WHOQOL_Items'!O363 + '01_WHOQOL_Items'!P363 + '01_WHOQOL_Items'!Q363 + '01_WHOQOL_Items'!Z363 + '01_WHOQOL_Items'!AA363 + '01_WHOQOL_Items'!AB363)/8)</f>
        <v>11.5</v>
      </c>
      <c r="S363" s="4">
        <f>4*(('01_WHOQOL_Items'!AK363 + '01_WHOQOL_Items'!AL363 + '01_WHOQOL_Items'!AO363 + '01_WHOQOL_Items'!AP363 + '01_WHOQOL_Items'!AQ363 + '01_WHOQOL_Items'!AZ363 + '01_WHOQOL_Items'!BA363 + '01_WHOQOL_Items'!BB363)/8)</f>
        <v>11</v>
      </c>
      <c r="T363" s="4">
        <f t="shared" si="84"/>
        <v>46.875</v>
      </c>
      <c r="U363" s="4">
        <f t="shared" si="85"/>
        <v>43.75</v>
      </c>
      <c r="V363" s="5">
        <f t="shared" si="86"/>
        <v>-6.6666666666666666E-2</v>
      </c>
      <c r="W363" s="4">
        <f t="shared" si="87"/>
        <v>50.260416666666664</v>
      </c>
      <c r="X363" s="4">
        <f t="shared" si="88"/>
        <v>48.735119047619051</v>
      </c>
      <c r="Y363" s="5">
        <f t="shared" si="89"/>
        <v>-3.0347890451517281E-2</v>
      </c>
      <c r="Z363" s="1">
        <f>'01_WHOQOL_Items'!D363</f>
        <v>3</v>
      </c>
      <c r="AA363" s="1">
        <f>'01_WHOQOL_Items'!AD363</f>
        <v>2</v>
      </c>
      <c r="AB363" s="1">
        <f>'01_WHOQOL_Items'!E363</f>
        <v>3</v>
      </c>
      <c r="AC363" s="1">
        <f>'01_WHOQOL_Items'!AE363</f>
        <v>3</v>
      </c>
    </row>
    <row r="364" spans="1:29">
      <c r="A364" s="1" t="str">
        <f>'01_WHOQOL_Items'!A364</f>
        <v>CON-082</v>
      </c>
      <c r="B364" s="1" t="str">
        <f>'01_WHOQOL_Items'!B364</f>
        <v>Control</v>
      </c>
      <c r="C364" s="4">
        <f>4*(((6-'01_WHOQOL_Items'!F364) + (6-'01_WHOQOL_Items'!G364) + '01_WHOQOL_Items'!M364 + '01_WHOQOL_Items'!R364 + '01_WHOQOL_Items'!S364 + '01_WHOQOL_Items'!T364 + '01_WHOQOL_Items'!U364)/7)</f>
        <v>10.285714285714286</v>
      </c>
      <c r="D364" s="4">
        <f>4*(((6-'01_WHOQOL_Items'!AF364) + (6-'01_WHOQOL_Items'!AG364) + '01_WHOQOL_Items'!AM364 + '01_WHOQOL_Items'!AR364 + '01_WHOQOL_Items'!AS364 + '01_WHOQOL_Items'!AT364 + '01_WHOQOL_Items'!AU364)/7)</f>
        <v>10.285714285714286</v>
      </c>
      <c r="E364" s="4">
        <f t="shared" si="75"/>
        <v>39.285714285714292</v>
      </c>
      <c r="F364" s="4">
        <f t="shared" si="76"/>
        <v>39.285714285714292</v>
      </c>
      <c r="G364" s="5">
        <f t="shared" si="77"/>
        <v>0</v>
      </c>
      <c r="H364" s="4">
        <f>4*(('01_WHOQOL_Items'!H364 + '01_WHOQOL_Items'!I364 + '01_WHOQOL_Items'!J364 + '01_WHOQOL_Items'!N364 + '01_WHOQOL_Items'!V364 + (6-'01_WHOQOL_Items'!AC364))/6)</f>
        <v>12.666666666666666</v>
      </c>
      <c r="I364" s="4">
        <f>4*(('01_WHOQOL_Items'!AH364 + '01_WHOQOL_Items'!AI364 + '01_WHOQOL_Items'!AJ364 + '01_WHOQOL_Items'!AN364 + '01_WHOQOL_Items'!AV364 + (6-'01_WHOQOL_Items'!BC364))/6)</f>
        <v>13.333333333333334</v>
      </c>
      <c r="J364" s="4">
        <f t="shared" si="78"/>
        <v>54.166666666666664</v>
      </c>
      <c r="K364" s="4">
        <f t="shared" si="79"/>
        <v>58.333333333333336</v>
      </c>
      <c r="L364" s="5">
        <f t="shared" si="80"/>
        <v>7.6923076923077011E-2</v>
      </c>
      <c r="M364" s="4">
        <f>4*(('01_WHOQOL_Items'!W364 + '01_WHOQOL_Items'!X364 + '01_WHOQOL_Items'!Y364)/3)</f>
        <v>12</v>
      </c>
      <c r="N364" s="4">
        <f>4*(('01_WHOQOL_Items'!AW364 + '01_WHOQOL_Items'!AX364 + '01_WHOQOL_Items'!AY364)/3)</f>
        <v>10.666666666666666</v>
      </c>
      <c r="O364" s="4">
        <f t="shared" si="81"/>
        <v>50</v>
      </c>
      <c r="P364" s="4">
        <f t="shared" si="82"/>
        <v>41.666666666666664</v>
      </c>
      <c r="Q364" s="5">
        <f t="shared" si="83"/>
        <v>-0.16666666666666671</v>
      </c>
      <c r="R364" s="4">
        <f>4*(('01_WHOQOL_Items'!K364 + '01_WHOQOL_Items'!L364 + '01_WHOQOL_Items'!O364 + '01_WHOQOL_Items'!P364 + '01_WHOQOL_Items'!Q364 + '01_WHOQOL_Items'!Z364 + '01_WHOQOL_Items'!AA364 + '01_WHOQOL_Items'!AB364)/8)</f>
        <v>14</v>
      </c>
      <c r="S364" s="4">
        <f>4*(('01_WHOQOL_Items'!AK364 + '01_WHOQOL_Items'!AL364 + '01_WHOQOL_Items'!AO364 + '01_WHOQOL_Items'!AP364 + '01_WHOQOL_Items'!AQ364 + '01_WHOQOL_Items'!AZ364 + '01_WHOQOL_Items'!BA364 + '01_WHOQOL_Items'!BB364)/8)</f>
        <v>14</v>
      </c>
      <c r="T364" s="4">
        <f t="shared" si="84"/>
        <v>62.5</v>
      </c>
      <c r="U364" s="4">
        <f t="shared" si="85"/>
        <v>62.5</v>
      </c>
      <c r="V364" s="5">
        <f t="shared" si="86"/>
        <v>0</v>
      </c>
      <c r="W364" s="4">
        <f t="shared" si="87"/>
        <v>51.488095238095241</v>
      </c>
      <c r="X364" s="4">
        <f t="shared" si="88"/>
        <v>50.446428571428569</v>
      </c>
      <c r="Y364" s="5">
        <f t="shared" si="89"/>
        <v>-2.023121387283246E-2</v>
      </c>
      <c r="Z364" s="1">
        <f>'01_WHOQOL_Items'!D364</f>
        <v>3</v>
      </c>
      <c r="AA364" s="1">
        <f>'01_WHOQOL_Items'!AD364</f>
        <v>4</v>
      </c>
      <c r="AB364" s="1">
        <f>'01_WHOQOL_Items'!E364</f>
        <v>3</v>
      </c>
      <c r="AC364" s="1">
        <f>'01_WHOQOL_Items'!AE364</f>
        <v>3</v>
      </c>
    </row>
    <row r="365" spans="1:29">
      <c r="A365" s="1" t="str">
        <f>'01_WHOQOL_Items'!A365</f>
        <v>CON-083</v>
      </c>
      <c r="B365" s="1" t="str">
        <f>'01_WHOQOL_Items'!B365</f>
        <v>Control</v>
      </c>
      <c r="C365" s="4">
        <f>4*(((6-'01_WHOQOL_Items'!F365) + (6-'01_WHOQOL_Items'!G365) + '01_WHOQOL_Items'!M365 + '01_WHOQOL_Items'!R365 + '01_WHOQOL_Items'!S365 + '01_WHOQOL_Items'!T365 + '01_WHOQOL_Items'!U365)/7)</f>
        <v>15.428571428571429</v>
      </c>
      <c r="D365" s="4">
        <f>4*(((6-'01_WHOQOL_Items'!AF365) + (6-'01_WHOQOL_Items'!AG365) + '01_WHOQOL_Items'!AM365 + '01_WHOQOL_Items'!AR365 + '01_WHOQOL_Items'!AS365 + '01_WHOQOL_Items'!AT365 + '01_WHOQOL_Items'!AU365)/7)</f>
        <v>14.857142857142858</v>
      </c>
      <c r="E365" s="4">
        <f t="shared" si="75"/>
        <v>71.428571428571431</v>
      </c>
      <c r="F365" s="4">
        <f t="shared" si="76"/>
        <v>67.857142857142861</v>
      </c>
      <c r="G365" s="5">
        <f t="shared" si="77"/>
        <v>-4.9999999999999968E-2</v>
      </c>
      <c r="H365" s="4">
        <f>4*(('01_WHOQOL_Items'!H365 + '01_WHOQOL_Items'!I365 + '01_WHOQOL_Items'!J365 + '01_WHOQOL_Items'!N365 + '01_WHOQOL_Items'!V365 + (6-'01_WHOQOL_Items'!AC365))/6)</f>
        <v>9.3333333333333339</v>
      </c>
      <c r="I365" s="4">
        <f>4*(('01_WHOQOL_Items'!AH365 + '01_WHOQOL_Items'!AI365 + '01_WHOQOL_Items'!AJ365 + '01_WHOQOL_Items'!AN365 + '01_WHOQOL_Items'!AV365 + (6-'01_WHOQOL_Items'!BC365))/6)</f>
        <v>9.3333333333333339</v>
      </c>
      <c r="J365" s="4">
        <f t="shared" si="78"/>
        <v>33.333333333333336</v>
      </c>
      <c r="K365" s="4">
        <f t="shared" si="79"/>
        <v>33.333333333333336</v>
      </c>
      <c r="L365" s="5">
        <f t="shared" si="80"/>
        <v>0</v>
      </c>
      <c r="M365" s="4">
        <f>4*(('01_WHOQOL_Items'!W365 + '01_WHOQOL_Items'!X365 + '01_WHOQOL_Items'!Y365)/3)</f>
        <v>9.3333333333333339</v>
      </c>
      <c r="N365" s="4">
        <f>4*(('01_WHOQOL_Items'!AW365 + '01_WHOQOL_Items'!AX365 + '01_WHOQOL_Items'!AY365)/3)</f>
        <v>12</v>
      </c>
      <c r="O365" s="4">
        <f t="shared" si="81"/>
        <v>33.333333333333336</v>
      </c>
      <c r="P365" s="4">
        <f t="shared" si="82"/>
        <v>50</v>
      </c>
      <c r="Q365" s="5">
        <f t="shared" si="83"/>
        <v>0.49999999999999989</v>
      </c>
      <c r="R365" s="4">
        <f>4*(('01_WHOQOL_Items'!K365 + '01_WHOQOL_Items'!L365 + '01_WHOQOL_Items'!O365 + '01_WHOQOL_Items'!P365 + '01_WHOQOL_Items'!Q365 + '01_WHOQOL_Items'!Z365 + '01_WHOQOL_Items'!AA365 + '01_WHOQOL_Items'!AB365)/8)</f>
        <v>15</v>
      </c>
      <c r="S365" s="4">
        <f>4*(('01_WHOQOL_Items'!AK365 + '01_WHOQOL_Items'!AL365 + '01_WHOQOL_Items'!AO365 + '01_WHOQOL_Items'!AP365 + '01_WHOQOL_Items'!AQ365 + '01_WHOQOL_Items'!AZ365 + '01_WHOQOL_Items'!BA365 + '01_WHOQOL_Items'!BB365)/8)</f>
        <v>16</v>
      </c>
      <c r="T365" s="4">
        <f t="shared" si="84"/>
        <v>68.75</v>
      </c>
      <c r="U365" s="4">
        <f t="shared" si="85"/>
        <v>75</v>
      </c>
      <c r="V365" s="5">
        <f t="shared" si="86"/>
        <v>9.0909090909090912E-2</v>
      </c>
      <c r="W365" s="4">
        <f t="shared" si="87"/>
        <v>51.711309523809526</v>
      </c>
      <c r="X365" s="4">
        <f t="shared" si="88"/>
        <v>56.547619047619051</v>
      </c>
      <c r="Y365" s="5">
        <f t="shared" si="89"/>
        <v>9.3525179856115137E-2</v>
      </c>
      <c r="Z365" s="1">
        <f>'01_WHOQOL_Items'!D365</f>
        <v>3</v>
      </c>
      <c r="AA365" s="1">
        <f>'01_WHOQOL_Items'!AD365</f>
        <v>3</v>
      </c>
      <c r="AB365" s="1">
        <f>'01_WHOQOL_Items'!E365</f>
        <v>4</v>
      </c>
      <c r="AC365" s="1">
        <f>'01_WHOQOL_Items'!AE365</f>
        <v>4</v>
      </c>
    </row>
    <row r="366" spans="1:29">
      <c r="A366" s="1" t="str">
        <f>'01_WHOQOL_Items'!A366</f>
        <v>CON-084</v>
      </c>
      <c r="B366" s="1" t="str">
        <f>'01_WHOQOL_Items'!B366</f>
        <v>Control</v>
      </c>
      <c r="C366" s="4">
        <f>4*(((6-'01_WHOQOL_Items'!F366) + (6-'01_WHOQOL_Items'!G366) + '01_WHOQOL_Items'!M366 + '01_WHOQOL_Items'!R366 + '01_WHOQOL_Items'!S366 + '01_WHOQOL_Items'!T366 + '01_WHOQOL_Items'!U366)/7)</f>
        <v>8</v>
      </c>
      <c r="D366" s="4">
        <f>4*(((6-'01_WHOQOL_Items'!AF366) + (6-'01_WHOQOL_Items'!AG366) + '01_WHOQOL_Items'!AM366 + '01_WHOQOL_Items'!AR366 + '01_WHOQOL_Items'!AS366 + '01_WHOQOL_Items'!AT366 + '01_WHOQOL_Items'!AU366)/7)</f>
        <v>8.5714285714285712</v>
      </c>
      <c r="E366" s="4">
        <f t="shared" si="75"/>
        <v>25</v>
      </c>
      <c r="F366" s="4">
        <f t="shared" si="76"/>
        <v>28.571428571428569</v>
      </c>
      <c r="G366" s="5">
        <f t="shared" si="77"/>
        <v>0.14285714285714277</v>
      </c>
      <c r="H366" s="4">
        <f>4*(('01_WHOQOL_Items'!H366 + '01_WHOQOL_Items'!I366 + '01_WHOQOL_Items'!J366 + '01_WHOQOL_Items'!N366 + '01_WHOQOL_Items'!V366 + (6-'01_WHOQOL_Items'!AC366))/6)</f>
        <v>13.333333333333334</v>
      </c>
      <c r="I366" s="4">
        <f>4*(('01_WHOQOL_Items'!AH366 + '01_WHOQOL_Items'!AI366 + '01_WHOQOL_Items'!AJ366 + '01_WHOQOL_Items'!AN366 + '01_WHOQOL_Items'!AV366 + (6-'01_WHOQOL_Items'!BC366))/6)</f>
        <v>12.666666666666666</v>
      </c>
      <c r="J366" s="4">
        <f t="shared" si="78"/>
        <v>58.333333333333336</v>
      </c>
      <c r="K366" s="4">
        <f t="shared" si="79"/>
        <v>54.166666666666664</v>
      </c>
      <c r="L366" s="5">
        <f t="shared" si="80"/>
        <v>-7.1428571428571508E-2</v>
      </c>
      <c r="M366" s="4">
        <f>4*(('01_WHOQOL_Items'!W366 + '01_WHOQOL_Items'!X366 + '01_WHOQOL_Items'!Y366)/3)</f>
        <v>14.666666666666666</v>
      </c>
      <c r="N366" s="4">
        <f>4*(('01_WHOQOL_Items'!AW366 + '01_WHOQOL_Items'!AX366 + '01_WHOQOL_Items'!AY366)/3)</f>
        <v>14.666666666666666</v>
      </c>
      <c r="O366" s="4">
        <f t="shared" si="81"/>
        <v>66.666666666666657</v>
      </c>
      <c r="P366" s="4">
        <f t="shared" si="82"/>
        <v>66.666666666666657</v>
      </c>
      <c r="Q366" s="5">
        <f t="shared" si="83"/>
        <v>0</v>
      </c>
      <c r="R366" s="4">
        <f>4*(('01_WHOQOL_Items'!K366 + '01_WHOQOL_Items'!L366 + '01_WHOQOL_Items'!O366 + '01_WHOQOL_Items'!P366 + '01_WHOQOL_Items'!Q366 + '01_WHOQOL_Items'!Z366 + '01_WHOQOL_Items'!AA366 + '01_WHOQOL_Items'!AB366)/8)</f>
        <v>10</v>
      </c>
      <c r="S366" s="4">
        <f>4*(('01_WHOQOL_Items'!AK366 + '01_WHOQOL_Items'!AL366 + '01_WHOQOL_Items'!AO366 + '01_WHOQOL_Items'!AP366 + '01_WHOQOL_Items'!AQ366 + '01_WHOQOL_Items'!AZ366 + '01_WHOQOL_Items'!BA366 + '01_WHOQOL_Items'!BB366)/8)</f>
        <v>7.5</v>
      </c>
      <c r="T366" s="4">
        <f t="shared" si="84"/>
        <v>37.5</v>
      </c>
      <c r="U366" s="4">
        <f t="shared" si="85"/>
        <v>21.875</v>
      </c>
      <c r="V366" s="5">
        <f t="shared" si="86"/>
        <v>-0.41666666666666669</v>
      </c>
      <c r="W366" s="4">
        <f t="shared" si="87"/>
        <v>46.875</v>
      </c>
      <c r="X366" s="4">
        <f t="shared" si="88"/>
        <v>42.819940476190474</v>
      </c>
      <c r="Y366" s="5">
        <f t="shared" si="89"/>
        <v>-8.6507936507936548E-2</v>
      </c>
      <c r="Z366" s="1">
        <f>'01_WHOQOL_Items'!D366</f>
        <v>3</v>
      </c>
      <c r="AA366" s="1">
        <f>'01_WHOQOL_Items'!AD366</f>
        <v>2</v>
      </c>
      <c r="AB366" s="1">
        <f>'01_WHOQOL_Items'!E366</f>
        <v>3</v>
      </c>
      <c r="AC366" s="1">
        <f>'01_WHOQOL_Items'!AE366</f>
        <v>1</v>
      </c>
    </row>
    <row r="367" spans="1:29">
      <c r="A367" s="1" t="str">
        <f>'01_WHOQOL_Items'!A367</f>
        <v>CON-085</v>
      </c>
      <c r="B367" s="1" t="str">
        <f>'01_WHOQOL_Items'!B367</f>
        <v>Control</v>
      </c>
      <c r="C367" s="4">
        <f>4*(((6-'01_WHOQOL_Items'!F367) + (6-'01_WHOQOL_Items'!G367) + '01_WHOQOL_Items'!M367 + '01_WHOQOL_Items'!R367 + '01_WHOQOL_Items'!S367 + '01_WHOQOL_Items'!T367 + '01_WHOQOL_Items'!U367)/7)</f>
        <v>12</v>
      </c>
      <c r="D367" s="4">
        <f>4*(((6-'01_WHOQOL_Items'!AF367) + (6-'01_WHOQOL_Items'!AG367) + '01_WHOQOL_Items'!AM367 + '01_WHOQOL_Items'!AR367 + '01_WHOQOL_Items'!AS367 + '01_WHOQOL_Items'!AT367 + '01_WHOQOL_Items'!AU367)/7)</f>
        <v>12.571428571428571</v>
      </c>
      <c r="E367" s="4">
        <f t="shared" si="75"/>
        <v>50</v>
      </c>
      <c r="F367" s="4">
        <f t="shared" si="76"/>
        <v>53.571428571428569</v>
      </c>
      <c r="G367" s="5">
        <f t="shared" si="77"/>
        <v>7.1428571428571383E-2</v>
      </c>
      <c r="H367" s="4">
        <f>4*(('01_WHOQOL_Items'!H367 + '01_WHOQOL_Items'!I367 + '01_WHOQOL_Items'!J367 + '01_WHOQOL_Items'!N367 + '01_WHOQOL_Items'!V367 + (6-'01_WHOQOL_Items'!AC367))/6)</f>
        <v>10</v>
      </c>
      <c r="I367" s="4">
        <f>4*(('01_WHOQOL_Items'!AH367 + '01_WHOQOL_Items'!AI367 + '01_WHOQOL_Items'!AJ367 + '01_WHOQOL_Items'!AN367 + '01_WHOQOL_Items'!AV367 + (6-'01_WHOQOL_Items'!BC367))/6)</f>
        <v>10</v>
      </c>
      <c r="J367" s="4">
        <f t="shared" si="78"/>
        <v>37.5</v>
      </c>
      <c r="K367" s="4">
        <f t="shared" si="79"/>
        <v>37.5</v>
      </c>
      <c r="L367" s="5">
        <f t="shared" si="80"/>
        <v>0</v>
      </c>
      <c r="M367" s="4">
        <f>4*(('01_WHOQOL_Items'!W367 + '01_WHOQOL_Items'!X367 + '01_WHOQOL_Items'!Y367)/3)</f>
        <v>8</v>
      </c>
      <c r="N367" s="4">
        <f>4*(('01_WHOQOL_Items'!AW367 + '01_WHOQOL_Items'!AX367 + '01_WHOQOL_Items'!AY367)/3)</f>
        <v>6.666666666666667</v>
      </c>
      <c r="O367" s="4">
        <f t="shared" si="81"/>
        <v>25</v>
      </c>
      <c r="P367" s="4">
        <f t="shared" si="82"/>
        <v>16.666666666666668</v>
      </c>
      <c r="Q367" s="5">
        <f t="shared" si="83"/>
        <v>-0.33333333333333326</v>
      </c>
      <c r="R367" s="4">
        <f>4*(('01_WHOQOL_Items'!K367 + '01_WHOQOL_Items'!L367 + '01_WHOQOL_Items'!O367 + '01_WHOQOL_Items'!P367 + '01_WHOQOL_Items'!Q367 + '01_WHOQOL_Items'!Z367 + '01_WHOQOL_Items'!AA367 + '01_WHOQOL_Items'!AB367)/8)</f>
        <v>11</v>
      </c>
      <c r="S367" s="4">
        <f>4*(('01_WHOQOL_Items'!AK367 + '01_WHOQOL_Items'!AL367 + '01_WHOQOL_Items'!AO367 + '01_WHOQOL_Items'!AP367 + '01_WHOQOL_Items'!AQ367 + '01_WHOQOL_Items'!AZ367 + '01_WHOQOL_Items'!BA367 + '01_WHOQOL_Items'!BB367)/8)</f>
        <v>10.5</v>
      </c>
      <c r="T367" s="4">
        <f t="shared" si="84"/>
        <v>43.75</v>
      </c>
      <c r="U367" s="4">
        <f t="shared" si="85"/>
        <v>40.625</v>
      </c>
      <c r="V367" s="5">
        <f t="shared" si="86"/>
        <v>-7.1428571428571425E-2</v>
      </c>
      <c r="W367" s="4">
        <f t="shared" si="87"/>
        <v>39.0625</v>
      </c>
      <c r="X367" s="4">
        <f t="shared" si="88"/>
        <v>37.09077380952381</v>
      </c>
      <c r="Y367" s="5">
        <f t="shared" si="89"/>
        <v>-5.0476190476190459E-2</v>
      </c>
      <c r="Z367" s="1">
        <f>'01_WHOQOL_Items'!D367</f>
        <v>2</v>
      </c>
      <c r="AA367" s="1">
        <f>'01_WHOQOL_Items'!AD367</f>
        <v>3</v>
      </c>
      <c r="AB367" s="1">
        <f>'01_WHOQOL_Items'!E367</f>
        <v>3</v>
      </c>
      <c r="AC367" s="1">
        <f>'01_WHOQOL_Items'!AE367</f>
        <v>3</v>
      </c>
    </row>
    <row r="368" spans="1:29">
      <c r="A368" s="1" t="str">
        <f>'01_WHOQOL_Items'!A368</f>
        <v>CON-086</v>
      </c>
      <c r="B368" s="1" t="str">
        <f>'01_WHOQOL_Items'!B368</f>
        <v>Control</v>
      </c>
      <c r="C368" s="4">
        <f>4*(((6-'01_WHOQOL_Items'!F368) + (6-'01_WHOQOL_Items'!G368) + '01_WHOQOL_Items'!M368 + '01_WHOQOL_Items'!R368 + '01_WHOQOL_Items'!S368 + '01_WHOQOL_Items'!T368 + '01_WHOQOL_Items'!U368)/7)</f>
        <v>11.428571428571429</v>
      </c>
      <c r="D368" s="4">
        <f>4*(((6-'01_WHOQOL_Items'!AF368) + (6-'01_WHOQOL_Items'!AG368) + '01_WHOQOL_Items'!AM368 + '01_WHOQOL_Items'!AR368 + '01_WHOQOL_Items'!AS368 + '01_WHOQOL_Items'!AT368 + '01_WHOQOL_Items'!AU368)/7)</f>
        <v>9.7142857142857135</v>
      </c>
      <c r="E368" s="4">
        <f t="shared" si="75"/>
        <v>46.428571428571431</v>
      </c>
      <c r="F368" s="4">
        <f t="shared" si="76"/>
        <v>35.714285714285708</v>
      </c>
      <c r="G368" s="5">
        <f t="shared" si="77"/>
        <v>-0.23076923076923092</v>
      </c>
      <c r="H368" s="4">
        <f>4*(('01_WHOQOL_Items'!H368 + '01_WHOQOL_Items'!I368 + '01_WHOQOL_Items'!J368 + '01_WHOQOL_Items'!N368 + '01_WHOQOL_Items'!V368 + (6-'01_WHOQOL_Items'!AC368))/6)</f>
        <v>13.333333333333334</v>
      </c>
      <c r="I368" s="4">
        <f>4*(('01_WHOQOL_Items'!AH368 + '01_WHOQOL_Items'!AI368 + '01_WHOQOL_Items'!AJ368 + '01_WHOQOL_Items'!AN368 + '01_WHOQOL_Items'!AV368 + (6-'01_WHOQOL_Items'!BC368))/6)</f>
        <v>13.333333333333334</v>
      </c>
      <c r="J368" s="4">
        <f t="shared" si="78"/>
        <v>58.333333333333336</v>
      </c>
      <c r="K368" s="4">
        <f t="shared" si="79"/>
        <v>58.333333333333336</v>
      </c>
      <c r="L368" s="5">
        <f t="shared" si="80"/>
        <v>0</v>
      </c>
      <c r="M368" s="4">
        <f>4*(('01_WHOQOL_Items'!W368 + '01_WHOQOL_Items'!X368 + '01_WHOQOL_Items'!Y368)/3)</f>
        <v>9.3333333333333339</v>
      </c>
      <c r="N368" s="4">
        <f>4*(('01_WHOQOL_Items'!AW368 + '01_WHOQOL_Items'!AX368 + '01_WHOQOL_Items'!AY368)/3)</f>
        <v>12</v>
      </c>
      <c r="O368" s="4">
        <f t="shared" si="81"/>
        <v>33.333333333333336</v>
      </c>
      <c r="P368" s="4">
        <f t="shared" si="82"/>
        <v>50</v>
      </c>
      <c r="Q368" s="5">
        <f t="shared" si="83"/>
        <v>0.49999999999999989</v>
      </c>
      <c r="R368" s="4">
        <f>4*(('01_WHOQOL_Items'!K368 + '01_WHOQOL_Items'!L368 + '01_WHOQOL_Items'!O368 + '01_WHOQOL_Items'!P368 + '01_WHOQOL_Items'!Q368 + '01_WHOQOL_Items'!Z368 + '01_WHOQOL_Items'!AA368 + '01_WHOQOL_Items'!AB368)/8)</f>
        <v>11</v>
      </c>
      <c r="S368" s="4">
        <f>4*(('01_WHOQOL_Items'!AK368 + '01_WHOQOL_Items'!AL368 + '01_WHOQOL_Items'!AO368 + '01_WHOQOL_Items'!AP368 + '01_WHOQOL_Items'!AQ368 + '01_WHOQOL_Items'!AZ368 + '01_WHOQOL_Items'!BA368 + '01_WHOQOL_Items'!BB368)/8)</f>
        <v>11.5</v>
      </c>
      <c r="T368" s="4">
        <f t="shared" si="84"/>
        <v>43.75</v>
      </c>
      <c r="U368" s="4">
        <f t="shared" si="85"/>
        <v>46.875</v>
      </c>
      <c r="V368" s="5">
        <f t="shared" si="86"/>
        <v>7.1428571428571425E-2</v>
      </c>
      <c r="W368" s="4">
        <f t="shared" si="87"/>
        <v>45.461309523809526</v>
      </c>
      <c r="X368" s="4">
        <f t="shared" si="88"/>
        <v>47.730654761904759</v>
      </c>
      <c r="Y368" s="5">
        <f t="shared" si="89"/>
        <v>4.991816693944344E-2</v>
      </c>
      <c r="Z368" s="1">
        <f>'01_WHOQOL_Items'!D368</f>
        <v>2</v>
      </c>
      <c r="AA368" s="1">
        <f>'01_WHOQOL_Items'!AD368</f>
        <v>3</v>
      </c>
      <c r="AB368" s="1">
        <f>'01_WHOQOL_Items'!E368</f>
        <v>2</v>
      </c>
      <c r="AC368" s="1">
        <f>'01_WHOQOL_Items'!AE368</f>
        <v>3</v>
      </c>
    </row>
    <row r="369" spans="1:29">
      <c r="A369" s="1" t="str">
        <f>'01_WHOQOL_Items'!A369</f>
        <v>CON-087</v>
      </c>
      <c r="B369" s="1" t="str">
        <f>'01_WHOQOL_Items'!B369</f>
        <v>Control</v>
      </c>
      <c r="C369" s="4">
        <f>4*(((6-'01_WHOQOL_Items'!F369) + (6-'01_WHOQOL_Items'!G369) + '01_WHOQOL_Items'!M369 + '01_WHOQOL_Items'!R369 + '01_WHOQOL_Items'!S369 + '01_WHOQOL_Items'!T369 + '01_WHOQOL_Items'!U369)/7)</f>
        <v>13.142857142857142</v>
      </c>
      <c r="D369" s="4">
        <f>4*(((6-'01_WHOQOL_Items'!AF369) + (6-'01_WHOQOL_Items'!AG369) + '01_WHOQOL_Items'!AM369 + '01_WHOQOL_Items'!AR369 + '01_WHOQOL_Items'!AS369 + '01_WHOQOL_Items'!AT369 + '01_WHOQOL_Items'!AU369)/7)</f>
        <v>13.714285714285714</v>
      </c>
      <c r="E369" s="4">
        <f t="shared" si="75"/>
        <v>57.142857142857139</v>
      </c>
      <c r="F369" s="4">
        <f t="shared" si="76"/>
        <v>60.714285714285708</v>
      </c>
      <c r="G369" s="5">
        <f t="shared" si="77"/>
        <v>6.2499999999999972E-2</v>
      </c>
      <c r="H369" s="4">
        <f>4*(('01_WHOQOL_Items'!H369 + '01_WHOQOL_Items'!I369 + '01_WHOQOL_Items'!J369 + '01_WHOQOL_Items'!N369 + '01_WHOQOL_Items'!V369 + (6-'01_WHOQOL_Items'!AC369))/6)</f>
        <v>14</v>
      </c>
      <c r="I369" s="4">
        <f>4*(('01_WHOQOL_Items'!AH369 + '01_WHOQOL_Items'!AI369 + '01_WHOQOL_Items'!AJ369 + '01_WHOQOL_Items'!AN369 + '01_WHOQOL_Items'!AV369 + (6-'01_WHOQOL_Items'!BC369))/6)</f>
        <v>15.333333333333334</v>
      </c>
      <c r="J369" s="4">
        <f t="shared" si="78"/>
        <v>62.5</v>
      </c>
      <c r="K369" s="4">
        <f t="shared" si="79"/>
        <v>70.833333333333343</v>
      </c>
      <c r="L369" s="5">
        <f t="shared" si="80"/>
        <v>0.1333333333333335</v>
      </c>
      <c r="M369" s="4">
        <f>4*(('01_WHOQOL_Items'!W369 + '01_WHOQOL_Items'!X369 + '01_WHOQOL_Items'!Y369)/3)</f>
        <v>14.666666666666666</v>
      </c>
      <c r="N369" s="4">
        <f>4*(('01_WHOQOL_Items'!AW369 + '01_WHOQOL_Items'!AX369 + '01_WHOQOL_Items'!AY369)/3)</f>
        <v>10.666666666666666</v>
      </c>
      <c r="O369" s="4">
        <f t="shared" si="81"/>
        <v>66.666666666666657</v>
      </c>
      <c r="P369" s="4">
        <f t="shared" si="82"/>
        <v>41.666666666666664</v>
      </c>
      <c r="Q369" s="5">
        <f t="shared" si="83"/>
        <v>-0.37499999999999994</v>
      </c>
      <c r="R369" s="4">
        <f>4*(('01_WHOQOL_Items'!K369 + '01_WHOQOL_Items'!L369 + '01_WHOQOL_Items'!O369 + '01_WHOQOL_Items'!P369 + '01_WHOQOL_Items'!Q369 + '01_WHOQOL_Items'!Z369 + '01_WHOQOL_Items'!AA369 + '01_WHOQOL_Items'!AB369)/8)</f>
        <v>13</v>
      </c>
      <c r="S369" s="4">
        <f>4*(('01_WHOQOL_Items'!AK369 + '01_WHOQOL_Items'!AL369 + '01_WHOQOL_Items'!AO369 + '01_WHOQOL_Items'!AP369 + '01_WHOQOL_Items'!AQ369 + '01_WHOQOL_Items'!AZ369 + '01_WHOQOL_Items'!BA369 + '01_WHOQOL_Items'!BB369)/8)</f>
        <v>13</v>
      </c>
      <c r="T369" s="4">
        <f t="shared" si="84"/>
        <v>56.25</v>
      </c>
      <c r="U369" s="4">
        <f t="shared" si="85"/>
        <v>56.25</v>
      </c>
      <c r="V369" s="5">
        <f t="shared" si="86"/>
        <v>0</v>
      </c>
      <c r="W369" s="4">
        <f t="shared" si="87"/>
        <v>60.639880952380949</v>
      </c>
      <c r="X369" s="4">
        <f t="shared" si="88"/>
        <v>57.366071428571423</v>
      </c>
      <c r="Y369" s="5">
        <f t="shared" si="89"/>
        <v>-5.3987730061349722E-2</v>
      </c>
      <c r="Z369" s="1">
        <f>'01_WHOQOL_Items'!D369</f>
        <v>4</v>
      </c>
      <c r="AA369" s="1">
        <f>'01_WHOQOL_Items'!AD369</f>
        <v>3</v>
      </c>
      <c r="AB369" s="1">
        <f>'01_WHOQOL_Items'!E369</f>
        <v>3</v>
      </c>
      <c r="AC369" s="1">
        <f>'01_WHOQOL_Items'!AE369</f>
        <v>4</v>
      </c>
    </row>
    <row r="370" spans="1:29">
      <c r="A370" s="1" t="str">
        <f>'01_WHOQOL_Items'!A370</f>
        <v>CON-088</v>
      </c>
      <c r="B370" s="1" t="str">
        <f>'01_WHOQOL_Items'!B370</f>
        <v>Control</v>
      </c>
      <c r="C370" s="4">
        <f>4*(((6-'01_WHOQOL_Items'!F370) + (6-'01_WHOQOL_Items'!G370) + '01_WHOQOL_Items'!M370 + '01_WHOQOL_Items'!R370 + '01_WHOQOL_Items'!S370 + '01_WHOQOL_Items'!T370 + '01_WHOQOL_Items'!U370)/7)</f>
        <v>13.714285714285714</v>
      </c>
      <c r="D370" s="4">
        <f>4*(((6-'01_WHOQOL_Items'!AF370) + (6-'01_WHOQOL_Items'!AG370) + '01_WHOQOL_Items'!AM370 + '01_WHOQOL_Items'!AR370 + '01_WHOQOL_Items'!AS370 + '01_WHOQOL_Items'!AT370 + '01_WHOQOL_Items'!AU370)/7)</f>
        <v>13.142857142857142</v>
      </c>
      <c r="E370" s="4">
        <f t="shared" si="75"/>
        <v>60.714285714285708</v>
      </c>
      <c r="F370" s="4">
        <f t="shared" si="76"/>
        <v>57.142857142857139</v>
      </c>
      <c r="G370" s="5">
        <f t="shared" si="77"/>
        <v>-5.8823529411764677E-2</v>
      </c>
      <c r="H370" s="4">
        <f>4*(('01_WHOQOL_Items'!H370 + '01_WHOQOL_Items'!I370 + '01_WHOQOL_Items'!J370 + '01_WHOQOL_Items'!N370 + '01_WHOQOL_Items'!V370 + (6-'01_WHOQOL_Items'!AC370))/6)</f>
        <v>16.666666666666668</v>
      </c>
      <c r="I370" s="4">
        <f>4*(('01_WHOQOL_Items'!AH370 + '01_WHOQOL_Items'!AI370 + '01_WHOQOL_Items'!AJ370 + '01_WHOQOL_Items'!AN370 + '01_WHOQOL_Items'!AV370 + (6-'01_WHOQOL_Items'!BC370))/6)</f>
        <v>15.333333333333334</v>
      </c>
      <c r="J370" s="4">
        <f t="shared" si="78"/>
        <v>79.166666666666671</v>
      </c>
      <c r="K370" s="4">
        <f t="shared" si="79"/>
        <v>70.833333333333343</v>
      </c>
      <c r="L370" s="5">
        <f t="shared" si="80"/>
        <v>-0.10526315789473678</v>
      </c>
      <c r="M370" s="4">
        <f>4*(('01_WHOQOL_Items'!W370 + '01_WHOQOL_Items'!X370 + '01_WHOQOL_Items'!Y370)/3)</f>
        <v>14.666666666666666</v>
      </c>
      <c r="N370" s="4">
        <f>4*(('01_WHOQOL_Items'!AW370 + '01_WHOQOL_Items'!AX370 + '01_WHOQOL_Items'!AY370)/3)</f>
        <v>13.333333333333334</v>
      </c>
      <c r="O370" s="4">
        <f t="shared" si="81"/>
        <v>66.666666666666657</v>
      </c>
      <c r="P370" s="4">
        <f t="shared" si="82"/>
        <v>58.333333333333336</v>
      </c>
      <c r="Q370" s="5">
        <f t="shared" si="83"/>
        <v>-0.12499999999999983</v>
      </c>
      <c r="R370" s="4">
        <f>4*(('01_WHOQOL_Items'!K370 + '01_WHOQOL_Items'!L370 + '01_WHOQOL_Items'!O370 + '01_WHOQOL_Items'!P370 + '01_WHOQOL_Items'!Q370 + '01_WHOQOL_Items'!Z370 + '01_WHOQOL_Items'!AA370 + '01_WHOQOL_Items'!AB370)/8)</f>
        <v>10</v>
      </c>
      <c r="S370" s="4">
        <f>4*(('01_WHOQOL_Items'!AK370 + '01_WHOQOL_Items'!AL370 + '01_WHOQOL_Items'!AO370 + '01_WHOQOL_Items'!AP370 + '01_WHOQOL_Items'!AQ370 + '01_WHOQOL_Items'!AZ370 + '01_WHOQOL_Items'!BA370 + '01_WHOQOL_Items'!BB370)/8)</f>
        <v>9.5</v>
      </c>
      <c r="T370" s="4">
        <f t="shared" si="84"/>
        <v>37.5</v>
      </c>
      <c r="U370" s="4">
        <f t="shared" si="85"/>
        <v>34.375</v>
      </c>
      <c r="V370" s="5">
        <f t="shared" si="86"/>
        <v>-8.3333333333333329E-2</v>
      </c>
      <c r="W370" s="4">
        <f t="shared" si="87"/>
        <v>61.011904761904759</v>
      </c>
      <c r="X370" s="4">
        <f t="shared" si="88"/>
        <v>55.171130952380956</v>
      </c>
      <c r="Y370" s="5">
        <f t="shared" si="89"/>
        <v>-9.5731707317073075E-2</v>
      </c>
      <c r="Z370" s="1">
        <f>'01_WHOQOL_Items'!D370</f>
        <v>3</v>
      </c>
      <c r="AA370" s="1">
        <f>'01_WHOQOL_Items'!AD370</f>
        <v>3</v>
      </c>
      <c r="AB370" s="1">
        <f>'01_WHOQOL_Items'!E370</f>
        <v>3</v>
      </c>
      <c r="AC370" s="1">
        <f>'01_WHOQOL_Items'!AE370</f>
        <v>3</v>
      </c>
    </row>
    <row r="371" spans="1:29">
      <c r="A371" s="1" t="str">
        <f>'01_WHOQOL_Items'!A371</f>
        <v>CON-089</v>
      </c>
      <c r="B371" s="1" t="str">
        <f>'01_WHOQOL_Items'!B371</f>
        <v>Control</v>
      </c>
      <c r="C371" s="4">
        <f>4*(((6-'01_WHOQOL_Items'!F371) + (6-'01_WHOQOL_Items'!G371) + '01_WHOQOL_Items'!M371 + '01_WHOQOL_Items'!R371 + '01_WHOQOL_Items'!S371 + '01_WHOQOL_Items'!T371 + '01_WHOQOL_Items'!U371)/7)</f>
        <v>13.142857142857142</v>
      </c>
      <c r="D371" s="4">
        <f>4*(((6-'01_WHOQOL_Items'!AF371) + (6-'01_WHOQOL_Items'!AG371) + '01_WHOQOL_Items'!AM371 + '01_WHOQOL_Items'!AR371 + '01_WHOQOL_Items'!AS371 + '01_WHOQOL_Items'!AT371 + '01_WHOQOL_Items'!AU371)/7)</f>
        <v>13.714285714285714</v>
      </c>
      <c r="E371" s="4">
        <f t="shared" si="75"/>
        <v>57.142857142857139</v>
      </c>
      <c r="F371" s="4">
        <f t="shared" si="76"/>
        <v>60.714285714285708</v>
      </c>
      <c r="G371" s="5">
        <f t="shared" si="77"/>
        <v>6.2499999999999972E-2</v>
      </c>
      <c r="H371" s="4">
        <f>4*(('01_WHOQOL_Items'!H371 + '01_WHOQOL_Items'!I371 + '01_WHOQOL_Items'!J371 + '01_WHOQOL_Items'!N371 + '01_WHOQOL_Items'!V371 + (6-'01_WHOQOL_Items'!AC371))/6)</f>
        <v>12</v>
      </c>
      <c r="I371" s="4">
        <f>4*(('01_WHOQOL_Items'!AH371 + '01_WHOQOL_Items'!AI371 + '01_WHOQOL_Items'!AJ371 + '01_WHOQOL_Items'!AN371 + '01_WHOQOL_Items'!AV371 + (6-'01_WHOQOL_Items'!BC371))/6)</f>
        <v>12.666666666666666</v>
      </c>
      <c r="J371" s="4">
        <f t="shared" si="78"/>
        <v>50</v>
      </c>
      <c r="K371" s="4">
        <f t="shared" si="79"/>
        <v>54.166666666666664</v>
      </c>
      <c r="L371" s="5">
        <f t="shared" si="80"/>
        <v>8.3333333333333287E-2</v>
      </c>
      <c r="M371" s="4">
        <f>4*(('01_WHOQOL_Items'!W371 + '01_WHOQOL_Items'!X371 + '01_WHOQOL_Items'!Y371)/3)</f>
        <v>10.666666666666666</v>
      </c>
      <c r="N371" s="4">
        <f>4*(('01_WHOQOL_Items'!AW371 + '01_WHOQOL_Items'!AX371 + '01_WHOQOL_Items'!AY371)/3)</f>
        <v>12</v>
      </c>
      <c r="O371" s="4">
        <f t="shared" si="81"/>
        <v>41.666666666666664</v>
      </c>
      <c r="P371" s="4">
        <f t="shared" si="82"/>
        <v>50</v>
      </c>
      <c r="Q371" s="5">
        <f t="shared" si="83"/>
        <v>0.20000000000000007</v>
      </c>
      <c r="R371" s="4">
        <f>4*(('01_WHOQOL_Items'!K371 + '01_WHOQOL_Items'!L371 + '01_WHOQOL_Items'!O371 + '01_WHOQOL_Items'!P371 + '01_WHOQOL_Items'!Q371 + '01_WHOQOL_Items'!Z371 + '01_WHOQOL_Items'!AA371 + '01_WHOQOL_Items'!AB371)/8)</f>
        <v>12</v>
      </c>
      <c r="S371" s="4">
        <f>4*(('01_WHOQOL_Items'!AK371 + '01_WHOQOL_Items'!AL371 + '01_WHOQOL_Items'!AO371 + '01_WHOQOL_Items'!AP371 + '01_WHOQOL_Items'!AQ371 + '01_WHOQOL_Items'!AZ371 + '01_WHOQOL_Items'!BA371 + '01_WHOQOL_Items'!BB371)/8)</f>
        <v>10</v>
      </c>
      <c r="T371" s="4">
        <f t="shared" si="84"/>
        <v>50</v>
      </c>
      <c r="U371" s="4">
        <f t="shared" si="85"/>
        <v>37.5</v>
      </c>
      <c r="V371" s="5">
        <f t="shared" si="86"/>
        <v>-0.25</v>
      </c>
      <c r="W371" s="4">
        <f t="shared" si="87"/>
        <v>49.702380952380949</v>
      </c>
      <c r="X371" s="4">
        <f t="shared" si="88"/>
        <v>50.595238095238095</v>
      </c>
      <c r="Y371" s="5">
        <f t="shared" si="89"/>
        <v>1.7964071856287487E-2</v>
      </c>
      <c r="Z371" s="1">
        <f>'01_WHOQOL_Items'!D371</f>
        <v>3</v>
      </c>
      <c r="AA371" s="1">
        <f>'01_WHOQOL_Items'!AD371</f>
        <v>4</v>
      </c>
      <c r="AB371" s="1">
        <f>'01_WHOQOL_Items'!E371</f>
        <v>3</v>
      </c>
      <c r="AC371" s="1">
        <f>'01_WHOQOL_Items'!AE371</f>
        <v>3</v>
      </c>
    </row>
    <row r="372" spans="1:29">
      <c r="A372" s="1" t="str">
        <f>'01_WHOQOL_Items'!A372</f>
        <v>CON-090</v>
      </c>
      <c r="B372" s="1" t="str">
        <f>'01_WHOQOL_Items'!B372</f>
        <v>Control</v>
      </c>
      <c r="C372" s="4">
        <f>4*(((6-'01_WHOQOL_Items'!F372) + (6-'01_WHOQOL_Items'!G372) + '01_WHOQOL_Items'!M372 + '01_WHOQOL_Items'!R372 + '01_WHOQOL_Items'!S372 + '01_WHOQOL_Items'!T372 + '01_WHOQOL_Items'!U372)/7)</f>
        <v>9.1428571428571423</v>
      </c>
      <c r="D372" s="4">
        <f>4*(((6-'01_WHOQOL_Items'!AF372) + (6-'01_WHOQOL_Items'!AG372) + '01_WHOQOL_Items'!AM372 + '01_WHOQOL_Items'!AR372 + '01_WHOQOL_Items'!AS372 + '01_WHOQOL_Items'!AT372 + '01_WHOQOL_Items'!AU372)/7)</f>
        <v>9.1428571428571423</v>
      </c>
      <c r="E372" s="4">
        <f t="shared" si="75"/>
        <v>32.142857142857139</v>
      </c>
      <c r="F372" s="4">
        <f t="shared" si="76"/>
        <v>32.142857142857139</v>
      </c>
      <c r="G372" s="5">
        <f t="shared" si="77"/>
        <v>0</v>
      </c>
      <c r="H372" s="4">
        <f>4*(('01_WHOQOL_Items'!H372 + '01_WHOQOL_Items'!I372 + '01_WHOQOL_Items'!J372 + '01_WHOQOL_Items'!N372 + '01_WHOQOL_Items'!V372 + (6-'01_WHOQOL_Items'!AC372))/6)</f>
        <v>7.333333333333333</v>
      </c>
      <c r="I372" s="4">
        <f>4*(('01_WHOQOL_Items'!AH372 + '01_WHOQOL_Items'!AI372 + '01_WHOQOL_Items'!AJ372 + '01_WHOQOL_Items'!AN372 + '01_WHOQOL_Items'!AV372 + (6-'01_WHOQOL_Items'!BC372))/6)</f>
        <v>9.3333333333333339</v>
      </c>
      <c r="J372" s="4">
        <f t="shared" si="78"/>
        <v>20.833333333333332</v>
      </c>
      <c r="K372" s="4">
        <f t="shared" si="79"/>
        <v>33.333333333333336</v>
      </c>
      <c r="L372" s="5">
        <f t="shared" si="80"/>
        <v>0.6000000000000002</v>
      </c>
      <c r="M372" s="4">
        <f>4*(('01_WHOQOL_Items'!W372 + '01_WHOQOL_Items'!X372 + '01_WHOQOL_Items'!Y372)/3)</f>
        <v>16</v>
      </c>
      <c r="N372" s="4">
        <f>4*(('01_WHOQOL_Items'!AW372 + '01_WHOQOL_Items'!AX372 + '01_WHOQOL_Items'!AY372)/3)</f>
        <v>14.666666666666666</v>
      </c>
      <c r="O372" s="4">
        <f t="shared" si="81"/>
        <v>75</v>
      </c>
      <c r="P372" s="4">
        <f t="shared" si="82"/>
        <v>66.666666666666657</v>
      </c>
      <c r="Q372" s="5">
        <f t="shared" si="83"/>
        <v>-0.11111111111111124</v>
      </c>
      <c r="R372" s="4">
        <f>4*(('01_WHOQOL_Items'!K372 + '01_WHOQOL_Items'!L372 + '01_WHOQOL_Items'!O372 + '01_WHOQOL_Items'!P372 + '01_WHOQOL_Items'!Q372 + '01_WHOQOL_Items'!Z372 + '01_WHOQOL_Items'!AA372 + '01_WHOQOL_Items'!AB372)/8)</f>
        <v>10</v>
      </c>
      <c r="S372" s="4">
        <f>4*(('01_WHOQOL_Items'!AK372 + '01_WHOQOL_Items'!AL372 + '01_WHOQOL_Items'!AO372 + '01_WHOQOL_Items'!AP372 + '01_WHOQOL_Items'!AQ372 + '01_WHOQOL_Items'!AZ372 + '01_WHOQOL_Items'!BA372 + '01_WHOQOL_Items'!BB372)/8)</f>
        <v>12</v>
      </c>
      <c r="T372" s="4">
        <f t="shared" si="84"/>
        <v>37.5</v>
      </c>
      <c r="U372" s="4">
        <f t="shared" si="85"/>
        <v>50</v>
      </c>
      <c r="V372" s="5">
        <f t="shared" si="86"/>
        <v>0.33333333333333331</v>
      </c>
      <c r="W372" s="4">
        <f t="shared" si="87"/>
        <v>41.36904761904762</v>
      </c>
      <c r="X372" s="4">
        <f t="shared" si="88"/>
        <v>45.535714285714285</v>
      </c>
      <c r="Y372" s="5">
        <f t="shared" si="89"/>
        <v>0.1007194244604316</v>
      </c>
      <c r="Z372" s="1">
        <f>'01_WHOQOL_Items'!D372</f>
        <v>2</v>
      </c>
      <c r="AA372" s="1">
        <f>'01_WHOQOL_Items'!AD372</f>
        <v>2</v>
      </c>
      <c r="AB372" s="1">
        <f>'01_WHOQOL_Items'!E372</f>
        <v>2</v>
      </c>
      <c r="AC372" s="1">
        <f>'01_WHOQOL_Items'!AE372</f>
        <v>2</v>
      </c>
    </row>
    <row r="373" spans="1:29">
      <c r="A373" s="1" t="str">
        <f>'01_WHOQOL_Items'!A373</f>
        <v>CON-091</v>
      </c>
      <c r="B373" s="1" t="str">
        <f>'01_WHOQOL_Items'!B373</f>
        <v>Control</v>
      </c>
      <c r="C373" s="4">
        <f>4*(((6-'01_WHOQOL_Items'!F373) + (6-'01_WHOQOL_Items'!G373) + '01_WHOQOL_Items'!M373 + '01_WHOQOL_Items'!R373 + '01_WHOQOL_Items'!S373 + '01_WHOQOL_Items'!T373 + '01_WHOQOL_Items'!U373)/7)</f>
        <v>12</v>
      </c>
      <c r="D373" s="4">
        <f>4*(((6-'01_WHOQOL_Items'!AF373) + (6-'01_WHOQOL_Items'!AG373) + '01_WHOQOL_Items'!AM373 + '01_WHOQOL_Items'!AR373 + '01_WHOQOL_Items'!AS373 + '01_WHOQOL_Items'!AT373 + '01_WHOQOL_Items'!AU373)/7)</f>
        <v>13.714285714285714</v>
      </c>
      <c r="E373" s="4">
        <f t="shared" si="75"/>
        <v>50</v>
      </c>
      <c r="F373" s="4">
        <f t="shared" si="76"/>
        <v>60.714285714285708</v>
      </c>
      <c r="G373" s="5">
        <f t="shared" si="77"/>
        <v>0.21428571428571416</v>
      </c>
      <c r="H373" s="4">
        <f>4*(('01_WHOQOL_Items'!H373 + '01_WHOQOL_Items'!I373 + '01_WHOQOL_Items'!J373 + '01_WHOQOL_Items'!N373 + '01_WHOQOL_Items'!V373 + (6-'01_WHOQOL_Items'!AC373))/6)</f>
        <v>12.666666666666666</v>
      </c>
      <c r="I373" s="4">
        <f>4*(('01_WHOQOL_Items'!AH373 + '01_WHOQOL_Items'!AI373 + '01_WHOQOL_Items'!AJ373 + '01_WHOQOL_Items'!AN373 + '01_WHOQOL_Items'!AV373 + (6-'01_WHOQOL_Items'!BC373))/6)</f>
        <v>12</v>
      </c>
      <c r="J373" s="4">
        <f t="shared" si="78"/>
        <v>54.166666666666664</v>
      </c>
      <c r="K373" s="4">
        <f t="shared" si="79"/>
        <v>50</v>
      </c>
      <c r="L373" s="5">
        <f t="shared" si="80"/>
        <v>-7.6923076923076886E-2</v>
      </c>
      <c r="M373" s="4">
        <f>4*(('01_WHOQOL_Items'!W373 + '01_WHOQOL_Items'!X373 + '01_WHOQOL_Items'!Y373)/3)</f>
        <v>13.333333333333334</v>
      </c>
      <c r="N373" s="4">
        <f>4*(('01_WHOQOL_Items'!AW373 + '01_WHOQOL_Items'!AX373 + '01_WHOQOL_Items'!AY373)/3)</f>
        <v>17.333333333333332</v>
      </c>
      <c r="O373" s="4">
        <f t="shared" si="81"/>
        <v>58.333333333333336</v>
      </c>
      <c r="P373" s="4">
        <f t="shared" si="82"/>
        <v>83.333333333333329</v>
      </c>
      <c r="Q373" s="5">
        <f t="shared" si="83"/>
        <v>0.42857142857142844</v>
      </c>
      <c r="R373" s="4">
        <f>4*(('01_WHOQOL_Items'!K373 + '01_WHOQOL_Items'!L373 + '01_WHOQOL_Items'!O373 + '01_WHOQOL_Items'!P373 + '01_WHOQOL_Items'!Q373 + '01_WHOQOL_Items'!Z373 + '01_WHOQOL_Items'!AA373 + '01_WHOQOL_Items'!AB373)/8)</f>
        <v>9</v>
      </c>
      <c r="S373" s="4">
        <f>4*(('01_WHOQOL_Items'!AK373 + '01_WHOQOL_Items'!AL373 + '01_WHOQOL_Items'!AO373 + '01_WHOQOL_Items'!AP373 + '01_WHOQOL_Items'!AQ373 + '01_WHOQOL_Items'!AZ373 + '01_WHOQOL_Items'!BA373 + '01_WHOQOL_Items'!BB373)/8)</f>
        <v>10.5</v>
      </c>
      <c r="T373" s="4">
        <f t="shared" si="84"/>
        <v>31.25</v>
      </c>
      <c r="U373" s="4">
        <f t="shared" si="85"/>
        <v>40.625</v>
      </c>
      <c r="V373" s="5">
        <f t="shared" si="86"/>
        <v>0.3</v>
      </c>
      <c r="W373" s="4">
        <f t="shared" si="87"/>
        <v>48.4375</v>
      </c>
      <c r="X373" s="4">
        <f t="shared" si="88"/>
        <v>58.668154761904759</v>
      </c>
      <c r="Y373" s="5">
        <f t="shared" si="89"/>
        <v>0.21121351766513052</v>
      </c>
      <c r="Z373" s="1">
        <f>'01_WHOQOL_Items'!D373</f>
        <v>4</v>
      </c>
      <c r="AA373" s="1">
        <f>'01_WHOQOL_Items'!AD373</f>
        <v>3</v>
      </c>
      <c r="AB373" s="1">
        <f>'01_WHOQOL_Items'!E373</f>
        <v>3</v>
      </c>
      <c r="AC373" s="1">
        <f>'01_WHOQOL_Items'!AE373</f>
        <v>4</v>
      </c>
    </row>
    <row r="374" spans="1:29">
      <c r="A374" s="1" t="str">
        <f>'01_WHOQOL_Items'!A374</f>
        <v>CON-092</v>
      </c>
      <c r="B374" s="1" t="str">
        <f>'01_WHOQOL_Items'!B374</f>
        <v>Control</v>
      </c>
      <c r="C374" s="4">
        <f>4*(((6-'01_WHOQOL_Items'!F374) + (6-'01_WHOQOL_Items'!G374) + '01_WHOQOL_Items'!M374 + '01_WHOQOL_Items'!R374 + '01_WHOQOL_Items'!S374 + '01_WHOQOL_Items'!T374 + '01_WHOQOL_Items'!U374)/7)</f>
        <v>12.571428571428571</v>
      </c>
      <c r="D374" s="4">
        <f>4*(((6-'01_WHOQOL_Items'!AF374) + (6-'01_WHOQOL_Items'!AG374) + '01_WHOQOL_Items'!AM374 + '01_WHOQOL_Items'!AR374 + '01_WHOQOL_Items'!AS374 + '01_WHOQOL_Items'!AT374 + '01_WHOQOL_Items'!AU374)/7)</f>
        <v>13.142857142857142</v>
      </c>
      <c r="E374" s="4">
        <f t="shared" si="75"/>
        <v>53.571428571428569</v>
      </c>
      <c r="F374" s="4">
        <f t="shared" si="76"/>
        <v>57.142857142857139</v>
      </c>
      <c r="G374" s="5">
        <f t="shared" si="77"/>
        <v>6.6666666666666638E-2</v>
      </c>
      <c r="H374" s="4">
        <f>4*(('01_WHOQOL_Items'!H374 + '01_WHOQOL_Items'!I374 + '01_WHOQOL_Items'!J374 + '01_WHOQOL_Items'!N374 + '01_WHOQOL_Items'!V374 + (6-'01_WHOQOL_Items'!AC374))/6)</f>
        <v>12</v>
      </c>
      <c r="I374" s="4">
        <f>4*(('01_WHOQOL_Items'!AH374 + '01_WHOQOL_Items'!AI374 + '01_WHOQOL_Items'!AJ374 + '01_WHOQOL_Items'!AN374 + '01_WHOQOL_Items'!AV374 + (6-'01_WHOQOL_Items'!BC374))/6)</f>
        <v>12</v>
      </c>
      <c r="J374" s="4">
        <f t="shared" si="78"/>
        <v>50</v>
      </c>
      <c r="K374" s="4">
        <f t="shared" si="79"/>
        <v>50</v>
      </c>
      <c r="L374" s="5">
        <f t="shared" si="80"/>
        <v>0</v>
      </c>
      <c r="M374" s="4">
        <f>4*(('01_WHOQOL_Items'!W374 + '01_WHOQOL_Items'!X374 + '01_WHOQOL_Items'!Y374)/3)</f>
        <v>10.666666666666666</v>
      </c>
      <c r="N374" s="4">
        <f>4*(('01_WHOQOL_Items'!AW374 + '01_WHOQOL_Items'!AX374 + '01_WHOQOL_Items'!AY374)/3)</f>
        <v>12</v>
      </c>
      <c r="O374" s="4">
        <f t="shared" si="81"/>
        <v>41.666666666666664</v>
      </c>
      <c r="P374" s="4">
        <f t="shared" si="82"/>
        <v>50</v>
      </c>
      <c r="Q374" s="5">
        <f t="shared" si="83"/>
        <v>0.20000000000000007</v>
      </c>
      <c r="R374" s="4">
        <f>4*(('01_WHOQOL_Items'!K374 + '01_WHOQOL_Items'!L374 + '01_WHOQOL_Items'!O374 + '01_WHOQOL_Items'!P374 + '01_WHOQOL_Items'!Q374 + '01_WHOQOL_Items'!Z374 + '01_WHOQOL_Items'!AA374 + '01_WHOQOL_Items'!AB374)/8)</f>
        <v>10.5</v>
      </c>
      <c r="S374" s="4">
        <f>4*(('01_WHOQOL_Items'!AK374 + '01_WHOQOL_Items'!AL374 + '01_WHOQOL_Items'!AO374 + '01_WHOQOL_Items'!AP374 + '01_WHOQOL_Items'!AQ374 + '01_WHOQOL_Items'!AZ374 + '01_WHOQOL_Items'!BA374 + '01_WHOQOL_Items'!BB374)/8)</f>
        <v>9.5</v>
      </c>
      <c r="T374" s="4">
        <f t="shared" si="84"/>
        <v>40.625</v>
      </c>
      <c r="U374" s="4">
        <f t="shared" si="85"/>
        <v>34.375</v>
      </c>
      <c r="V374" s="5">
        <f t="shared" si="86"/>
        <v>-0.15384615384615385</v>
      </c>
      <c r="W374" s="4">
        <f t="shared" si="87"/>
        <v>46.46577380952381</v>
      </c>
      <c r="X374" s="4">
        <f t="shared" si="88"/>
        <v>47.879464285714285</v>
      </c>
      <c r="Y374" s="5">
        <f t="shared" si="89"/>
        <v>3.0424339471577223E-2</v>
      </c>
      <c r="Z374" s="1">
        <f>'01_WHOQOL_Items'!D374</f>
        <v>3</v>
      </c>
      <c r="AA374" s="1">
        <f>'01_WHOQOL_Items'!AD374</f>
        <v>2</v>
      </c>
      <c r="AB374" s="1">
        <f>'01_WHOQOL_Items'!E374</f>
        <v>3</v>
      </c>
      <c r="AC374" s="1">
        <f>'01_WHOQOL_Items'!AE374</f>
        <v>4</v>
      </c>
    </row>
    <row r="375" spans="1:29">
      <c r="A375" s="1" t="str">
        <f>'01_WHOQOL_Items'!A375</f>
        <v>CON-093</v>
      </c>
      <c r="B375" s="1" t="str">
        <f>'01_WHOQOL_Items'!B375</f>
        <v>Control</v>
      </c>
      <c r="C375" s="4">
        <f>4*(((6-'01_WHOQOL_Items'!F375) + (6-'01_WHOQOL_Items'!G375) + '01_WHOQOL_Items'!M375 + '01_WHOQOL_Items'!R375 + '01_WHOQOL_Items'!S375 + '01_WHOQOL_Items'!T375 + '01_WHOQOL_Items'!U375)/7)</f>
        <v>10.857142857142858</v>
      </c>
      <c r="D375" s="4">
        <f>4*(((6-'01_WHOQOL_Items'!AF375) + (6-'01_WHOQOL_Items'!AG375) + '01_WHOQOL_Items'!AM375 + '01_WHOQOL_Items'!AR375 + '01_WHOQOL_Items'!AS375 + '01_WHOQOL_Items'!AT375 + '01_WHOQOL_Items'!AU375)/7)</f>
        <v>12.571428571428571</v>
      </c>
      <c r="E375" s="4">
        <f t="shared" si="75"/>
        <v>42.857142857142861</v>
      </c>
      <c r="F375" s="4">
        <f t="shared" si="76"/>
        <v>53.571428571428569</v>
      </c>
      <c r="G375" s="5">
        <f t="shared" si="77"/>
        <v>0.24999999999999983</v>
      </c>
      <c r="H375" s="4">
        <f>4*(('01_WHOQOL_Items'!H375 + '01_WHOQOL_Items'!I375 + '01_WHOQOL_Items'!J375 + '01_WHOQOL_Items'!N375 + '01_WHOQOL_Items'!V375 + (6-'01_WHOQOL_Items'!AC375))/6)</f>
        <v>10.666666666666666</v>
      </c>
      <c r="I375" s="4">
        <f>4*(('01_WHOQOL_Items'!AH375 + '01_WHOQOL_Items'!AI375 + '01_WHOQOL_Items'!AJ375 + '01_WHOQOL_Items'!AN375 + '01_WHOQOL_Items'!AV375 + (6-'01_WHOQOL_Items'!BC375))/6)</f>
        <v>11.333333333333334</v>
      </c>
      <c r="J375" s="4">
        <f t="shared" si="78"/>
        <v>41.666666666666664</v>
      </c>
      <c r="K375" s="4">
        <f t="shared" si="79"/>
        <v>45.833333333333336</v>
      </c>
      <c r="L375" s="5">
        <f t="shared" si="80"/>
        <v>0.10000000000000012</v>
      </c>
      <c r="M375" s="4">
        <f>4*(('01_WHOQOL_Items'!W375 + '01_WHOQOL_Items'!X375 + '01_WHOQOL_Items'!Y375)/3)</f>
        <v>12</v>
      </c>
      <c r="N375" s="4">
        <f>4*(('01_WHOQOL_Items'!AW375 + '01_WHOQOL_Items'!AX375 + '01_WHOQOL_Items'!AY375)/3)</f>
        <v>10.666666666666666</v>
      </c>
      <c r="O375" s="4">
        <f t="shared" si="81"/>
        <v>50</v>
      </c>
      <c r="P375" s="4">
        <f t="shared" si="82"/>
        <v>41.666666666666664</v>
      </c>
      <c r="Q375" s="5">
        <f t="shared" si="83"/>
        <v>-0.16666666666666671</v>
      </c>
      <c r="R375" s="4">
        <f>4*(('01_WHOQOL_Items'!K375 + '01_WHOQOL_Items'!L375 + '01_WHOQOL_Items'!O375 + '01_WHOQOL_Items'!P375 + '01_WHOQOL_Items'!Q375 + '01_WHOQOL_Items'!Z375 + '01_WHOQOL_Items'!AA375 + '01_WHOQOL_Items'!AB375)/8)</f>
        <v>9</v>
      </c>
      <c r="S375" s="4">
        <f>4*(('01_WHOQOL_Items'!AK375 + '01_WHOQOL_Items'!AL375 + '01_WHOQOL_Items'!AO375 + '01_WHOQOL_Items'!AP375 + '01_WHOQOL_Items'!AQ375 + '01_WHOQOL_Items'!AZ375 + '01_WHOQOL_Items'!BA375 + '01_WHOQOL_Items'!BB375)/8)</f>
        <v>12</v>
      </c>
      <c r="T375" s="4">
        <f t="shared" si="84"/>
        <v>31.25</v>
      </c>
      <c r="U375" s="4">
        <f t="shared" si="85"/>
        <v>50</v>
      </c>
      <c r="V375" s="5">
        <f t="shared" si="86"/>
        <v>0.6</v>
      </c>
      <c r="W375" s="4">
        <f t="shared" si="87"/>
        <v>41.44345238095238</v>
      </c>
      <c r="X375" s="4">
        <f t="shared" si="88"/>
        <v>47.767857142857139</v>
      </c>
      <c r="Y375" s="5">
        <f t="shared" si="89"/>
        <v>0.15260323159784553</v>
      </c>
      <c r="Z375" s="1">
        <f>'01_WHOQOL_Items'!D375</f>
        <v>3</v>
      </c>
      <c r="AA375" s="1">
        <f>'01_WHOQOL_Items'!AD375</f>
        <v>3</v>
      </c>
      <c r="AB375" s="1">
        <f>'01_WHOQOL_Items'!E375</f>
        <v>3</v>
      </c>
      <c r="AC375" s="1">
        <f>'01_WHOQOL_Items'!AE375</f>
        <v>2</v>
      </c>
    </row>
    <row r="376" spans="1:29">
      <c r="A376" s="1" t="str">
        <f>'01_WHOQOL_Items'!A376</f>
        <v>CON-094</v>
      </c>
      <c r="B376" s="1" t="str">
        <f>'01_WHOQOL_Items'!B376</f>
        <v>Control</v>
      </c>
      <c r="C376" s="4">
        <f>4*(((6-'01_WHOQOL_Items'!F376) + (6-'01_WHOQOL_Items'!G376) + '01_WHOQOL_Items'!M376 + '01_WHOQOL_Items'!R376 + '01_WHOQOL_Items'!S376 + '01_WHOQOL_Items'!T376 + '01_WHOQOL_Items'!U376)/7)</f>
        <v>16</v>
      </c>
      <c r="D376" s="4">
        <f>4*(((6-'01_WHOQOL_Items'!AF376) + (6-'01_WHOQOL_Items'!AG376) + '01_WHOQOL_Items'!AM376 + '01_WHOQOL_Items'!AR376 + '01_WHOQOL_Items'!AS376 + '01_WHOQOL_Items'!AT376 + '01_WHOQOL_Items'!AU376)/7)</f>
        <v>13.714285714285714</v>
      </c>
      <c r="E376" s="4">
        <f t="shared" si="75"/>
        <v>75</v>
      </c>
      <c r="F376" s="4">
        <f t="shared" si="76"/>
        <v>60.714285714285708</v>
      </c>
      <c r="G376" s="5">
        <f t="shared" si="77"/>
        <v>-0.19047619047619055</v>
      </c>
      <c r="H376" s="4">
        <f>4*(('01_WHOQOL_Items'!H376 + '01_WHOQOL_Items'!I376 + '01_WHOQOL_Items'!J376 + '01_WHOQOL_Items'!N376 + '01_WHOQOL_Items'!V376 + (6-'01_WHOQOL_Items'!AC376))/6)</f>
        <v>8.6666666666666661</v>
      </c>
      <c r="I376" s="4">
        <f>4*(('01_WHOQOL_Items'!AH376 + '01_WHOQOL_Items'!AI376 + '01_WHOQOL_Items'!AJ376 + '01_WHOQOL_Items'!AN376 + '01_WHOQOL_Items'!AV376 + (6-'01_WHOQOL_Items'!BC376))/6)</f>
        <v>9.3333333333333339</v>
      </c>
      <c r="J376" s="4">
        <f t="shared" si="78"/>
        <v>29.166666666666664</v>
      </c>
      <c r="K376" s="4">
        <f t="shared" si="79"/>
        <v>33.333333333333336</v>
      </c>
      <c r="L376" s="5">
        <f t="shared" si="80"/>
        <v>0.14285714285714304</v>
      </c>
      <c r="M376" s="4">
        <f>4*(('01_WHOQOL_Items'!W376 + '01_WHOQOL_Items'!X376 + '01_WHOQOL_Items'!Y376)/3)</f>
        <v>9.3333333333333339</v>
      </c>
      <c r="N376" s="4">
        <f>4*(('01_WHOQOL_Items'!AW376 + '01_WHOQOL_Items'!AX376 + '01_WHOQOL_Items'!AY376)/3)</f>
        <v>10.666666666666666</v>
      </c>
      <c r="O376" s="4">
        <f t="shared" si="81"/>
        <v>33.333333333333336</v>
      </c>
      <c r="P376" s="4">
        <f t="shared" si="82"/>
        <v>41.666666666666664</v>
      </c>
      <c r="Q376" s="5">
        <f t="shared" si="83"/>
        <v>0.24999999999999983</v>
      </c>
      <c r="R376" s="4">
        <f>4*(('01_WHOQOL_Items'!K376 + '01_WHOQOL_Items'!L376 + '01_WHOQOL_Items'!O376 + '01_WHOQOL_Items'!P376 + '01_WHOQOL_Items'!Q376 + '01_WHOQOL_Items'!Z376 + '01_WHOQOL_Items'!AA376 + '01_WHOQOL_Items'!AB376)/8)</f>
        <v>15.5</v>
      </c>
      <c r="S376" s="4">
        <f>4*(('01_WHOQOL_Items'!AK376 + '01_WHOQOL_Items'!AL376 + '01_WHOQOL_Items'!AO376 + '01_WHOQOL_Items'!AP376 + '01_WHOQOL_Items'!AQ376 + '01_WHOQOL_Items'!AZ376 + '01_WHOQOL_Items'!BA376 + '01_WHOQOL_Items'!BB376)/8)</f>
        <v>16</v>
      </c>
      <c r="T376" s="4">
        <f t="shared" si="84"/>
        <v>71.875</v>
      </c>
      <c r="U376" s="4">
        <f t="shared" si="85"/>
        <v>75</v>
      </c>
      <c r="V376" s="5">
        <f t="shared" si="86"/>
        <v>4.3478260869565216E-2</v>
      </c>
      <c r="W376" s="4">
        <f t="shared" si="87"/>
        <v>52.34375</v>
      </c>
      <c r="X376" s="4">
        <f t="shared" si="88"/>
        <v>52.678571428571423</v>
      </c>
      <c r="Y376" s="5">
        <f t="shared" si="89"/>
        <v>6.3965884861406277E-3</v>
      </c>
      <c r="Z376" s="1">
        <f>'01_WHOQOL_Items'!D376</f>
        <v>4</v>
      </c>
      <c r="AA376" s="1">
        <f>'01_WHOQOL_Items'!AD376</f>
        <v>4</v>
      </c>
      <c r="AB376" s="1">
        <f>'01_WHOQOL_Items'!E376</f>
        <v>3</v>
      </c>
      <c r="AC376" s="1">
        <f>'01_WHOQOL_Items'!AE376</f>
        <v>3</v>
      </c>
    </row>
    <row r="377" spans="1:29">
      <c r="A377" s="1" t="str">
        <f>'01_WHOQOL_Items'!A377</f>
        <v>CON-095</v>
      </c>
      <c r="B377" s="1" t="str">
        <f>'01_WHOQOL_Items'!B377</f>
        <v>Control</v>
      </c>
      <c r="C377" s="4">
        <f>4*(((6-'01_WHOQOL_Items'!F377) + (6-'01_WHOQOL_Items'!G377) + '01_WHOQOL_Items'!M377 + '01_WHOQOL_Items'!R377 + '01_WHOQOL_Items'!S377 + '01_WHOQOL_Items'!T377 + '01_WHOQOL_Items'!U377)/7)</f>
        <v>10.857142857142858</v>
      </c>
      <c r="D377" s="4">
        <f>4*(((6-'01_WHOQOL_Items'!AF377) + (6-'01_WHOQOL_Items'!AG377) + '01_WHOQOL_Items'!AM377 + '01_WHOQOL_Items'!AR377 + '01_WHOQOL_Items'!AS377 + '01_WHOQOL_Items'!AT377 + '01_WHOQOL_Items'!AU377)/7)</f>
        <v>12</v>
      </c>
      <c r="E377" s="4">
        <f t="shared" si="75"/>
        <v>42.857142857142861</v>
      </c>
      <c r="F377" s="4">
        <f t="shared" si="76"/>
        <v>50</v>
      </c>
      <c r="G377" s="5">
        <f t="shared" si="77"/>
        <v>0.16666666666666655</v>
      </c>
      <c r="H377" s="4">
        <f>4*(('01_WHOQOL_Items'!H377 + '01_WHOQOL_Items'!I377 + '01_WHOQOL_Items'!J377 + '01_WHOQOL_Items'!N377 + '01_WHOQOL_Items'!V377 + (6-'01_WHOQOL_Items'!AC377))/6)</f>
        <v>9.3333333333333339</v>
      </c>
      <c r="I377" s="4">
        <f>4*(('01_WHOQOL_Items'!AH377 + '01_WHOQOL_Items'!AI377 + '01_WHOQOL_Items'!AJ377 + '01_WHOQOL_Items'!AN377 + '01_WHOQOL_Items'!AV377 + (6-'01_WHOQOL_Items'!BC377))/6)</f>
        <v>10</v>
      </c>
      <c r="J377" s="4">
        <f t="shared" si="78"/>
        <v>33.333333333333336</v>
      </c>
      <c r="K377" s="4">
        <f t="shared" si="79"/>
        <v>37.5</v>
      </c>
      <c r="L377" s="5">
        <f t="shared" si="80"/>
        <v>0.12499999999999992</v>
      </c>
      <c r="M377" s="4">
        <f>4*(('01_WHOQOL_Items'!W377 + '01_WHOQOL_Items'!X377 + '01_WHOQOL_Items'!Y377)/3)</f>
        <v>6.666666666666667</v>
      </c>
      <c r="N377" s="4">
        <f>4*(('01_WHOQOL_Items'!AW377 + '01_WHOQOL_Items'!AX377 + '01_WHOQOL_Items'!AY377)/3)</f>
        <v>8</v>
      </c>
      <c r="O377" s="4">
        <f t="shared" si="81"/>
        <v>16.666666666666668</v>
      </c>
      <c r="P377" s="4">
        <f t="shared" si="82"/>
        <v>25</v>
      </c>
      <c r="Q377" s="5">
        <f t="shared" si="83"/>
        <v>0.49999999999999989</v>
      </c>
      <c r="R377" s="4">
        <f>4*(('01_WHOQOL_Items'!K377 + '01_WHOQOL_Items'!L377 + '01_WHOQOL_Items'!O377 + '01_WHOQOL_Items'!P377 + '01_WHOQOL_Items'!Q377 + '01_WHOQOL_Items'!Z377 + '01_WHOQOL_Items'!AA377 + '01_WHOQOL_Items'!AB377)/8)</f>
        <v>9</v>
      </c>
      <c r="S377" s="4">
        <f>4*(('01_WHOQOL_Items'!AK377 + '01_WHOQOL_Items'!AL377 + '01_WHOQOL_Items'!AO377 + '01_WHOQOL_Items'!AP377 + '01_WHOQOL_Items'!AQ377 + '01_WHOQOL_Items'!AZ377 + '01_WHOQOL_Items'!BA377 + '01_WHOQOL_Items'!BB377)/8)</f>
        <v>9</v>
      </c>
      <c r="T377" s="4">
        <f t="shared" si="84"/>
        <v>31.25</v>
      </c>
      <c r="U377" s="4">
        <f t="shared" si="85"/>
        <v>31.25</v>
      </c>
      <c r="V377" s="5">
        <f t="shared" si="86"/>
        <v>0</v>
      </c>
      <c r="W377" s="4">
        <f t="shared" si="87"/>
        <v>31.026785714285719</v>
      </c>
      <c r="X377" s="4">
        <f t="shared" si="88"/>
        <v>35.9375</v>
      </c>
      <c r="Y377" s="5">
        <f t="shared" si="89"/>
        <v>0.15827338129496385</v>
      </c>
      <c r="Z377" s="1">
        <f>'01_WHOQOL_Items'!D377</f>
        <v>3</v>
      </c>
      <c r="AA377" s="1">
        <f>'01_WHOQOL_Items'!AD377</f>
        <v>3</v>
      </c>
      <c r="AB377" s="1">
        <f>'01_WHOQOL_Items'!E377</f>
        <v>4</v>
      </c>
      <c r="AC377" s="1">
        <f>'01_WHOQOL_Items'!AE377</f>
        <v>2</v>
      </c>
    </row>
    <row r="378" spans="1:29">
      <c r="A378" s="1" t="str">
        <f>'01_WHOQOL_Items'!A378</f>
        <v>CON-096</v>
      </c>
      <c r="B378" s="1" t="str">
        <f>'01_WHOQOL_Items'!B378</f>
        <v>Control</v>
      </c>
      <c r="C378" s="4">
        <f>4*(((6-'01_WHOQOL_Items'!F378) + (6-'01_WHOQOL_Items'!G378) + '01_WHOQOL_Items'!M378 + '01_WHOQOL_Items'!R378 + '01_WHOQOL_Items'!S378 + '01_WHOQOL_Items'!T378 + '01_WHOQOL_Items'!U378)/7)</f>
        <v>13.142857142857142</v>
      </c>
      <c r="D378" s="4">
        <f>4*(((6-'01_WHOQOL_Items'!AF378) + (6-'01_WHOQOL_Items'!AG378) + '01_WHOQOL_Items'!AM378 + '01_WHOQOL_Items'!AR378 + '01_WHOQOL_Items'!AS378 + '01_WHOQOL_Items'!AT378 + '01_WHOQOL_Items'!AU378)/7)</f>
        <v>13.714285714285714</v>
      </c>
      <c r="E378" s="4">
        <f t="shared" si="75"/>
        <v>57.142857142857139</v>
      </c>
      <c r="F378" s="4">
        <f t="shared" si="76"/>
        <v>60.714285714285708</v>
      </c>
      <c r="G378" s="5">
        <f t="shared" si="77"/>
        <v>6.2499999999999972E-2</v>
      </c>
      <c r="H378" s="4">
        <f>4*(('01_WHOQOL_Items'!H378 + '01_WHOQOL_Items'!I378 + '01_WHOQOL_Items'!J378 + '01_WHOQOL_Items'!N378 + '01_WHOQOL_Items'!V378 + (6-'01_WHOQOL_Items'!AC378))/6)</f>
        <v>11.333333333333334</v>
      </c>
      <c r="I378" s="4">
        <f>4*(('01_WHOQOL_Items'!AH378 + '01_WHOQOL_Items'!AI378 + '01_WHOQOL_Items'!AJ378 + '01_WHOQOL_Items'!AN378 + '01_WHOQOL_Items'!AV378 + (6-'01_WHOQOL_Items'!BC378))/6)</f>
        <v>8.6666666666666661</v>
      </c>
      <c r="J378" s="4">
        <f t="shared" si="78"/>
        <v>45.833333333333336</v>
      </c>
      <c r="K378" s="4">
        <f t="shared" si="79"/>
        <v>29.166666666666664</v>
      </c>
      <c r="L378" s="5">
        <f t="shared" si="80"/>
        <v>-0.3636363636363637</v>
      </c>
      <c r="M378" s="4">
        <f>4*(('01_WHOQOL_Items'!W378 + '01_WHOQOL_Items'!X378 + '01_WHOQOL_Items'!Y378)/3)</f>
        <v>12</v>
      </c>
      <c r="N378" s="4">
        <f>4*(('01_WHOQOL_Items'!AW378 + '01_WHOQOL_Items'!AX378 + '01_WHOQOL_Items'!AY378)/3)</f>
        <v>13.333333333333334</v>
      </c>
      <c r="O378" s="4">
        <f t="shared" si="81"/>
        <v>50</v>
      </c>
      <c r="P378" s="4">
        <f t="shared" si="82"/>
        <v>58.333333333333336</v>
      </c>
      <c r="Q378" s="5">
        <f t="shared" si="83"/>
        <v>0.16666666666666671</v>
      </c>
      <c r="R378" s="4">
        <f>4*(('01_WHOQOL_Items'!K378 + '01_WHOQOL_Items'!L378 + '01_WHOQOL_Items'!O378 + '01_WHOQOL_Items'!P378 + '01_WHOQOL_Items'!Q378 + '01_WHOQOL_Items'!Z378 + '01_WHOQOL_Items'!AA378 + '01_WHOQOL_Items'!AB378)/8)</f>
        <v>12.5</v>
      </c>
      <c r="S378" s="4">
        <f>4*(('01_WHOQOL_Items'!AK378 + '01_WHOQOL_Items'!AL378 + '01_WHOQOL_Items'!AO378 + '01_WHOQOL_Items'!AP378 + '01_WHOQOL_Items'!AQ378 + '01_WHOQOL_Items'!AZ378 + '01_WHOQOL_Items'!BA378 + '01_WHOQOL_Items'!BB378)/8)</f>
        <v>11.5</v>
      </c>
      <c r="T378" s="4">
        <f t="shared" si="84"/>
        <v>53.125</v>
      </c>
      <c r="U378" s="4">
        <f t="shared" si="85"/>
        <v>46.875</v>
      </c>
      <c r="V378" s="5">
        <f t="shared" si="86"/>
        <v>-0.11764705882352941</v>
      </c>
      <c r="W378" s="4">
        <f t="shared" si="87"/>
        <v>51.52529761904762</v>
      </c>
      <c r="X378" s="4">
        <f t="shared" si="88"/>
        <v>48.772321428571431</v>
      </c>
      <c r="Y378" s="5">
        <f t="shared" si="89"/>
        <v>-5.3429602888086625E-2</v>
      </c>
      <c r="Z378" s="1">
        <f>'01_WHOQOL_Items'!D378</f>
        <v>4</v>
      </c>
      <c r="AA378" s="1">
        <f>'01_WHOQOL_Items'!AD378</f>
        <v>3</v>
      </c>
      <c r="AB378" s="1">
        <f>'01_WHOQOL_Items'!E378</f>
        <v>2</v>
      </c>
      <c r="AC378" s="1">
        <f>'01_WHOQOL_Items'!AE378</f>
        <v>3</v>
      </c>
    </row>
    <row r="379" spans="1:29">
      <c r="A379" s="1" t="str">
        <f>'01_WHOQOL_Items'!A379</f>
        <v>CON-097</v>
      </c>
      <c r="B379" s="1" t="str">
        <f>'01_WHOQOL_Items'!B379</f>
        <v>Control</v>
      </c>
      <c r="C379" s="4">
        <f>4*(((6-'01_WHOQOL_Items'!F379) + (6-'01_WHOQOL_Items'!G379) + '01_WHOQOL_Items'!M379 + '01_WHOQOL_Items'!R379 + '01_WHOQOL_Items'!S379 + '01_WHOQOL_Items'!T379 + '01_WHOQOL_Items'!U379)/7)</f>
        <v>14.285714285714286</v>
      </c>
      <c r="D379" s="4">
        <f>4*(((6-'01_WHOQOL_Items'!AF379) + (6-'01_WHOQOL_Items'!AG379) + '01_WHOQOL_Items'!AM379 + '01_WHOQOL_Items'!AR379 + '01_WHOQOL_Items'!AS379 + '01_WHOQOL_Items'!AT379 + '01_WHOQOL_Items'!AU379)/7)</f>
        <v>13.714285714285714</v>
      </c>
      <c r="E379" s="4">
        <f t="shared" si="75"/>
        <v>64.285714285714292</v>
      </c>
      <c r="F379" s="4">
        <f t="shared" si="76"/>
        <v>60.714285714285708</v>
      </c>
      <c r="G379" s="5">
        <f t="shared" si="77"/>
        <v>-5.555555555555574E-2</v>
      </c>
      <c r="H379" s="4">
        <f>4*(('01_WHOQOL_Items'!H379 + '01_WHOQOL_Items'!I379 + '01_WHOQOL_Items'!J379 + '01_WHOQOL_Items'!N379 + '01_WHOQOL_Items'!V379 + (6-'01_WHOQOL_Items'!AC379))/6)</f>
        <v>10</v>
      </c>
      <c r="I379" s="4">
        <f>4*(('01_WHOQOL_Items'!AH379 + '01_WHOQOL_Items'!AI379 + '01_WHOQOL_Items'!AJ379 + '01_WHOQOL_Items'!AN379 + '01_WHOQOL_Items'!AV379 + (6-'01_WHOQOL_Items'!BC379))/6)</f>
        <v>12</v>
      </c>
      <c r="J379" s="4">
        <f t="shared" si="78"/>
        <v>37.5</v>
      </c>
      <c r="K379" s="4">
        <f t="shared" si="79"/>
        <v>50</v>
      </c>
      <c r="L379" s="5">
        <f t="shared" si="80"/>
        <v>0.33333333333333331</v>
      </c>
      <c r="M379" s="4">
        <f>4*(('01_WHOQOL_Items'!W379 + '01_WHOQOL_Items'!X379 + '01_WHOQOL_Items'!Y379)/3)</f>
        <v>9.3333333333333339</v>
      </c>
      <c r="N379" s="4">
        <f>4*(('01_WHOQOL_Items'!AW379 + '01_WHOQOL_Items'!AX379 + '01_WHOQOL_Items'!AY379)/3)</f>
        <v>12</v>
      </c>
      <c r="O379" s="4">
        <f t="shared" si="81"/>
        <v>33.333333333333336</v>
      </c>
      <c r="P379" s="4">
        <f t="shared" si="82"/>
        <v>50</v>
      </c>
      <c r="Q379" s="5">
        <f t="shared" si="83"/>
        <v>0.49999999999999989</v>
      </c>
      <c r="R379" s="4">
        <f>4*(('01_WHOQOL_Items'!K379 + '01_WHOQOL_Items'!L379 + '01_WHOQOL_Items'!O379 + '01_WHOQOL_Items'!P379 + '01_WHOQOL_Items'!Q379 + '01_WHOQOL_Items'!Z379 + '01_WHOQOL_Items'!AA379 + '01_WHOQOL_Items'!AB379)/8)</f>
        <v>13.5</v>
      </c>
      <c r="S379" s="4">
        <f>4*(('01_WHOQOL_Items'!AK379 + '01_WHOQOL_Items'!AL379 + '01_WHOQOL_Items'!AO379 + '01_WHOQOL_Items'!AP379 + '01_WHOQOL_Items'!AQ379 + '01_WHOQOL_Items'!AZ379 + '01_WHOQOL_Items'!BA379 + '01_WHOQOL_Items'!BB379)/8)</f>
        <v>13</v>
      </c>
      <c r="T379" s="4">
        <f t="shared" si="84"/>
        <v>59.375</v>
      </c>
      <c r="U379" s="4">
        <f t="shared" si="85"/>
        <v>56.25</v>
      </c>
      <c r="V379" s="5">
        <f t="shared" si="86"/>
        <v>-5.2631578947368418E-2</v>
      </c>
      <c r="W379" s="4">
        <f t="shared" si="87"/>
        <v>48.623511904761905</v>
      </c>
      <c r="X379" s="4">
        <f t="shared" si="88"/>
        <v>54.241071428571431</v>
      </c>
      <c r="Y379" s="5">
        <f t="shared" si="89"/>
        <v>0.11553175210405513</v>
      </c>
      <c r="Z379" s="1">
        <f>'01_WHOQOL_Items'!D379</f>
        <v>3</v>
      </c>
      <c r="AA379" s="1">
        <f>'01_WHOQOL_Items'!AD379</f>
        <v>4</v>
      </c>
      <c r="AB379" s="1">
        <f>'01_WHOQOL_Items'!E379</f>
        <v>4</v>
      </c>
      <c r="AC379" s="1">
        <f>'01_WHOQOL_Items'!AE379</f>
        <v>3</v>
      </c>
    </row>
    <row r="380" spans="1:29">
      <c r="A380" s="1" t="str">
        <f>'01_WHOQOL_Items'!A380</f>
        <v>CON-098</v>
      </c>
      <c r="B380" s="1" t="str">
        <f>'01_WHOQOL_Items'!B380</f>
        <v>Control</v>
      </c>
      <c r="C380" s="4">
        <f>4*(((6-'01_WHOQOL_Items'!F380) + (6-'01_WHOQOL_Items'!G380) + '01_WHOQOL_Items'!M380 + '01_WHOQOL_Items'!R380 + '01_WHOQOL_Items'!S380 + '01_WHOQOL_Items'!T380 + '01_WHOQOL_Items'!U380)/7)</f>
        <v>16</v>
      </c>
      <c r="D380" s="4">
        <f>4*(((6-'01_WHOQOL_Items'!AF380) + (6-'01_WHOQOL_Items'!AG380) + '01_WHOQOL_Items'!AM380 + '01_WHOQOL_Items'!AR380 + '01_WHOQOL_Items'!AS380 + '01_WHOQOL_Items'!AT380 + '01_WHOQOL_Items'!AU380)/7)</f>
        <v>13.714285714285714</v>
      </c>
      <c r="E380" s="4">
        <f t="shared" si="75"/>
        <v>75</v>
      </c>
      <c r="F380" s="4">
        <f t="shared" si="76"/>
        <v>60.714285714285708</v>
      </c>
      <c r="G380" s="5">
        <f t="shared" si="77"/>
        <v>-0.19047619047619055</v>
      </c>
      <c r="H380" s="4">
        <f>4*(('01_WHOQOL_Items'!H380 + '01_WHOQOL_Items'!I380 + '01_WHOQOL_Items'!J380 + '01_WHOQOL_Items'!N380 + '01_WHOQOL_Items'!V380 + (6-'01_WHOQOL_Items'!AC380))/6)</f>
        <v>15.333333333333334</v>
      </c>
      <c r="I380" s="4">
        <f>4*(('01_WHOQOL_Items'!AH380 + '01_WHOQOL_Items'!AI380 + '01_WHOQOL_Items'!AJ380 + '01_WHOQOL_Items'!AN380 + '01_WHOQOL_Items'!AV380 + (6-'01_WHOQOL_Items'!BC380))/6)</f>
        <v>14</v>
      </c>
      <c r="J380" s="4">
        <f t="shared" si="78"/>
        <v>70.833333333333343</v>
      </c>
      <c r="K380" s="4">
        <f t="shared" si="79"/>
        <v>62.5</v>
      </c>
      <c r="L380" s="5">
        <f t="shared" si="80"/>
        <v>-0.11764705882352954</v>
      </c>
      <c r="M380" s="4">
        <f>4*(('01_WHOQOL_Items'!W380 + '01_WHOQOL_Items'!X380 + '01_WHOQOL_Items'!Y380)/3)</f>
        <v>14.666666666666666</v>
      </c>
      <c r="N380" s="4">
        <f>4*(('01_WHOQOL_Items'!AW380 + '01_WHOQOL_Items'!AX380 + '01_WHOQOL_Items'!AY380)/3)</f>
        <v>13.333333333333334</v>
      </c>
      <c r="O380" s="4">
        <f t="shared" si="81"/>
        <v>66.666666666666657</v>
      </c>
      <c r="P380" s="4">
        <f t="shared" si="82"/>
        <v>58.333333333333336</v>
      </c>
      <c r="Q380" s="5">
        <f t="shared" si="83"/>
        <v>-0.12499999999999983</v>
      </c>
      <c r="R380" s="4">
        <f>4*(('01_WHOQOL_Items'!K380 + '01_WHOQOL_Items'!L380 + '01_WHOQOL_Items'!O380 + '01_WHOQOL_Items'!P380 + '01_WHOQOL_Items'!Q380 + '01_WHOQOL_Items'!Z380 + '01_WHOQOL_Items'!AA380 + '01_WHOQOL_Items'!AB380)/8)</f>
        <v>12</v>
      </c>
      <c r="S380" s="4">
        <f>4*(('01_WHOQOL_Items'!AK380 + '01_WHOQOL_Items'!AL380 + '01_WHOQOL_Items'!AO380 + '01_WHOQOL_Items'!AP380 + '01_WHOQOL_Items'!AQ380 + '01_WHOQOL_Items'!AZ380 + '01_WHOQOL_Items'!BA380 + '01_WHOQOL_Items'!BB380)/8)</f>
        <v>13.5</v>
      </c>
      <c r="T380" s="4">
        <f t="shared" si="84"/>
        <v>50</v>
      </c>
      <c r="U380" s="4">
        <f t="shared" si="85"/>
        <v>59.375</v>
      </c>
      <c r="V380" s="5">
        <f t="shared" si="86"/>
        <v>0.1875</v>
      </c>
      <c r="W380" s="4">
        <f t="shared" si="87"/>
        <v>65.625</v>
      </c>
      <c r="X380" s="4">
        <f t="shared" si="88"/>
        <v>60.230654761904759</v>
      </c>
      <c r="Y380" s="5">
        <f t="shared" si="89"/>
        <v>-8.2199546485260816E-2</v>
      </c>
      <c r="Z380" s="1">
        <f>'01_WHOQOL_Items'!D380</f>
        <v>3</v>
      </c>
      <c r="AA380" s="1">
        <f>'01_WHOQOL_Items'!AD380</f>
        <v>3</v>
      </c>
      <c r="AB380" s="1">
        <f>'01_WHOQOL_Items'!E380</f>
        <v>3</v>
      </c>
      <c r="AC380" s="1">
        <f>'01_WHOQOL_Items'!AE380</f>
        <v>4</v>
      </c>
    </row>
    <row r="381" spans="1:29">
      <c r="A381" s="1" t="str">
        <f>'01_WHOQOL_Items'!A381</f>
        <v>CON-099</v>
      </c>
      <c r="B381" s="1" t="str">
        <f>'01_WHOQOL_Items'!B381</f>
        <v>Control</v>
      </c>
      <c r="C381" s="4">
        <f>4*(((6-'01_WHOQOL_Items'!F381) + (6-'01_WHOQOL_Items'!G381) + '01_WHOQOL_Items'!M381 + '01_WHOQOL_Items'!R381 + '01_WHOQOL_Items'!S381 + '01_WHOQOL_Items'!T381 + '01_WHOQOL_Items'!U381)/7)</f>
        <v>14.285714285714286</v>
      </c>
      <c r="D381" s="4">
        <f>4*(((6-'01_WHOQOL_Items'!AF381) + (6-'01_WHOQOL_Items'!AG381) + '01_WHOQOL_Items'!AM381 + '01_WHOQOL_Items'!AR381 + '01_WHOQOL_Items'!AS381 + '01_WHOQOL_Items'!AT381 + '01_WHOQOL_Items'!AU381)/7)</f>
        <v>13.714285714285714</v>
      </c>
      <c r="E381" s="4">
        <f t="shared" si="75"/>
        <v>64.285714285714292</v>
      </c>
      <c r="F381" s="4">
        <f t="shared" si="76"/>
        <v>60.714285714285708</v>
      </c>
      <c r="G381" s="5">
        <f t="shared" si="77"/>
        <v>-5.555555555555574E-2</v>
      </c>
      <c r="H381" s="4">
        <f>4*(('01_WHOQOL_Items'!H381 + '01_WHOQOL_Items'!I381 + '01_WHOQOL_Items'!J381 + '01_WHOQOL_Items'!N381 + '01_WHOQOL_Items'!V381 + (6-'01_WHOQOL_Items'!AC381))/6)</f>
        <v>14.666666666666666</v>
      </c>
      <c r="I381" s="4">
        <f>4*(('01_WHOQOL_Items'!AH381 + '01_WHOQOL_Items'!AI381 + '01_WHOQOL_Items'!AJ381 + '01_WHOQOL_Items'!AN381 + '01_WHOQOL_Items'!AV381 + (6-'01_WHOQOL_Items'!BC381))/6)</f>
        <v>13.333333333333334</v>
      </c>
      <c r="J381" s="4">
        <f t="shared" si="78"/>
        <v>66.666666666666657</v>
      </c>
      <c r="K381" s="4">
        <f t="shared" si="79"/>
        <v>58.333333333333336</v>
      </c>
      <c r="L381" s="5">
        <f t="shared" si="80"/>
        <v>-0.12499999999999983</v>
      </c>
      <c r="M381" s="4">
        <f>4*(('01_WHOQOL_Items'!W381 + '01_WHOQOL_Items'!X381 + '01_WHOQOL_Items'!Y381)/3)</f>
        <v>12</v>
      </c>
      <c r="N381" s="4">
        <f>4*(('01_WHOQOL_Items'!AW381 + '01_WHOQOL_Items'!AX381 + '01_WHOQOL_Items'!AY381)/3)</f>
        <v>13.333333333333334</v>
      </c>
      <c r="O381" s="4">
        <f t="shared" si="81"/>
        <v>50</v>
      </c>
      <c r="P381" s="4">
        <f t="shared" si="82"/>
        <v>58.333333333333336</v>
      </c>
      <c r="Q381" s="5">
        <f t="shared" si="83"/>
        <v>0.16666666666666671</v>
      </c>
      <c r="R381" s="4">
        <f>4*(('01_WHOQOL_Items'!K381 + '01_WHOQOL_Items'!L381 + '01_WHOQOL_Items'!O381 + '01_WHOQOL_Items'!P381 + '01_WHOQOL_Items'!Q381 + '01_WHOQOL_Items'!Z381 + '01_WHOQOL_Items'!AA381 + '01_WHOQOL_Items'!AB381)/8)</f>
        <v>12</v>
      </c>
      <c r="S381" s="4">
        <f>4*(('01_WHOQOL_Items'!AK381 + '01_WHOQOL_Items'!AL381 + '01_WHOQOL_Items'!AO381 + '01_WHOQOL_Items'!AP381 + '01_WHOQOL_Items'!AQ381 + '01_WHOQOL_Items'!AZ381 + '01_WHOQOL_Items'!BA381 + '01_WHOQOL_Items'!BB381)/8)</f>
        <v>11.5</v>
      </c>
      <c r="T381" s="4">
        <f t="shared" si="84"/>
        <v>50</v>
      </c>
      <c r="U381" s="4">
        <f t="shared" si="85"/>
        <v>46.875</v>
      </c>
      <c r="V381" s="5">
        <f t="shared" si="86"/>
        <v>-6.25E-2</v>
      </c>
      <c r="W381" s="4">
        <f t="shared" si="87"/>
        <v>57.738095238095241</v>
      </c>
      <c r="X381" s="4">
        <f t="shared" si="88"/>
        <v>56.063988095238095</v>
      </c>
      <c r="Y381" s="5">
        <f t="shared" si="89"/>
        <v>-2.8994845360824795E-2</v>
      </c>
      <c r="Z381" s="1">
        <f>'01_WHOQOL_Items'!D381</f>
        <v>3</v>
      </c>
      <c r="AA381" s="1">
        <f>'01_WHOQOL_Items'!AD381</f>
        <v>3</v>
      </c>
      <c r="AB381" s="1">
        <f>'01_WHOQOL_Items'!E381</f>
        <v>3</v>
      </c>
      <c r="AC381" s="1">
        <f>'01_WHOQOL_Items'!AE381</f>
        <v>3</v>
      </c>
    </row>
    <row r="382" spans="1:29">
      <c r="A382" s="1" t="str">
        <f>'01_WHOQOL_Items'!A382</f>
        <v>CON-100</v>
      </c>
      <c r="B382" s="1" t="str">
        <f>'01_WHOQOL_Items'!B382</f>
        <v>Control</v>
      </c>
      <c r="C382" s="4">
        <f>4*(((6-'01_WHOQOL_Items'!F382) + (6-'01_WHOQOL_Items'!G382) + '01_WHOQOL_Items'!M382 + '01_WHOQOL_Items'!R382 + '01_WHOQOL_Items'!S382 + '01_WHOQOL_Items'!T382 + '01_WHOQOL_Items'!U382)/7)</f>
        <v>12.571428571428571</v>
      </c>
      <c r="D382" s="4">
        <f>4*(((6-'01_WHOQOL_Items'!AF382) + (6-'01_WHOQOL_Items'!AG382) + '01_WHOQOL_Items'!AM382 + '01_WHOQOL_Items'!AR382 + '01_WHOQOL_Items'!AS382 + '01_WHOQOL_Items'!AT382 + '01_WHOQOL_Items'!AU382)/7)</f>
        <v>11.428571428571429</v>
      </c>
      <c r="E382" s="4">
        <f t="shared" si="75"/>
        <v>53.571428571428569</v>
      </c>
      <c r="F382" s="4">
        <f t="shared" si="76"/>
        <v>46.428571428571431</v>
      </c>
      <c r="G382" s="5">
        <f t="shared" si="77"/>
        <v>-0.13333333333333328</v>
      </c>
      <c r="H382" s="4">
        <f>4*(('01_WHOQOL_Items'!H382 + '01_WHOQOL_Items'!I382 + '01_WHOQOL_Items'!J382 + '01_WHOQOL_Items'!N382 + '01_WHOQOL_Items'!V382 + (6-'01_WHOQOL_Items'!AC382))/6)</f>
        <v>8.6666666666666661</v>
      </c>
      <c r="I382" s="4">
        <f>4*(('01_WHOQOL_Items'!AH382 + '01_WHOQOL_Items'!AI382 + '01_WHOQOL_Items'!AJ382 + '01_WHOQOL_Items'!AN382 + '01_WHOQOL_Items'!AV382 + (6-'01_WHOQOL_Items'!BC382))/6)</f>
        <v>8.6666666666666661</v>
      </c>
      <c r="J382" s="4">
        <f t="shared" si="78"/>
        <v>29.166666666666664</v>
      </c>
      <c r="K382" s="4">
        <f t="shared" si="79"/>
        <v>29.166666666666664</v>
      </c>
      <c r="L382" s="5">
        <f t="shared" si="80"/>
        <v>0</v>
      </c>
      <c r="M382" s="4">
        <f>4*(('01_WHOQOL_Items'!W382 + '01_WHOQOL_Items'!X382 + '01_WHOQOL_Items'!Y382)/3)</f>
        <v>12</v>
      </c>
      <c r="N382" s="4">
        <f>4*(('01_WHOQOL_Items'!AW382 + '01_WHOQOL_Items'!AX382 + '01_WHOQOL_Items'!AY382)/3)</f>
        <v>13.333333333333334</v>
      </c>
      <c r="O382" s="4">
        <f t="shared" si="81"/>
        <v>50</v>
      </c>
      <c r="P382" s="4">
        <f t="shared" si="82"/>
        <v>58.333333333333336</v>
      </c>
      <c r="Q382" s="5">
        <f t="shared" si="83"/>
        <v>0.16666666666666671</v>
      </c>
      <c r="R382" s="4">
        <f>4*(('01_WHOQOL_Items'!K382 + '01_WHOQOL_Items'!L382 + '01_WHOQOL_Items'!O382 + '01_WHOQOL_Items'!P382 + '01_WHOQOL_Items'!Q382 + '01_WHOQOL_Items'!Z382 + '01_WHOQOL_Items'!AA382 + '01_WHOQOL_Items'!AB382)/8)</f>
        <v>15.5</v>
      </c>
      <c r="S382" s="4">
        <f>4*(('01_WHOQOL_Items'!AK382 + '01_WHOQOL_Items'!AL382 + '01_WHOQOL_Items'!AO382 + '01_WHOQOL_Items'!AP382 + '01_WHOQOL_Items'!AQ382 + '01_WHOQOL_Items'!AZ382 + '01_WHOQOL_Items'!BA382 + '01_WHOQOL_Items'!BB382)/8)</f>
        <v>13.5</v>
      </c>
      <c r="T382" s="4">
        <f t="shared" si="84"/>
        <v>71.875</v>
      </c>
      <c r="U382" s="4">
        <f t="shared" si="85"/>
        <v>59.375</v>
      </c>
      <c r="V382" s="5">
        <f t="shared" si="86"/>
        <v>-0.17391304347826086</v>
      </c>
      <c r="W382" s="4">
        <f t="shared" si="87"/>
        <v>51.15327380952381</v>
      </c>
      <c r="X382" s="4">
        <f t="shared" si="88"/>
        <v>48.325892857142861</v>
      </c>
      <c r="Y382" s="5">
        <f t="shared" si="89"/>
        <v>-5.5272727272727203E-2</v>
      </c>
      <c r="Z382" s="1">
        <f>'01_WHOQOL_Items'!D382</f>
        <v>3</v>
      </c>
      <c r="AA382" s="1">
        <f>'01_WHOQOL_Items'!AD382</f>
        <v>4</v>
      </c>
      <c r="AB382" s="1">
        <f>'01_WHOQOL_Items'!E382</f>
        <v>3</v>
      </c>
      <c r="AC382" s="1">
        <f>'01_WHOQOL_Items'!AE382</f>
        <v>3</v>
      </c>
    </row>
    <row r="383" spans="1:29">
      <c r="A383" s="1" t="str">
        <f>'01_WHOQOL_Items'!A383</f>
        <v>CON-101</v>
      </c>
      <c r="B383" s="1" t="str">
        <f>'01_WHOQOL_Items'!B383</f>
        <v>Control</v>
      </c>
      <c r="C383" s="4">
        <f>4*(((6-'01_WHOQOL_Items'!F383) + (6-'01_WHOQOL_Items'!G383) + '01_WHOQOL_Items'!M383 + '01_WHOQOL_Items'!R383 + '01_WHOQOL_Items'!S383 + '01_WHOQOL_Items'!T383 + '01_WHOQOL_Items'!U383)/7)</f>
        <v>11.428571428571429</v>
      </c>
      <c r="D383" s="4">
        <f>4*(((6-'01_WHOQOL_Items'!AF383) + (6-'01_WHOQOL_Items'!AG383) + '01_WHOQOL_Items'!AM383 + '01_WHOQOL_Items'!AR383 + '01_WHOQOL_Items'!AS383 + '01_WHOQOL_Items'!AT383 + '01_WHOQOL_Items'!AU383)/7)</f>
        <v>12</v>
      </c>
      <c r="E383" s="4">
        <f t="shared" si="75"/>
        <v>46.428571428571431</v>
      </c>
      <c r="F383" s="4">
        <f t="shared" si="76"/>
        <v>50</v>
      </c>
      <c r="G383" s="5">
        <f t="shared" si="77"/>
        <v>7.6923076923076872E-2</v>
      </c>
      <c r="H383" s="4">
        <f>4*(('01_WHOQOL_Items'!H383 + '01_WHOQOL_Items'!I383 + '01_WHOQOL_Items'!J383 + '01_WHOQOL_Items'!N383 + '01_WHOQOL_Items'!V383 + (6-'01_WHOQOL_Items'!AC383))/6)</f>
        <v>10.666666666666666</v>
      </c>
      <c r="I383" s="4">
        <f>4*(('01_WHOQOL_Items'!AH383 + '01_WHOQOL_Items'!AI383 + '01_WHOQOL_Items'!AJ383 + '01_WHOQOL_Items'!AN383 + '01_WHOQOL_Items'!AV383 + (6-'01_WHOQOL_Items'!BC383))/6)</f>
        <v>10.666666666666666</v>
      </c>
      <c r="J383" s="4">
        <f t="shared" si="78"/>
        <v>41.666666666666664</v>
      </c>
      <c r="K383" s="4">
        <f t="shared" si="79"/>
        <v>41.666666666666664</v>
      </c>
      <c r="L383" s="5">
        <f t="shared" si="80"/>
        <v>0</v>
      </c>
      <c r="M383" s="4">
        <f>4*(('01_WHOQOL_Items'!W383 + '01_WHOQOL_Items'!X383 + '01_WHOQOL_Items'!Y383)/3)</f>
        <v>10.666666666666666</v>
      </c>
      <c r="N383" s="4">
        <f>4*(('01_WHOQOL_Items'!AW383 + '01_WHOQOL_Items'!AX383 + '01_WHOQOL_Items'!AY383)/3)</f>
        <v>12</v>
      </c>
      <c r="O383" s="4">
        <f t="shared" si="81"/>
        <v>41.666666666666664</v>
      </c>
      <c r="P383" s="4">
        <f t="shared" si="82"/>
        <v>50</v>
      </c>
      <c r="Q383" s="5">
        <f t="shared" si="83"/>
        <v>0.20000000000000007</v>
      </c>
      <c r="R383" s="4">
        <f>4*(('01_WHOQOL_Items'!K383 + '01_WHOQOL_Items'!L383 + '01_WHOQOL_Items'!O383 + '01_WHOQOL_Items'!P383 + '01_WHOQOL_Items'!Q383 + '01_WHOQOL_Items'!Z383 + '01_WHOQOL_Items'!AA383 + '01_WHOQOL_Items'!AB383)/8)</f>
        <v>13</v>
      </c>
      <c r="S383" s="4">
        <f>4*(('01_WHOQOL_Items'!AK383 + '01_WHOQOL_Items'!AL383 + '01_WHOQOL_Items'!AO383 + '01_WHOQOL_Items'!AP383 + '01_WHOQOL_Items'!AQ383 + '01_WHOQOL_Items'!AZ383 + '01_WHOQOL_Items'!BA383 + '01_WHOQOL_Items'!BB383)/8)</f>
        <v>14</v>
      </c>
      <c r="T383" s="4">
        <f t="shared" si="84"/>
        <v>56.25</v>
      </c>
      <c r="U383" s="4">
        <f t="shared" si="85"/>
        <v>62.5</v>
      </c>
      <c r="V383" s="5">
        <f t="shared" si="86"/>
        <v>0.1111111111111111</v>
      </c>
      <c r="W383" s="4">
        <f t="shared" si="87"/>
        <v>46.50297619047619</v>
      </c>
      <c r="X383" s="4">
        <f t="shared" si="88"/>
        <v>51.041666666666664</v>
      </c>
      <c r="Y383" s="5">
        <f t="shared" si="89"/>
        <v>9.7599999999999965E-2</v>
      </c>
      <c r="Z383" s="1">
        <f>'01_WHOQOL_Items'!D383</f>
        <v>3</v>
      </c>
      <c r="AA383" s="1">
        <f>'01_WHOQOL_Items'!AD383</f>
        <v>3</v>
      </c>
      <c r="AB383" s="1">
        <f>'01_WHOQOL_Items'!E383</f>
        <v>3</v>
      </c>
      <c r="AC383" s="1">
        <f>'01_WHOQOL_Items'!AE383</f>
        <v>3</v>
      </c>
    </row>
    <row r="384" spans="1:29">
      <c r="A384" s="1" t="str">
        <f>'01_WHOQOL_Items'!A384</f>
        <v>CON-102</v>
      </c>
      <c r="B384" s="1" t="str">
        <f>'01_WHOQOL_Items'!B384</f>
        <v>Control</v>
      </c>
      <c r="C384" s="4">
        <f>4*(((6-'01_WHOQOL_Items'!F384) + (6-'01_WHOQOL_Items'!G384) + '01_WHOQOL_Items'!M384 + '01_WHOQOL_Items'!R384 + '01_WHOQOL_Items'!S384 + '01_WHOQOL_Items'!T384 + '01_WHOQOL_Items'!U384)/7)</f>
        <v>13.714285714285714</v>
      </c>
      <c r="D384" s="4">
        <f>4*(((6-'01_WHOQOL_Items'!AF384) + (6-'01_WHOQOL_Items'!AG384) + '01_WHOQOL_Items'!AM384 + '01_WHOQOL_Items'!AR384 + '01_WHOQOL_Items'!AS384 + '01_WHOQOL_Items'!AT384 + '01_WHOQOL_Items'!AU384)/7)</f>
        <v>16</v>
      </c>
      <c r="E384" s="4">
        <f t="shared" si="75"/>
        <v>60.714285714285708</v>
      </c>
      <c r="F384" s="4">
        <f t="shared" si="76"/>
        <v>75</v>
      </c>
      <c r="G384" s="5">
        <f t="shared" si="77"/>
        <v>0.23529411764705896</v>
      </c>
      <c r="H384" s="4">
        <f>4*(('01_WHOQOL_Items'!H384 + '01_WHOQOL_Items'!I384 + '01_WHOQOL_Items'!J384 + '01_WHOQOL_Items'!N384 + '01_WHOQOL_Items'!V384 + (6-'01_WHOQOL_Items'!AC384))/6)</f>
        <v>14</v>
      </c>
      <c r="I384" s="4">
        <f>4*(('01_WHOQOL_Items'!AH384 + '01_WHOQOL_Items'!AI384 + '01_WHOQOL_Items'!AJ384 + '01_WHOQOL_Items'!AN384 + '01_WHOQOL_Items'!AV384 + (6-'01_WHOQOL_Items'!BC384))/6)</f>
        <v>14</v>
      </c>
      <c r="J384" s="4">
        <f t="shared" si="78"/>
        <v>62.5</v>
      </c>
      <c r="K384" s="4">
        <f t="shared" si="79"/>
        <v>62.5</v>
      </c>
      <c r="L384" s="5">
        <f t="shared" si="80"/>
        <v>0</v>
      </c>
      <c r="M384" s="4">
        <f>4*(('01_WHOQOL_Items'!W384 + '01_WHOQOL_Items'!X384 + '01_WHOQOL_Items'!Y384)/3)</f>
        <v>9.3333333333333339</v>
      </c>
      <c r="N384" s="4">
        <f>4*(('01_WHOQOL_Items'!AW384 + '01_WHOQOL_Items'!AX384 + '01_WHOQOL_Items'!AY384)/3)</f>
        <v>10.666666666666666</v>
      </c>
      <c r="O384" s="4">
        <f t="shared" si="81"/>
        <v>33.333333333333336</v>
      </c>
      <c r="P384" s="4">
        <f t="shared" si="82"/>
        <v>41.666666666666664</v>
      </c>
      <c r="Q384" s="5">
        <f t="shared" si="83"/>
        <v>0.24999999999999983</v>
      </c>
      <c r="R384" s="4">
        <f>4*(('01_WHOQOL_Items'!K384 + '01_WHOQOL_Items'!L384 + '01_WHOQOL_Items'!O384 + '01_WHOQOL_Items'!P384 + '01_WHOQOL_Items'!Q384 + '01_WHOQOL_Items'!Z384 + '01_WHOQOL_Items'!AA384 + '01_WHOQOL_Items'!AB384)/8)</f>
        <v>14</v>
      </c>
      <c r="S384" s="4">
        <f>4*(('01_WHOQOL_Items'!AK384 + '01_WHOQOL_Items'!AL384 + '01_WHOQOL_Items'!AO384 + '01_WHOQOL_Items'!AP384 + '01_WHOQOL_Items'!AQ384 + '01_WHOQOL_Items'!AZ384 + '01_WHOQOL_Items'!BA384 + '01_WHOQOL_Items'!BB384)/8)</f>
        <v>16</v>
      </c>
      <c r="T384" s="4">
        <f t="shared" si="84"/>
        <v>62.5</v>
      </c>
      <c r="U384" s="4">
        <f t="shared" si="85"/>
        <v>75</v>
      </c>
      <c r="V384" s="5">
        <f t="shared" si="86"/>
        <v>0.2</v>
      </c>
      <c r="W384" s="4">
        <f t="shared" si="87"/>
        <v>54.761904761904759</v>
      </c>
      <c r="X384" s="4">
        <f t="shared" si="88"/>
        <v>63.541666666666664</v>
      </c>
      <c r="Y384" s="5">
        <f t="shared" si="89"/>
        <v>0.16032608695652176</v>
      </c>
      <c r="Z384" s="1">
        <f>'01_WHOQOL_Items'!D384</f>
        <v>3</v>
      </c>
      <c r="AA384" s="1">
        <f>'01_WHOQOL_Items'!AD384</f>
        <v>3</v>
      </c>
      <c r="AB384" s="1">
        <f>'01_WHOQOL_Items'!E384</f>
        <v>4</v>
      </c>
      <c r="AC384" s="1">
        <f>'01_WHOQOL_Items'!AE384</f>
        <v>3</v>
      </c>
    </row>
    <row r="385" spans="1:29">
      <c r="A385" s="1" t="str">
        <f>'01_WHOQOL_Items'!A385</f>
        <v>CON-103</v>
      </c>
      <c r="B385" s="1" t="str">
        <f>'01_WHOQOL_Items'!B385</f>
        <v>Control</v>
      </c>
      <c r="C385" s="4">
        <f>4*(((6-'01_WHOQOL_Items'!F385) + (6-'01_WHOQOL_Items'!G385) + '01_WHOQOL_Items'!M385 + '01_WHOQOL_Items'!R385 + '01_WHOQOL_Items'!S385 + '01_WHOQOL_Items'!T385 + '01_WHOQOL_Items'!U385)/7)</f>
        <v>13.142857142857142</v>
      </c>
      <c r="D385" s="4">
        <f>4*(((6-'01_WHOQOL_Items'!AF385) + (6-'01_WHOQOL_Items'!AG385) + '01_WHOQOL_Items'!AM385 + '01_WHOQOL_Items'!AR385 + '01_WHOQOL_Items'!AS385 + '01_WHOQOL_Items'!AT385 + '01_WHOQOL_Items'!AU385)/7)</f>
        <v>12.571428571428571</v>
      </c>
      <c r="E385" s="4">
        <f t="shared" si="75"/>
        <v>57.142857142857139</v>
      </c>
      <c r="F385" s="4">
        <f t="shared" si="76"/>
        <v>53.571428571428569</v>
      </c>
      <c r="G385" s="5">
        <f t="shared" si="77"/>
        <v>-6.2499999999999972E-2</v>
      </c>
      <c r="H385" s="4">
        <f>4*(('01_WHOQOL_Items'!H385 + '01_WHOQOL_Items'!I385 + '01_WHOQOL_Items'!J385 + '01_WHOQOL_Items'!N385 + '01_WHOQOL_Items'!V385 + (6-'01_WHOQOL_Items'!AC385))/6)</f>
        <v>12.666666666666666</v>
      </c>
      <c r="I385" s="4">
        <f>4*(('01_WHOQOL_Items'!AH385 + '01_WHOQOL_Items'!AI385 + '01_WHOQOL_Items'!AJ385 + '01_WHOQOL_Items'!AN385 + '01_WHOQOL_Items'!AV385 + (6-'01_WHOQOL_Items'!BC385))/6)</f>
        <v>14.666666666666666</v>
      </c>
      <c r="J385" s="4">
        <f t="shared" si="78"/>
        <v>54.166666666666664</v>
      </c>
      <c r="K385" s="4">
        <f t="shared" si="79"/>
        <v>66.666666666666657</v>
      </c>
      <c r="L385" s="5">
        <f t="shared" si="80"/>
        <v>0.23076923076923064</v>
      </c>
      <c r="M385" s="4">
        <f>4*(('01_WHOQOL_Items'!W385 + '01_WHOQOL_Items'!X385 + '01_WHOQOL_Items'!Y385)/3)</f>
        <v>13.333333333333334</v>
      </c>
      <c r="N385" s="4">
        <f>4*(('01_WHOQOL_Items'!AW385 + '01_WHOQOL_Items'!AX385 + '01_WHOQOL_Items'!AY385)/3)</f>
        <v>12</v>
      </c>
      <c r="O385" s="4">
        <f t="shared" si="81"/>
        <v>58.333333333333336</v>
      </c>
      <c r="P385" s="4">
        <f t="shared" si="82"/>
        <v>50</v>
      </c>
      <c r="Q385" s="5">
        <f t="shared" si="83"/>
        <v>-0.1428571428571429</v>
      </c>
      <c r="R385" s="4">
        <f>4*(('01_WHOQOL_Items'!K385 + '01_WHOQOL_Items'!L385 + '01_WHOQOL_Items'!O385 + '01_WHOQOL_Items'!P385 + '01_WHOQOL_Items'!Q385 + '01_WHOQOL_Items'!Z385 + '01_WHOQOL_Items'!AA385 + '01_WHOQOL_Items'!AB385)/8)</f>
        <v>13</v>
      </c>
      <c r="S385" s="4">
        <f>4*(('01_WHOQOL_Items'!AK385 + '01_WHOQOL_Items'!AL385 + '01_WHOQOL_Items'!AO385 + '01_WHOQOL_Items'!AP385 + '01_WHOQOL_Items'!AQ385 + '01_WHOQOL_Items'!AZ385 + '01_WHOQOL_Items'!BA385 + '01_WHOQOL_Items'!BB385)/8)</f>
        <v>13</v>
      </c>
      <c r="T385" s="4">
        <f t="shared" si="84"/>
        <v>56.25</v>
      </c>
      <c r="U385" s="4">
        <f t="shared" si="85"/>
        <v>56.25</v>
      </c>
      <c r="V385" s="5">
        <f t="shared" si="86"/>
        <v>0</v>
      </c>
      <c r="W385" s="4">
        <f t="shared" si="87"/>
        <v>56.473214285714285</v>
      </c>
      <c r="X385" s="4">
        <f t="shared" si="88"/>
        <v>56.62202380952381</v>
      </c>
      <c r="Y385" s="5">
        <f t="shared" si="89"/>
        <v>2.6350461133070129E-3</v>
      </c>
      <c r="Z385" s="1">
        <f>'01_WHOQOL_Items'!D385</f>
        <v>3</v>
      </c>
      <c r="AA385" s="1">
        <f>'01_WHOQOL_Items'!AD385</f>
        <v>3</v>
      </c>
      <c r="AB385" s="1">
        <f>'01_WHOQOL_Items'!E385</f>
        <v>3</v>
      </c>
      <c r="AC385" s="1">
        <f>'01_WHOQOL_Items'!AE385</f>
        <v>4</v>
      </c>
    </row>
    <row r="386" spans="1:29">
      <c r="A386" s="1" t="str">
        <f>'01_WHOQOL_Items'!A386</f>
        <v>CON-104</v>
      </c>
      <c r="B386" s="1" t="str">
        <f>'01_WHOQOL_Items'!B386</f>
        <v>Control</v>
      </c>
      <c r="C386" s="4">
        <f>4*(((6-'01_WHOQOL_Items'!F386) + (6-'01_WHOQOL_Items'!G386) + '01_WHOQOL_Items'!M386 + '01_WHOQOL_Items'!R386 + '01_WHOQOL_Items'!S386 + '01_WHOQOL_Items'!T386 + '01_WHOQOL_Items'!U386)/7)</f>
        <v>9.7142857142857135</v>
      </c>
      <c r="D386" s="4">
        <f>4*(((6-'01_WHOQOL_Items'!AF386) + (6-'01_WHOQOL_Items'!AG386) + '01_WHOQOL_Items'!AM386 + '01_WHOQOL_Items'!AR386 + '01_WHOQOL_Items'!AS386 + '01_WHOQOL_Items'!AT386 + '01_WHOQOL_Items'!AU386)/7)</f>
        <v>11.428571428571429</v>
      </c>
      <c r="E386" s="4">
        <f t="shared" ref="E386:E449" si="90">(C386-4)*100/16</f>
        <v>35.714285714285708</v>
      </c>
      <c r="F386" s="4">
        <f t="shared" ref="F386:F449" si="91">(D386-4)*100/16</f>
        <v>46.428571428571431</v>
      </c>
      <c r="G386" s="5">
        <f t="shared" ref="G386:G449" si="92">IFERROR((F386-E386)/E386,"")</f>
        <v>0.30000000000000027</v>
      </c>
      <c r="H386" s="4">
        <f>4*(('01_WHOQOL_Items'!H386 + '01_WHOQOL_Items'!I386 + '01_WHOQOL_Items'!J386 + '01_WHOQOL_Items'!N386 + '01_WHOQOL_Items'!V386 + (6-'01_WHOQOL_Items'!AC386))/6)</f>
        <v>16</v>
      </c>
      <c r="I386" s="4">
        <f>4*(('01_WHOQOL_Items'!AH386 + '01_WHOQOL_Items'!AI386 + '01_WHOQOL_Items'!AJ386 + '01_WHOQOL_Items'!AN386 + '01_WHOQOL_Items'!AV386 + (6-'01_WHOQOL_Items'!BC386))/6)</f>
        <v>14</v>
      </c>
      <c r="J386" s="4">
        <f t="shared" ref="J386:J449" si="93">(H386-4)*100/16</f>
        <v>75</v>
      </c>
      <c r="K386" s="4">
        <f t="shared" ref="K386:K449" si="94">(I386-4)*100/16</f>
        <v>62.5</v>
      </c>
      <c r="L386" s="5">
        <f t="shared" ref="L386:L449" si="95">IFERROR((K386-J386)/J386,"")</f>
        <v>-0.16666666666666666</v>
      </c>
      <c r="M386" s="4">
        <f>4*(('01_WHOQOL_Items'!W386 + '01_WHOQOL_Items'!X386 + '01_WHOQOL_Items'!Y386)/3)</f>
        <v>14.666666666666666</v>
      </c>
      <c r="N386" s="4">
        <f>4*(('01_WHOQOL_Items'!AW386 + '01_WHOQOL_Items'!AX386 + '01_WHOQOL_Items'!AY386)/3)</f>
        <v>14.666666666666666</v>
      </c>
      <c r="O386" s="4">
        <f t="shared" ref="O386:O449" si="96">(M386-4)*100/16</f>
        <v>66.666666666666657</v>
      </c>
      <c r="P386" s="4">
        <f t="shared" ref="P386:P449" si="97">(N386-4)*100/16</f>
        <v>66.666666666666657</v>
      </c>
      <c r="Q386" s="5">
        <f t="shared" ref="Q386:Q449" si="98">IFERROR((P386-O386)/O386,"")</f>
        <v>0</v>
      </c>
      <c r="R386" s="4">
        <f>4*(('01_WHOQOL_Items'!K386 + '01_WHOQOL_Items'!L386 + '01_WHOQOL_Items'!O386 + '01_WHOQOL_Items'!P386 + '01_WHOQOL_Items'!Q386 + '01_WHOQOL_Items'!Z386 + '01_WHOQOL_Items'!AA386 + '01_WHOQOL_Items'!AB386)/8)</f>
        <v>11.5</v>
      </c>
      <c r="S386" s="4">
        <f>4*(('01_WHOQOL_Items'!AK386 + '01_WHOQOL_Items'!AL386 + '01_WHOQOL_Items'!AO386 + '01_WHOQOL_Items'!AP386 + '01_WHOQOL_Items'!AQ386 + '01_WHOQOL_Items'!AZ386 + '01_WHOQOL_Items'!BA386 + '01_WHOQOL_Items'!BB386)/8)</f>
        <v>12</v>
      </c>
      <c r="T386" s="4">
        <f t="shared" ref="T386:T449" si="99">(R386-4)*100/16</f>
        <v>46.875</v>
      </c>
      <c r="U386" s="4">
        <f t="shared" ref="U386:U449" si="100">(S386-4)*100/16</f>
        <v>50</v>
      </c>
      <c r="V386" s="5">
        <f t="shared" ref="V386:V449" si="101">IFERROR((U386-T386)/T386,"")</f>
        <v>6.6666666666666666E-2</v>
      </c>
      <c r="W386" s="4">
        <f t="shared" ref="W386:W449" si="102">AVERAGE(E386,J386,O386,T386)</f>
        <v>56.063988095238088</v>
      </c>
      <c r="X386" s="4">
        <f t="shared" ref="X386:X449" si="103">AVERAGE(F386,K386,P386,U386)</f>
        <v>56.398809523809518</v>
      </c>
      <c r="Y386" s="5">
        <f t="shared" ref="Y386:Y449" si="104">IFERROR((X386-W386)/W386,"")</f>
        <v>5.9721300597213372E-3</v>
      </c>
      <c r="Z386" s="1">
        <f>'01_WHOQOL_Items'!D386</f>
        <v>3</v>
      </c>
      <c r="AA386" s="1">
        <f>'01_WHOQOL_Items'!AD386</f>
        <v>4</v>
      </c>
      <c r="AB386" s="1">
        <f>'01_WHOQOL_Items'!E386</f>
        <v>2</v>
      </c>
      <c r="AC386" s="1">
        <f>'01_WHOQOL_Items'!AE386</f>
        <v>3</v>
      </c>
    </row>
    <row r="387" spans="1:29">
      <c r="A387" s="1" t="str">
        <f>'01_WHOQOL_Items'!A387</f>
        <v>CON-105</v>
      </c>
      <c r="B387" s="1" t="str">
        <f>'01_WHOQOL_Items'!B387</f>
        <v>Control</v>
      </c>
      <c r="C387" s="4">
        <f>4*(((6-'01_WHOQOL_Items'!F387) + (6-'01_WHOQOL_Items'!G387) + '01_WHOQOL_Items'!M387 + '01_WHOQOL_Items'!R387 + '01_WHOQOL_Items'!S387 + '01_WHOQOL_Items'!T387 + '01_WHOQOL_Items'!U387)/7)</f>
        <v>13.714285714285714</v>
      </c>
      <c r="D387" s="4">
        <f>4*(((6-'01_WHOQOL_Items'!AF387) + (6-'01_WHOQOL_Items'!AG387) + '01_WHOQOL_Items'!AM387 + '01_WHOQOL_Items'!AR387 + '01_WHOQOL_Items'!AS387 + '01_WHOQOL_Items'!AT387 + '01_WHOQOL_Items'!AU387)/7)</f>
        <v>13.142857142857142</v>
      </c>
      <c r="E387" s="4">
        <f t="shared" si="90"/>
        <v>60.714285714285708</v>
      </c>
      <c r="F387" s="4">
        <f t="shared" si="91"/>
        <v>57.142857142857139</v>
      </c>
      <c r="G387" s="5">
        <f t="shared" si="92"/>
        <v>-5.8823529411764677E-2</v>
      </c>
      <c r="H387" s="4">
        <f>4*(('01_WHOQOL_Items'!H387 + '01_WHOQOL_Items'!I387 + '01_WHOQOL_Items'!J387 + '01_WHOQOL_Items'!N387 + '01_WHOQOL_Items'!V387 + (6-'01_WHOQOL_Items'!AC387))/6)</f>
        <v>10.666666666666666</v>
      </c>
      <c r="I387" s="4">
        <f>4*(('01_WHOQOL_Items'!AH387 + '01_WHOQOL_Items'!AI387 + '01_WHOQOL_Items'!AJ387 + '01_WHOQOL_Items'!AN387 + '01_WHOQOL_Items'!AV387 + (6-'01_WHOQOL_Items'!BC387))/6)</f>
        <v>12</v>
      </c>
      <c r="J387" s="4">
        <f t="shared" si="93"/>
        <v>41.666666666666664</v>
      </c>
      <c r="K387" s="4">
        <f t="shared" si="94"/>
        <v>50</v>
      </c>
      <c r="L387" s="5">
        <f t="shared" si="95"/>
        <v>0.20000000000000007</v>
      </c>
      <c r="M387" s="4">
        <f>4*(('01_WHOQOL_Items'!W387 + '01_WHOQOL_Items'!X387 + '01_WHOQOL_Items'!Y387)/3)</f>
        <v>13.333333333333334</v>
      </c>
      <c r="N387" s="4">
        <f>4*(('01_WHOQOL_Items'!AW387 + '01_WHOQOL_Items'!AX387 + '01_WHOQOL_Items'!AY387)/3)</f>
        <v>13.333333333333334</v>
      </c>
      <c r="O387" s="4">
        <f t="shared" si="96"/>
        <v>58.333333333333336</v>
      </c>
      <c r="P387" s="4">
        <f t="shared" si="97"/>
        <v>58.333333333333336</v>
      </c>
      <c r="Q387" s="5">
        <f t="shared" si="98"/>
        <v>0</v>
      </c>
      <c r="R387" s="4">
        <f>4*(('01_WHOQOL_Items'!K387 + '01_WHOQOL_Items'!L387 + '01_WHOQOL_Items'!O387 + '01_WHOQOL_Items'!P387 + '01_WHOQOL_Items'!Q387 + '01_WHOQOL_Items'!Z387 + '01_WHOQOL_Items'!AA387 + '01_WHOQOL_Items'!AB387)/8)</f>
        <v>12.5</v>
      </c>
      <c r="S387" s="4">
        <f>4*(('01_WHOQOL_Items'!AK387 + '01_WHOQOL_Items'!AL387 + '01_WHOQOL_Items'!AO387 + '01_WHOQOL_Items'!AP387 + '01_WHOQOL_Items'!AQ387 + '01_WHOQOL_Items'!AZ387 + '01_WHOQOL_Items'!BA387 + '01_WHOQOL_Items'!BB387)/8)</f>
        <v>13.5</v>
      </c>
      <c r="T387" s="4">
        <f t="shared" si="99"/>
        <v>53.125</v>
      </c>
      <c r="U387" s="4">
        <f t="shared" si="100"/>
        <v>59.375</v>
      </c>
      <c r="V387" s="5">
        <f t="shared" si="101"/>
        <v>0.11764705882352941</v>
      </c>
      <c r="W387" s="4">
        <f t="shared" si="102"/>
        <v>53.459821428571431</v>
      </c>
      <c r="X387" s="4">
        <f t="shared" si="103"/>
        <v>56.21279761904762</v>
      </c>
      <c r="Y387" s="5">
        <f t="shared" si="104"/>
        <v>5.1496172581767558E-2</v>
      </c>
      <c r="Z387" s="1">
        <f>'01_WHOQOL_Items'!D387</f>
        <v>2</v>
      </c>
      <c r="AA387" s="1">
        <f>'01_WHOQOL_Items'!AD387</f>
        <v>3</v>
      </c>
      <c r="AB387" s="1">
        <f>'01_WHOQOL_Items'!E387</f>
        <v>4</v>
      </c>
      <c r="AC387" s="1">
        <f>'01_WHOQOL_Items'!AE387</f>
        <v>4</v>
      </c>
    </row>
    <row r="388" spans="1:29">
      <c r="A388" s="1" t="str">
        <f>'01_WHOQOL_Items'!A388</f>
        <v>CON-106</v>
      </c>
      <c r="B388" s="1" t="str">
        <f>'01_WHOQOL_Items'!B388</f>
        <v>Control</v>
      </c>
      <c r="C388" s="4">
        <f>4*(((6-'01_WHOQOL_Items'!F388) + (6-'01_WHOQOL_Items'!G388) + '01_WHOQOL_Items'!M388 + '01_WHOQOL_Items'!R388 + '01_WHOQOL_Items'!S388 + '01_WHOQOL_Items'!T388 + '01_WHOQOL_Items'!U388)/7)</f>
        <v>12.571428571428571</v>
      </c>
      <c r="D388" s="4">
        <f>4*(((6-'01_WHOQOL_Items'!AF388) + (6-'01_WHOQOL_Items'!AG388) + '01_WHOQOL_Items'!AM388 + '01_WHOQOL_Items'!AR388 + '01_WHOQOL_Items'!AS388 + '01_WHOQOL_Items'!AT388 + '01_WHOQOL_Items'!AU388)/7)</f>
        <v>12.571428571428571</v>
      </c>
      <c r="E388" s="4">
        <f t="shared" si="90"/>
        <v>53.571428571428569</v>
      </c>
      <c r="F388" s="4">
        <f t="shared" si="91"/>
        <v>53.571428571428569</v>
      </c>
      <c r="G388" s="5">
        <f t="shared" si="92"/>
        <v>0</v>
      </c>
      <c r="H388" s="4">
        <f>4*(('01_WHOQOL_Items'!H388 + '01_WHOQOL_Items'!I388 + '01_WHOQOL_Items'!J388 + '01_WHOQOL_Items'!N388 + '01_WHOQOL_Items'!V388 + (6-'01_WHOQOL_Items'!AC388))/6)</f>
        <v>10</v>
      </c>
      <c r="I388" s="4">
        <f>4*(('01_WHOQOL_Items'!AH388 + '01_WHOQOL_Items'!AI388 + '01_WHOQOL_Items'!AJ388 + '01_WHOQOL_Items'!AN388 + '01_WHOQOL_Items'!AV388 + (6-'01_WHOQOL_Items'!BC388))/6)</f>
        <v>10</v>
      </c>
      <c r="J388" s="4">
        <f t="shared" si="93"/>
        <v>37.5</v>
      </c>
      <c r="K388" s="4">
        <f t="shared" si="94"/>
        <v>37.5</v>
      </c>
      <c r="L388" s="5">
        <f t="shared" si="95"/>
        <v>0</v>
      </c>
      <c r="M388" s="4">
        <f>4*(('01_WHOQOL_Items'!W388 + '01_WHOQOL_Items'!X388 + '01_WHOQOL_Items'!Y388)/3)</f>
        <v>5.333333333333333</v>
      </c>
      <c r="N388" s="4">
        <f>4*(('01_WHOQOL_Items'!AW388 + '01_WHOQOL_Items'!AX388 + '01_WHOQOL_Items'!AY388)/3)</f>
        <v>6.666666666666667</v>
      </c>
      <c r="O388" s="4">
        <f t="shared" si="96"/>
        <v>8.3333333333333321</v>
      </c>
      <c r="P388" s="4">
        <f t="shared" si="97"/>
        <v>16.666666666666668</v>
      </c>
      <c r="Q388" s="5">
        <f t="shared" si="98"/>
        <v>1.0000000000000004</v>
      </c>
      <c r="R388" s="4">
        <f>4*(('01_WHOQOL_Items'!K388 + '01_WHOQOL_Items'!L388 + '01_WHOQOL_Items'!O388 + '01_WHOQOL_Items'!P388 + '01_WHOQOL_Items'!Q388 + '01_WHOQOL_Items'!Z388 + '01_WHOQOL_Items'!AA388 + '01_WHOQOL_Items'!AB388)/8)</f>
        <v>11.5</v>
      </c>
      <c r="S388" s="4">
        <f>4*(('01_WHOQOL_Items'!AK388 + '01_WHOQOL_Items'!AL388 + '01_WHOQOL_Items'!AO388 + '01_WHOQOL_Items'!AP388 + '01_WHOQOL_Items'!AQ388 + '01_WHOQOL_Items'!AZ388 + '01_WHOQOL_Items'!BA388 + '01_WHOQOL_Items'!BB388)/8)</f>
        <v>13</v>
      </c>
      <c r="T388" s="4">
        <f t="shared" si="99"/>
        <v>46.875</v>
      </c>
      <c r="U388" s="4">
        <f t="shared" si="100"/>
        <v>56.25</v>
      </c>
      <c r="V388" s="5">
        <f t="shared" si="101"/>
        <v>0.2</v>
      </c>
      <c r="W388" s="4">
        <f t="shared" si="102"/>
        <v>36.569940476190474</v>
      </c>
      <c r="X388" s="4">
        <f t="shared" si="103"/>
        <v>40.99702380952381</v>
      </c>
      <c r="Y388" s="5">
        <f t="shared" si="104"/>
        <v>0.1210579857578841</v>
      </c>
      <c r="Z388" s="1">
        <f>'01_WHOQOL_Items'!D388</f>
        <v>3</v>
      </c>
      <c r="AA388" s="1">
        <f>'01_WHOQOL_Items'!AD388</f>
        <v>2</v>
      </c>
      <c r="AB388" s="1">
        <f>'01_WHOQOL_Items'!E388</f>
        <v>3</v>
      </c>
      <c r="AC388" s="1">
        <f>'01_WHOQOL_Items'!AE388</f>
        <v>3</v>
      </c>
    </row>
    <row r="389" spans="1:29">
      <c r="A389" s="1" t="str">
        <f>'01_WHOQOL_Items'!A389</f>
        <v>CON-107</v>
      </c>
      <c r="B389" s="1" t="str">
        <f>'01_WHOQOL_Items'!B389</f>
        <v>Control</v>
      </c>
      <c r="C389" s="4">
        <f>4*(((6-'01_WHOQOL_Items'!F389) + (6-'01_WHOQOL_Items'!G389) + '01_WHOQOL_Items'!M389 + '01_WHOQOL_Items'!R389 + '01_WHOQOL_Items'!S389 + '01_WHOQOL_Items'!T389 + '01_WHOQOL_Items'!U389)/7)</f>
        <v>14.285714285714286</v>
      </c>
      <c r="D389" s="4">
        <f>4*(((6-'01_WHOQOL_Items'!AF389) + (6-'01_WHOQOL_Items'!AG389) + '01_WHOQOL_Items'!AM389 + '01_WHOQOL_Items'!AR389 + '01_WHOQOL_Items'!AS389 + '01_WHOQOL_Items'!AT389 + '01_WHOQOL_Items'!AU389)/7)</f>
        <v>17.142857142857142</v>
      </c>
      <c r="E389" s="4">
        <f t="shared" si="90"/>
        <v>64.285714285714292</v>
      </c>
      <c r="F389" s="4">
        <f t="shared" si="91"/>
        <v>82.142857142857139</v>
      </c>
      <c r="G389" s="5">
        <f t="shared" si="92"/>
        <v>0.27777777777777757</v>
      </c>
      <c r="H389" s="4">
        <f>4*(('01_WHOQOL_Items'!H389 + '01_WHOQOL_Items'!I389 + '01_WHOQOL_Items'!J389 + '01_WHOQOL_Items'!N389 + '01_WHOQOL_Items'!V389 + (6-'01_WHOQOL_Items'!AC389))/6)</f>
        <v>12</v>
      </c>
      <c r="I389" s="4">
        <f>4*(('01_WHOQOL_Items'!AH389 + '01_WHOQOL_Items'!AI389 + '01_WHOQOL_Items'!AJ389 + '01_WHOQOL_Items'!AN389 + '01_WHOQOL_Items'!AV389 + (6-'01_WHOQOL_Items'!BC389))/6)</f>
        <v>11.333333333333334</v>
      </c>
      <c r="J389" s="4">
        <f t="shared" si="93"/>
        <v>50</v>
      </c>
      <c r="K389" s="4">
        <f t="shared" si="94"/>
        <v>45.833333333333336</v>
      </c>
      <c r="L389" s="5">
        <f t="shared" si="95"/>
        <v>-8.3333333333333287E-2</v>
      </c>
      <c r="M389" s="4">
        <f>4*(('01_WHOQOL_Items'!W389 + '01_WHOQOL_Items'!X389 + '01_WHOQOL_Items'!Y389)/3)</f>
        <v>10.666666666666666</v>
      </c>
      <c r="N389" s="4">
        <f>4*(('01_WHOQOL_Items'!AW389 + '01_WHOQOL_Items'!AX389 + '01_WHOQOL_Items'!AY389)/3)</f>
        <v>12</v>
      </c>
      <c r="O389" s="4">
        <f t="shared" si="96"/>
        <v>41.666666666666664</v>
      </c>
      <c r="P389" s="4">
        <f t="shared" si="97"/>
        <v>50</v>
      </c>
      <c r="Q389" s="5">
        <f t="shared" si="98"/>
        <v>0.20000000000000007</v>
      </c>
      <c r="R389" s="4">
        <f>4*(('01_WHOQOL_Items'!K389 + '01_WHOQOL_Items'!L389 + '01_WHOQOL_Items'!O389 + '01_WHOQOL_Items'!P389 + '01_WHOQOL_Items'!Q389 + '01_WHOQOL_Items'!Z389 + '01_WHOQOL_Items'!AA389 + '01_WHOQOL_Items'!AB389)/8)</f>
        <v>10.5</v>
      </c>
      <c r="S389" s="4">
        <f>4*(('01_WHOQOL_Items'!AK389 + '01_WHOQOL_Items'!AL389 + '01_WHOQOL_Items'!AO389 + '01_WHOQOL_Items'!AP389 + '01_WHOQOL_Items'!AQ389 + '01_WHOQOL_Items'!AZ389 + '01_WHOQOL_Items'!BA389 + '01_WHOQOL_Items'!BB389)/8)</f>
        <v>12.5</v>
      </c>
      <c r="T389" s="4">
        <f t="shared" si="99"/>
        <v>40.625</v>
      </c>
      <c r="U389" s="4">
        <f t="shared" si="100"/>
        <v>53.125</v>
      </c>
      <c r="V389" s="5">
        <f t="shared" si="101"/>
        <v>0.30769230769230771</v>
      </c>
      <c r="W389" s="4">
        <f t="shared" si="102"/>
        <v>49.144345238095241</v>
      </c>
      <c r="X389" s="4">
        <f t="shared" si="103"/>
        <v>57.77529761904762</v>
      </c>
      <c r="Y389" s="5">
        <f t="shared" si="104"/>
        <v>0.17562452687358057</v>
      </c>
      <c r="Z389" s="1">
        <f>'01_WHOQOL_Items'!D389</f>
        <v>4</v>
      </c>
      <c r="AA389" s="1">
        <f>'01_WHOQOL_Items'!AD389</f>
        <v>4</v>
      </c>
      <c r="AB389" s="1">
        <f>'01_WHOQOL_Items'!E389</f>
        <v>5</v>
      </c>
      <c r="AC389" s="1">
        <f>'01_WHOQOL_Items'!AE389</f>
        <v>4</v>
      </c>
    </row>
    <row r="390" spans="1:29">
      <c r="A390" s="1" t="str">
        <f>'01_WHOQOL_Items'!A390</f>
        <v>CON-108</v>
      </c>
      <c r="B390" s="1" t="str">
        <f>'01_WHOQOL_Items'!B390</f>
        <v>Control</v>
      </c>
      <c r="C390" s="4">
        <f>4*(((6-'01_WHOQOL_Items'!F390) + (6-'01_WHOQOL_Items'!G390) + '01_WHOQOL_Items'!M390 + '01_WHOQOL_Items'!R390 + '01_WHOQOL_Items'!S390 + '01_WHOQOL_Items'!T390 + '01_WHOQOL_Items'!U390)/7)</f>
        <v>10.857142857142858</v>
      </c>
      <c r="D390" s="4">
        <f>4*(((6-'01_WHOQOL_Items'!AF390) + (6-'01_WHOQOL_Items'!AG390) + '01_WHOQOL_Items'!AM390 + '01_WHOQOL_Items'!AR390 + '01_WHOQOL_Items'!AS390 + '01_WHOQOL_Items'!AT390 + '01_WHOQOL_Items'!AU390)/7)</f>
        <v>12.571428571428571</v>
      </c>
      <c r="E390" s="4">
        <f t="shared" si="90"/>
        <v>42.857142857142861</v>
      </c>
      <c r="F390" s="4">
        <f t="shared" si="91"/>
        <v>53.571428571428569</v>
      </c>
      <c r="G390" s="5">
        <f t="shared" si="92"/>
        <v>0.24999999999999983</v>
      </c>
      <c r="H390" s="4">
        <f>4*(('01_WHOQOL_Items'!H390 + '01_WHOQOL_Items'!I390 + '01_WHOQOL_Items'!J390 + '01_WHOQOL_Items'!N390 + '01_WHOQOL_Items'!V390 + (6-'01_WHOQOL_Items'!AC390))/6)</f>
        <v>10</v>
      </c>
      <c r="I390" s="4">
        <f>4*(('01_WHOQOL_Items'!AH390 + '01_WHOQOL_Items'!AI390 + '01_WHOQOL_Items'!AJ390 + '01_WHOQOL_Items'!AN390 + '01_WHOQOL_Items'!AV390 + (6-'01_WHOQOL_Items'!BC390))/6)</f>
        <v>11.333333333333334</v>
      </c>
      <c r="J390" s="4">
        <f t="shared" si="93"/>
        <v>37.5</v>
      </c>
      <c r="K390" s="4">
        <f t="shared" si="94"/>
        <v>45.833333333333336</v>
      </c>
      <c r="L390" s="5">
        <f t="shared" si="95"/>
        <v>0.22222222222222229</v>
      </c>
      <c r="M390" s="4">
        <f>4*(('01_WHOQOL_Items'!W390 + '01_WHOQOL_Items'!X390 + '01_WHOQOL_Items'!Y390)/3)</f>
        <v>10.666666666666666</v>
      </c>
      <c r="N390" s="4">
        <f>4*(('01_WHOQOL_Items'!AW390 + '01_WHOQOL_Items'!AX390 + '01_WHOQOL_Items'!AY390)/3)</f>
        <v>10.666666666666666</v>
      </c>
      <c r="O390" s="4">
        <f t="shared" si="96"/>
        <v>41.666666666666664</v>
      </c>
      <c r="P390" s="4">
        <f t="shared" si="97"/>
        <v>41.666666666666664</v>
      </c>
      <c r="Q390" s="5">
        <f t="shared" si="98"/>
        <v>0</v>
      </c>
      <c r="R390" s="4">
        <f>4*(('01_WHOQOL_Items'!K390 + '01_WHOQOL_Items'!L390 + '01_WHOQOL_Items'!O390 + '01_WHOQOL_Items'!P390 + '01_WHOQOL_Items'!Q390 + '01_WHOQOL_Items'!Z390 + '01_WHOQOL_Items'!AA390 + '01_WHOQOL_Items'!AB390)/8)</f>
        <v>11</v>
      </c>
      <c r="S390" s="4">
        <f>4*(('01_WHOQOL_Items'!AK390 + '01_WHOQOL_Items'!AL390 + '01_WHOQOL_Items'!AO390 + '01_WHOQOL_Items'!AP390 + '01_WHOQOL_Items'!AQ390 + '01_WHOQOL_Items'!AZ390 + '01_WHOQOL_Items'!BA390 + '01_WHOQOL_Items'!BB390)/8)</f>
        <v>11</v>
      </c>
      <c r="T390" s="4">
        <f t="shared" si="99"/>
        <v>43.75</v>
      </c>
      <c r="U390" s="4">
        <f t="shared" si="100"/>
        <v>43.75</v>
      </c>
      <c r="V390" s="5">
        <f t="shared" si="101"/>
        <v>0</v>
      </c>
      <c r="W390" s="4">
        <f t="shared" si="102"/>
        <v>41.44345238095238</v>
      </c>
      <c r="X390" s="4">
        <f t="shared" si="103"/>
        <v>46.205357142857139</v>
      </c>
      <c r="Y390" s="5">
        <f t="shared" si="104"/>
        <v>0.11490125673249545</v>
      </c>
      <c r="Z390" s="1">
        <f>'01_WHOQOL_Items'!D390</f>
        <v>3</v>
      </c>
      <c r="AA390" s="1">
        <f>'01_WHOQOL_Items'!AD390</f>
        <v>3</v>
      </c>
      <c r="AB390" s="1">
        <f>'01_WHOQOL_Items'!E390</f>
        <v>4</v>
      </c>
      <c r="AC390" s="1">
        <f>'01_WHOQOL_Items'!AE390</f>
        <v>3</v>
      </c>
    </row>
    <row r="391" spans="1:29">
      <c r="A391" s="1" t="str">
        <f>'01_WHOQOL_Items'!A391</f>
        <v>CON-109</v>
      </c>
      <c r="B391" s="1" t="str">
        <f>'01_WHOQOL_Items'!B391</f>
        <v>Control</v>
      </c>
      <c r="C391" s="4">
        <f>4*(((6-'01_WHOQOL_Items'!F391) + (6-'01_WHOQOL_Items'!G391) + '01_WHOQOL_Items'!M391 + '01_WHOQOL_Items'!R391 + '01_WHOQOL_Items'!S391 + '01_WHOQOL_Items'!T391 + '01_WHOQOL_Items'!U391)/7)</f>
        <v>12</v>
      </c>
      <c r="D391" s="4">
        <f>4*(((6-'01_WHOQOL_Items'!AF391) + (6-'01_WHOQOL_Items'!AG391) + '01_WHOQOL_Items'!AM391 + '01_WHOQOL_Items'!AR391 + '01_WHOQOL_Items'!AS391 + '01_WHOQOL_Items'!AT391 + '01_WHOQOL_Items'!AU391)/7)</f>
        <v>10.285714285714286</v>
      </c>
      <c r="E391" s="4">
        <f t="shared" si="90"/>
        <v>50</v>
      </c>
      <c r="F391" s="4">
        <f t="shared" si="91"/>
        <v>39.285714285714292</v>
      </c>
      <c r="G391" s="5">
        <f t="shared" si="92"/>
        <v>-0.21428571428571416</v>
      </c>
      <c r="H391" s="4">
        <f>4*(('01_WHOQOL_Items'!H391 + '01_WHOQOL_Items'!I391 + '01_WHOQOL_Items'!J391 + '01_WHOQOL_Items'!N391 + '01_WHOQOL_Items'!V391 + (6-'01_WHOQOL_Items'!AC391))/6)</f>
        <v>13.333333333333334</v>
      </c>
      <c r="I391" s="4">
        <f>4*(('01_WHOQOL_Items'!AH391 + '01_WHOQOL_Items'!AI391 + '01_WHOQOL_Items'!AJ391 + '01_WHOQOL_Items'!AN391 + '01_WHOQOL_Items'!AV391 + (6-'01_WHOQOL_Items'!BC391))/6)</f>
        <v>15.333333333333334</v>
      </c>
      <c r="J391" s="4">
        <f t="shared" si="93"/>
        <v>58.333333333333336</v>
      </c>
      <c r="K391" s="4">
        <f t="shared" si="94"/>
        <v>70.833333333333343</v>
      </c>
      <c r="L391" s="5">
        <f t="shared" si="95"/>
        <v>0.21428571428571441</v>
      </c>
      <c r="M391" s="4">
        <f>4*(('01_WHOQOL_Items'!W391 + '01_WHOQOL_Items'!X391 + '01_WHOQOL_Items'!Y391)/3)</f>
        <v>8</v>
      </c>
      <c r="N391" s="4">
        <f>4*(('01_WHOQOL_Items'!AW391 + '01_WHOQOL_Items'!AX391 + '01_WHOQOL_Items'!AY391)/3)</f>
        <v>13.333333333333334</v>
      </c>
      <c r="O391" s="4">
        <f t="shared" si="96"/>
        <v>25</v>
      </c>
      <c r="P391" s="4">
        <f t="shared" si="97"/>
        <v>58.333333333333336</v>
      </c>
      <c r="Q391" s="5">
        <f t="shared" si="98"/>
        <v>1.3333333333333335</v>
      </c>
      <c r="R391" s="4">
        <f>4*(('01_WHOQOL_Items'!K391 + '01_WHOQOL_Items'!L391 + '01_WHOQOL_Items'!O391 + '01_WHOQOL_Items'!P391 + '01_WHOQOL_Items'!Q391 + '01_WHOQOL_Items'!Z391 + '01_WHOQOL_Items'!AA391 + '01_WHOQOL_Items'!AB391)/8)</f>
        <v>11</v>
      </c>
      <c r="S391" s="4">
        <f>4*(('01_WHOQOL_Items'!AK391 + '01_WHOQOL_Items'!AL391 + '01_WHOQOL_Items'!AO391 + '01_WHOQOL_Items'!AP391 + '01_WHOQOL_Items'!AQ391 + '01_WHOQOL_Items'!AZ391 + '01_WHOQOL_Items'!BA391 + '01_WHOQOL_Items'!BB391)/8)</f>
        <v>13.5</v>
      </c>
      <c r="T391" s="4">
        <f t="shared" si="99"/>
        <v>43.75</v>
      </c>
      <c r="U391" s="4">
        <f t="shared" si="100"/>
        <v>59.375</v>
      </c>
      <c r="V391" s="5">
        <f t="shared" si="101"/>
        <v>0.35714285714285715</v>
      </c>
      <c r="W391" s="4">
        <f t="shared" si="102"/>
        <v>44.270833333333336</v>
      </c>
      <c r="X391" s="4">
        <f t="shared" si="103"/>
        <v>56.956845238095241</v>
      </c>
      <c r="Y391" s="5">
        <f t="shared" si="104"/>
        <v>0.28655462184873948</v>
      </c>
      <c r="Z391" s="1">
        <f>'01_WHOQOL_Items'!D391</f>
        <v>3</v>
      </c>
      <c r="AA391" s="1">
        <f>'01_WHOQOL_Items'!AD391</f>
        <v>2</v>
      </c>
      <c r="AB391" s="1">
        <f>'01_WHOQOL_Items'!E391</f>
        <v>3</v>
      </c>
      <c r="AC391" s="1">
        <f>'01_WHOQOL_Items'!AE391</f>
        <v>2</v>
      </c>
    </row>
    <row r="392" spans="1:29">
      <c r="A392" s="1" t="str">
        <f>'01_WHOQOL_Items'!A392</f>
        <v>CON-110</v>
      </c>
      <c r="B392" s="1" t="str">
        <f>'01_WHOQOL_Items'!B392</f>
        <v>Control</v>
      </c>
      <c r="C392" s="4">
        <f>4*(((6-'01_WHOQOL_Items'!F392) + (6-'01_WHOQOL_Items'!G392) + '01_WHOQOL_Items'!M392 + '01_WHOQOL_Items'!R392 + '01_WHOQOL_Items'!S392 + '01_WHOQOL_Items'!T392 + '01_WHOQOL_Items'!U392)/7)</f>
        <v>14.857142857142858</v>
      </c>
      <c r="D392" s="4">
        <f>4*(((6-'01_WHOQOL_Items'!AF392) + (6-'01_WHOQOL_Items'!AG392) + '01_WHOQOL_Items'!AM392 + '01_WHOQOL_Items'!AR392 + '01_WHOQOL_Items'!AS392 + '01_WHOQOL_Items'!AT392 + '01_WHOQOL_Items'!AU392)/7)</f>
        <v>14.285714285714286</v>
      </c>
      <c r="E392" s="4">
        <f t="shared" si="90"/>
        <v>67.857142857142861</v>
      </c>
      <c r="F392" s="4">
        <f t="shared" si="91"/>
        <v>64.285714285714292</v>
      </c>
      <c r="G392" s="5">
        <f t="shared" si="92"/>
        <v>-5.263157894736839E-2</v>
      </c>
      <c r="H392" s="4">
        <f>4*(('01_WHOQOL_Items'!H392 + '01_WHOQOL_Items'!I392 + '01_WHOQOL_Items'!J392 + '01_WHOQOL_Items'!N392 + '01_WHOQOL_Items'!V392 + (6-'01_WHOQOL_Items'!AC392))/6)</f>
        <v>10</v>
      </c>
      <c r="I392" s="4">
        <f>4*(('01_WHOQOL_Items'!AH392 + '01_WHOQOL_Items'!AI392 + '01_WHOQOL_Items'!AJ392 + '01_WHOQOL_Items'!AN392 + '01_WHOQOL_Items'!AV392 + (6-'01_WHOQOL_Items'!BC392))/6)</f>
        <v>11.333333333333334</v>
      </c>
      <c r="J392" s="4">
        <f t="shared" si="93"/>
        <v>37.5</v>
      </c>
      <c r="K392" s="4">
        <f t="shared" si="94"/>
        <v>45.833333333333336</v>
      </c>
      <c r="L392" s="5">
        <f t="shared" si="95"/>
        <v>0.22222222222222229</v>
      </c>
      <c r="M392" s="4">
        <f>4*(('01_WHOQOL_Items'!W392 + '01_WHOQOL_Items'!X392 + '01_WHOQOL_Items'!Y392)/3)</f>
        <v>10.666666666666666</v>
      </c>
      <c r="N392" s="4">
        <f>4*(('01_WHOQOL_Items'!AW392 + '01_WHOQOL_Items'!AX392 + '01_WHOQOL_Items'!AY392)/3)</f>
        <v>10.666666666666666</v>
      </c>
      <c r="O392" s="4">
        <f t="shared" si="96"/>
        <v>41.666666666666664</v>
      </c>
      <c r="P392" s="4">
        <f t="shared" si="97"/>
        <v>41.666666666666664</v>
      </c>
      <c r="Q392" s="5">
        <f t="shared" si="98"/>
        <v>0</v>
      </c>
      <c r="R392" s="4">
        <f>4*(('01_WHOQOL_Items'!K392 + '01_WHOQOL_Items'!L392 + '01_WHOQOL_Items'!O392 + '01_WHOQOL_Items'!P392 + '01_WHOQOL_Items'!Q392 + '01_WHOQOL_Items'!Z392 + '01_WHOQOL_Items'!AA392 + '01_WHOQOL_Items'!AB392)/8)</f>
        <v>12</v>
      </c>
      <c r="S392" s="4">
        <f>4*(('01_WHOQOL_Items'!AK392 + '01_WHOQOL_Items'!AL392 + '01_WHOQOL_Items'!AO392 + '01_WHOQOL_Items'!AP392 + '01_WHOQOL_Items'!AQ392 + '01_WHOQOL_Items'!AZ392 + '01_WHOQOL_Items'!BA392 + '01_WHOQOL_Items'!BB392)/8)</f>
        <v>15</v>
      </c>
      <c r="T392" s="4">
        <f t="shared" si="99"/>
        <v>50</v>
      </c>
      <c r="U392" s="4">
        <f t="shared" si="100"/>
        <v>68.75</v>
      </c>
      <c r="V392" s="5">
        <f t="shared" si="101"/>
        <v>0.375</v>
      </c>
      <c r="W392" s="4">
        <f t="shared" si="102"/>
        <v>49.25595238095238</v>
      </c>
      <c r="X392" s="4">
        <f t="shared" si="103"/>
        <v>55.133928571428569</v>
      </c>
      <c r="Y392" s="5">
        <f t="shared" si="104"/>
        <v>0.11933534743202416</v>
      </c>
      <c r="Z392" s="1">
        <f>'01_WHOQOL_Items'!D392</f>
        <v>3</v>
      </c>
      <c r="AA392" s="1">
        <f>'01_WHOQOL_Items'!AD392</f>
        <v>2</v>
      </c>
      <c r="AB392" s="1">
        <f>'01_WHOQOL_Items'!E392</f>
        <v>4</v>
      </c>
      <c r="AC392" s="1">
        <f>'01_WHOQOL_Items'!AE392</f>
        <v>3</v>
      </c>
    </row>
    <row r="393" spans="1:29">
      <c r="A393" s="1" t="str">
        <f>'01_WHOQOL_Items'!A393</f>
        <v>CON-111</v>
      </c>
      <c r="B393" s="1" t="str">
        <f>'01_WHOQOL_Items'!B393</f>
        <v>Control</v>
      </c>
      <c r="C393" s="4">
        <f>4*(((6-'01_WHOQOL_Items'!F393) + (6-'01_WHOQOL_Items'!G393) + '01_WHOQOL_Items'!M393 + '01_WHOQOL_Items'!R393 + '01_WHOQOL_Items'!S393 + '01_WHOQOL_Items'!T393 + '01_WHOQOL_Items'!U393)/7)</f>
        <v>13.714285714285714</v>
      </c>
      <c r="D393" s="4">
        <f>4*(((6-'01_WHOQOL_Items'!AF393) + (6-'01_WHOQOL_Items'!AG393) + '01_WHOQOL_Items'!AM393 + '01_WHOQOL_Items'!AR393 + '01_WHOQOL_Items'!AS393 + '01_WHOQOL_Items'!AT393 + '01_WHOQOL_Items'!AU393)/7)</f>
        <v>15.428571428571429</v>
      </c>
      <c r="E393" s="4">
        <f t="shared" si="90"/>
        <v>60.714285714285708</v>
      </c>
      <c r="F393" s="4">
        <f t="shared" si="91"/>
        <v>71.428571428571431</v>
      </c>
      <c r="G393" s="5">
        <f t="shared" si="92"/>
        <v>0.17647058823529427</v>
      </c>
      <c r="H393" s="4">
        <f>4*(('01_WHOQOL_Items'!H393 + '01_WHOQOL_Items'!I393 + '01_WHOQOL_Items'!J393 + '01_WHOQOL_Items'!N393 + '01_WHOQOL_Items'!V393 + (6-'01_WHOQOL_Items'!AC393))/6)</f>
        <v>9.3333333333333339</v>
      </c>
      <c r="I393" s="4">
        <f>4*(('01_WHOQOL_Items'!AH393 + '01_WHOQOL_Items'!AI393 + '01_WHOQOL_Items'!AJ393 + '01_WHOQOL_Items'!AN393 + '01_WHOQOL_Items'!AV393 + (6-'01_WHOQOL_Items'!BC393))/6)</f>
        <v>8.6666666666666661</v>
      </c>
      <c r="J393" s="4">
        <f t="shared" si="93"/>
        <v>33.333333333333336</v>
      </c>
      <c r="K393" s="4">
        <f t="shared" si="94"/>
        <v>29.166666666666664</v>
      </c>
      <c r="L393" s="5">
        <f t="shared" si="95"/>
        <v>-0.12500000000000014</v>
      </c>
      <c r="M393" s="4">
        <f>4*(('01_WHOQOL_Items'!W393 + '01_WHOQOL_Items'!X393 + '01_WHOQOL_Items'!Y393)/3)</f>
        <v>14.666666666666666</v>
      </c>
      <c r="N393" s="4">
        <f>4*(('01_WHOQOL_Items'!AW393 + '01_WHOQOL_Items'!AX393 + '01_WHOQOL_Items'!AY393)/3)</f>
        <v>14.666666666666666</v>
      </c>
      <c r="O393" s="4">
        <f t="shared" si="96"/>
        <v>66.666666666666657</v>
      </c>
      <c r="P393" s="4">
        <f t="shared" si="97"/>
        <v>66.666666666666657</v>
      </c>
      <c r="Q393" s="5">
        <f t="shared" si="98"/>
        <v>0</v>
      </c>
      <c r="R393" s="4">
        <f>4*(('01_WHOQOL_Items'!K393 + '01_WHOQOL_Items'!L393 + '01_WHOQOL_Items'!O393 + '01_WHOQOL_Items'!P393 + '01_WHOQOL_Items'!Q393 + '01_WHOQOL_Items'!Z393 + '01_WHOQOL_Items'!AA393 + '01_WHOQOL_Items'!AB393)/8)</f>
        <v>12</v>
      </c>
      <c r="S393" s="4">
        <f>4*(('01_WHOQOL_Items'!AK393 + '01_WHOQOL_Items'!AL393 + '01_WHOQOL_Items'!AO393 + '01_WHOQOL_Items'!AP393 + '01_WHOQOL_Items'!AQ393 + '01_WHOQOL_Items'!AZ393 + '01_WHOQOL_Items'!BA393 + '01_WHOQOL_Items'!BB393)/8)</f>
        <v>9</v>
      </c>
      <c r="T393" s="4">
        <f t="shared" si="99"/>
        <v>50</v>
      </c>
      <c r="U393" s="4">
        <f t="shared" si="100"/>
        <v>31.25</v>
      </c>
      <c r="V393" s="5">
        <f t="shared" si="101"/>
        <v>-0.375</v>
      </c>
      <c r="W393" s="4">
        <f t="shared" si="102"/>
        <v>52.678571428571423</v>
      </c>
      <c r="X393" s="4">
        <f t="shared" si="103"/>
        <v>49.62797619047619</v>
      </c>
      <c r="Y393" s="5">
        <f t="shared" si="104"/>
        <v>-5.7909604519773936E-2</v>
      </c>
      <c r="Z393" s="1">
        <f>'01_WHOQOL_Items'!D393</f>
        <v>3</v>
      </c>
      <c r="AA393" s="1">
        <f>'01_WHOQOL_Items'!AD393</f>
        <v>3</v>
      </c>
      <c r="AB393" s="1">
        <f>'01_WHOQOL_Items'!E393</f>
        <v>4</v>
      </c>
      <c r="AC393" s="1">
        <f>'01_WHOQOL_Items'!AE393</f>
        <v>4</v>
      </c>
    </row>
    <row r="394" spans="1:29">
      <c r="A394" s="1" t="str">
        <f>'01_WHOQOL_Items'!A394</f>
        <v>CON-112</v>
      </c>
      <c r="B394" s="1" t="str">
        <f>'01_WHOQOL_Items'!B394</f>
        <v>Control</v>
      </c>
      <c r="C394" s="4">
        <f>4*(((6-'01_WHOQOL_Items'!F394) + (6-'01_WHOQOL_Items'!G394) + '01_WHOQOL_Items'!M394 + '01_WHOQOL_Items'!R394 + '01_WHOQOL_Items'!S394 + '01_WHOQOL_Items'!T394 + '01_WHOQOL_Items'!U394)/7)</f>
        <v>10.285714285714286</v>
      </c>
      <c r="D394" s="4">
        <f>4*(((6-'01_WHOQOL_Items'!AF394) + (6-'01_WHOQOL_Items'!AG394) + '01_WHOQOL_Items'!AM394 + '01_WHOQOL_Items'!AR394 + '01_WHOQOL_Items'!AS394 + '01_WHOQOL_Items'!AT394 + '01_WHOQOL_Items'!AU394)/7)</f>
        <v>12</v>
      </c>
      <c r="E394" s="4">
        <f t="shared" si="90"/>
        <v>39.285714285714292</v>
      </c>
      <c r="F394" s="4">
        <f t="shared" si="91"/>
        <v>50</v>
      </c>
      <c r="G394" s="5">
        <f t="shared" si="92"/>
        <v>0.27272727272727254</v>
      </c>
      <c r="H394" s="4">
        <f>4*(('01_WHOQOL_Items'!H394 + '01_WHOQOL_Items'!I394 + '01_WHOQOL_Items'!J394 + '01_WHOQOL_Items'!N394 + '01_WHOQOL_Items'!V394 + (6-'01_WHOQOL_Items'!AC394))/6)</f>
        <v>16</v>
      </c>
      <c r="I394" s="4">
        <f>4*(('01_WHOQOL_Items'!AH394 + '01_WHOQOL_Items'!AI394 + '01_WHOQOL_Items'!AJ394 + '01_WHOQOL_Items'!AN394 + '01_WHOQOL_Items'!AV394 + (6-'01_WHOQOL_Items'!BC394))/6)</f>
        <v>16.666666666666668</v>
      </c>
      <c r="J394" s="4">
        <f t="shared" si="93"/>
        <v>75</v>
      </c>
      <c r="K394" s="4">
        <f t="shared" si="94"/>
        <v>79.166666666666671</v>
      </c>
      <c r="L394" s="5">
        <f t="shared" si="95"/>
        <v>5.5555555555555622E-2</v>
      </c>
      <c r="M394" s="4">
        <f>4*(('01_WHOQOL_Items'!W394 + '01_WHOQOL_Items'!X394 + '01_WHOQOL_Items'!Y394)/3)</f>
        <v>10.666666666666666</v>
      </c>
      <c r="N394" s="4">
        <f>4*(('01_WHOQOL_Items'!AW394 + '01_WHOQOL_Items'!AX394 + '01_WHOQOL_Items'!AY394)/3)</f>
        <v>9.3333333333333339</v>
      </c>
      <c r="O394" s="4">
        <f t="shared" si="96"/>
        <v>41.666666666666664</v>
      </c>
      <c r="P394" s="4">
        <f t="shared" si="97"/>
        <v>33.333333333333336</v>
      </c>
      <c r="Q394" s="5">
        <f t="shared" si="98"/>
        <v>-0.1999999999999999</v>
      </c>
      <c r="R394" s="4">
        <f>4*(('01_WHOQOL_Items'!K394 + '01_WHOQOL_Items'!L394 + '01_WHOQOL_Items'!O394 + '01_WHOQOL_Items'!P394 + '01_WHOQOL_Items'!Q394 + '01_WHOQOL_Items'!Z394 + '01_WHOQOL_Items'!AA394 + '01_WHOQOL_Items'!AB394)/8)</f>
        <v>11</v>
      </c>
      <c r="S394" s="4">
        <f>4*(('01_WHOQOL_Items'!AK394 + '01_WHOQOL_Items'!AL394 + '01_WHOQOL_Items'!AO394 + '01_WHOQOL_Items'!AP394 + '01_WHOQOL_Items'!AQ394 + '01_WHOQOL_Items'!AZ394 + '01_WHOQOL_Items'!BA394 + '01_WHOQOL_Items'!BB394)/8)</f>
        <v>12.5</v>
      </c>
      <c r="T394" s="4">
        <f t="shared" si="99"/>
        <v>43.75</v>
      </c>
      <c r="U394" s="4">
        <f t="shared" si="100"/>
        <v>53.125</v>
      </c>
      <c r="V394" s="5">
        <f t="shared" si="101"/>
        <v>0.21428571428571427</v>
      </c>
      <c r="W394" s="4">
        <f t="shared" si="102"/>
        <v>49.925595238095241</v>
      </c>
      <c r="X394" s="4">
        <f t="shared" si="103"/>
        <v>53.906250000000007</v>
      </c>
      <c r="Y394" s="5">
        <f t="shared" si="104"/>
        <v>7.9731743666169974E-2</v>
      </c>
      <c r="Z394" s="1">
        <f>'01_WHOQOL_Items'!D394</f>
        <v>4</v>
      </c>
      <c r="AA394" s="1">
        <f>'01_WHOQOL_Items'!AD394</f>
        <v>3</v>
      </c>
      <c r="AB394" s="1">
        <f>'01_WHOQOL_Items'!E394</f>
        <v>2</v>
      </c>
      <c r="AC394" s="1">
        <f>'01_WHOQOL_Items'!AE394</f>
        <v>3</v>
      </c>
    </row>
    <row r="395" spans="1:29">
      <c r="A395" s="1" t="str">
        <f>'01_WHOQOL_Items'!A395</f>
        <v>CON-113</v>
      </c>
      <c r="B395" s="1" t="str">
        <f>'01_WHOQOL_Items'!B395</f>
        <v>Control</v>
      </c>
      <c r="C395" s="4">
        <f>4*(((6-'01_WHOQOL_Items'!F395) + (6-'01_WHOQOL_Items'!G395) + '01_WHOQOL_Items'!M395 + '01_WHOQOL_Items'!R395 + '01_WHOQOL_Items'!S395 + '01_WHOQOL_Items'!T395 + '01_WHOQOL_Items'!U395)/7)</f>
        <v>13.714285714285714</v>
      </c>
      <c r="D395" s="4">
        <f>4*(((6-'01_WHOQOL_Items'!AF395) + (6-'01_WHOQOL_Items'!AG395) + '01_WHOQOL_Items'!AM395 + '01_WHOQOL_Items'!AR395 + '01_WHOQOL_Items'!AS395 + '01_WHOQOL_Items'!AT395 + '01_WHOQOL_Items'!AU395)/7)</f>
        <v>14.285714285714286</v>
      </c>
      <c r="E395" s="4">
        <f t="shared" si="90"/>
        <v>60.714285714285708</v>
      </c>
      <c r="F395" s="4">
        <f t="shared" si="91"/>
        <v>64.285714285714292</v>
      </c>
      <c r="G395" s="5">
        <f t="shared" si="92"/>
        <v>5.8823529411764913E-2</v>
      </c>
      <c r="H395" s="4">
        <f>4*(('01_WHOQOL_Items'!H395 + '01_WHOQOL_Items'!I395 + '01_WHOQOL_Items'!J395 + '01_WHOQOL_Items'!N395 + '01_WHOQOL_Items'!V395 + (6-'01_WHOQOL_Items'!AC395))/6)</f>
        <v>14.666666666666666</v>
      </c>
      <c r="I395" s="4">
        <f>4*(('01_WHOQOL_Items'!AH395 + '01_WHOQOL_Items'!AI395 + '01_WHOQOL_Items'!AJ395 + '01_WHOQOL_Items'!AN395 + '01_WHOQOL_Items'!AV395 + (6-'01_WHOQOL_Items'!BC395))/6)</f>
        <v>16.666666666666668</v>
      </c>
      <c r="J395" s="4">
        <f t="shared" si="93"/>
        <v>66.666666666666657</v>
      </c>
      <c r="K395" s="4">
        <f t="shared" si="94"/>
        <v>79.166666666666671</v>
      </c>
      <c r="L395" s="5">
        <f t="shared" si="95"/>
        <v>0.18750000000000025</v>
      </c>
      <c r="M395" s="4">
        <f>4*(('01_WHOQOL_Items'!W395 + '01_WHOQOL_Items'!X395 + '01_WHOQOL_Items'!Y395)/3)</f>
        <v>12</v>
      </c>
      <c r="N395" s="4">
        <f>4*(('01_WHOQOL_Items'!AW395 + '01_WHOQOL_Items'!AX395 + '01_WHOQOL_Items'!AY395)/3)</f>
        <v>10.666666666666666</v>
      </c>
      <c r="O395" s="4">
        <f t="shared" si="96"/>
        <v>50</v>
      </c>
      <c r="P395" s="4">
        <f t="shared" si="97"/>
        <v>41.666666666666664</v>
      </c>
      <c r="Q395" s="5">
        <f t="shared" si="98"/>
        <v>-0.16666666666666671</v>
      </c>
      <c r="R395" s="4">
        <f>4*(('01_WHOQOL_Items'!K395 + '01_WHOQOL_Items'!L395 + '01_WHOQOL_Items'!O395 + '01_WHOQOL_Items'!P395 + '01_WHOQOL_Items'!Q395 + '01_WHOQOL_Items'!Z395 + '01_WHOQOL_Items'!AA395 + '01_WHOQOL_Items'!AB395)/8)</f>
        <v>10</v>
      </c>
      <c r="S395" s="4">
        <f>4*(('01_WHOQOL_Items'!AK395 + '01_WHOQOL_Items'!AL395 + '01_WHOQOL_Items'!AO395 + '01_WHOQOL_Items'!AP395 + '01_WHOQOL_Items'!AQ395 + '01_WHOQOL_Items'!AZ395 + '01_WHOQOL_Items'!BA395 + '01_WHOQOL_Items'!BB395)/8)</f>
        <v>11.5</v>
      </c>
      <c r="T395" s="4">
        <f t="shared" si="99"/>
        <v>37.5</v>
      </c>
      <c r="U395" s="4">
        <f t="shared" si="100"/>
        <v>46.875</v>
      </c>
      <c r="V395" s="5">
        <f t="shared" si="101"/>
        <v>0.25</v>
      </c>
      <c r="W395" s="4">
        <f t="shared" si="102"/>
        <v>53.720238095238088</v>
      </c>
      <c r="X395" s="4">
        <f t="shared" si="103"/>
        <v>57.998511904761905</v>
      </c>
      <c r="Y395" s="5">
        <f t="shared" si="104"/>
        <v>7.9639889196676056E-2</v>
      </c>
      <c r="Z395" s="1">
        <f>'01_WHOQOL_Items'!D395</f>
        <v>3</v>
      </c>
      <c r="AA395" s="1">
        <f>'01_WHOQOL_Items'!AD395</f>
        <v>3</v>
      </c>
      <c r="AB395" s="1">
        <f>'01_WHOQOL_Items'!E395</f>
        <v>4</v>
      </c>
      <c r="AC395" s="1">
        <f>'01_WHOQOL_Items'!AE395</f>
        <v>3</v>
      </c>
    </row>
    <row r="396" spans="1:29">
      <c r="A396" s="1" t="str">
        <f>'01_WHOQOL_Items'!A396</f>
        <v>CON-114</v>
      </c>
      <c r="B396" s="1" t="str">
        <f>'01_WHOQOL_Items'!B396</f>
        <v>Control</v>
      </c>
      <c r="C396" s="4">
        <f>4*(((6-'01_WHOQOL_Items'!F396) + (6-'01_WHOQOL_Items'!G396) + '01_WHOQOL_Items'!M396 + '01_WHOQOL_Items'!R396 + '01_WHOQOL_Items'!S396 + '01_WHOQOL_Items'!T396 + '01_WHOQOL_Items'!U396)/7)</f>
        <v>6.2857142857142856</v>
      </c>
      <c r="D396" s="4">
        <f>4*(((6-'01_WHOQOL_Items'!AF396) + (6-'01_WHOQOL_Items'!AG396) + '01_WHOQOL_Items'!AM396 + '01_WHOQOL_Items'!AR396 + '01_WHOQOL_Items'!AS396 + '01_WHOQOL_Items'!AT396 + '01_WHOQOL_Items'!AU396)/7)</f>
        <v>7.4285714285714288</v>
      </c>
      <c r="E396" s="4">
        <f t="shared" si="90"/>
        <v>14.285714285714285</v>
      </c>
      <c r="F396" s="4">
        <f t="shared" si="91"/>
        <v>21.428571428571431</v>
      </c>
      <c r="G396" s="5">
        <f t="shared" si="92"/>
        <v>0.50000000000000022</v>
      </c>
      <c r="H396" s="4">
        <f>4*(('01_WHOQOL_Items'!H396 + '01_WHOQOL_Items'!I396 + '01_WHOQOL_Items'!J396 + '01_WHOQOL_Items'!N396 + '01_WHOQOL_Items'!V396 + (6-'01_WHOQOL_Items'!AC396))/6)</f>
        <v>8.6666666666666661</v>
      </c>
      <c r="I396" s="4">
        <f>4*(('01_WHOQOL_Items'!AH396 + '01_WHOQOL_Items'!AI396 + '01_WHOQOL_Items'!AJ396 + '01_WHOQOL_Items'!AN396 + '01_WHOQOL_Items'!AV396 + (6-'01_WHOQOL_Items'!BC396))/6)</f>
        <v>9.3333333333333339</v>
      </c>
      <c r="J396" s="4">
        <f t="shared" si="93"/>
        <v>29.166666666666664</v>
      </c>
      <c r="K396" s="4">
        <f t="shared" si="94"/>
        <v>33.333333333333336</v>
      </c>
      <c r="L396" s="5">
        <f t="shared" si="95"/>
        <v>0.14285714285714304</v>
      </c>
      <c r="M396" s="4">
        <f>4*(('01_WHOQOL_Items'!W396 + '01_WHOQOL_Items'!X396 + '01_WHOQOL_Items'!Y396)/3)</f>
        <v>8</v>
      </c>
      <c r="N396" s="4">
        <f>4*(('01_WHOQOL_Items'!AW396 + '01_WHOQOL_Items'!AX396 + '01_WHOQOL_Items'!AY396)/3)</f>
        <v>10.666666666666666</v>
      </c>
      <c r="O396" s="4">
        <f t="shared" si="96"/>
        <v>25</v>
      </c>
      <c r="P396" s="4">
        <f t="shared" si="97"/>
        <v>41.666666666666664</v>
      </c>
      <c r="Q396" s="5">
        <f t="shared" si="98"/>
        <v>0.66666666666666652</v>
      </c>
      <c r="R396" s="4">
        <f>4*(('01_WHOQOL_Items'!K396 + '01_WHOQOL_Items'!L396 + '01_WHOQOL_Items'!O396 + '01_WHOQOL_Items'!P396 + '01_WHOQOL_Items'!Q396 + '01_WHOQOL_Items'!Z396 + '01_WHOQOL_Items'!AA396 + '01_WHOQOL_Items'!AB396)/8)</f>
        <v>11.5</v>
      </c>
      <c r="S396" s="4">
        <f>4*(('01_WHOQOL_Items'!AK396 + '01_WHOQOL_Items'!AL396 + '01_WHOQOL_Items'!AO396 + '01_WHOQOL_Items'!AP396 + '01_WHOQOL_Items'!AQ396 + '01_WHOQOL_Items'!AZ396 + '01_WHOQOL_Items'!BA396 + '01_WHOQOL_Items'!BB396)/8)</f>
        <v>13</v>
      </c>
      <c r="T396" s="4">
        <f t="shared" si="99"/>
        <v>46.875</v>
      </c>
      <c r="U396" s="4">
        <f t="shared" si="100"/>
        <v>56.25</v>
      </c>
      <c r="V396" s="5">
        <f t="shared" si="101"/>
        <v>0.2</v>
      </c>
      <c r="W396" s="4">
        <f t="shared" si="102"/>
        <v>28.831845238095237</v>
      </c>
      <c r="X396" s="4">
        <f t="shared" si="103"/>
        <v>38.169642857142861</v>
      </c>
      <c r="Y396" s="5">
        <f t="shared" si="104"/>
        <v>0.32387096774193569</v>
      </c>
      <c r="Z396" s="1">
        <f>'01_WHOQOL_Items'!D396</f>
        <v>2</v>
      </c>
      <c r="AA396" s="1">
        <f>'01_WHOQOL_Items'!AD396</f>
        <v>2</v>
      </c>
      <c r="AB396" s="1">
        <f>'01_WHOQOL_Items'!E396</f>
        <v>2</v>
      </c>
      <c r="AC396" s="1">
        <f>'01_WHOQOL_Items'!AE396</f>
        <v>2</v>
      </c>
    </row>
    <row r="397" spans="1:29">
      <c r="A397" s="1" t="str">
        <f>'01_WHOQOL_Items'!A397</f>
        <v>CON-115</v>
      </c>
      <c r="B397" s="1" t="str">
        <f>'01_WHOQOL_Items'!B397</f>
        <v>Control</v>
      </c>
      <c r="C397" s="4">
        <f>4*(((6-'01_WHOQOL_Items'!F397) + (6-'01_WHOQOL_Items'!G397) + '01_WHOQOL_Items'!M397 + '01_WHOQOL_Items'!R397 + '01_WHOQOL_Items'!S397 + '01_WHOQOL_Items'!T397 + '01_WHOQOL_Items'!U397)/7)</f>
        <v>12</v>
      </c>
      <c r="D397" s="4">
        <f>4*(((6-'01_WHOQOL_Items'!AF397) + (6-'01_WHOQOL_Items'!AG397) + '01_WHOQOL_Items'!AM397 + '01_WHOQOL_Items'!AR397 + '01_WHOQOL_Items'!AS397 + '01_WHOQOL_Items'!AT397 + '01_WHOQOL_Items'!AU397)/7)</f>
        <v>11.428571428571429</v>
      </c>
      <c r="E397" s="4">
        <f t="shared" si="90"/>
        <v>50</v>
      </c>
      <c r="F397" s="4">
        <f t="shared" si="91"/>
        <v>46.428571428571431</v>
      </c>
      <c r="G397" s="5">
        <f t="shared" si="92"/>
        <v>-7.1428571428571383E-2</v>
      </c>
      <c r="H397" s="4">
        <f>4*(('01_WHOQOL_Items'!H397 + '01_WHOQOL_Items'!I397 + '01_WHOQOL_Items'!J397 + '01_WHOQOL_Items'!N397 + '01_WHOQOL_Items'!V397 + (6-'01_WHOQOL_Items'!AC397))/6)</f>
        <v>13.333333333333334</v>
      </c>
      <c r="I397" s="4">
        <f>4*(('01_WHOQOL_Items'!AH397 + '01_WHOQOL_Items'!AI397 + '01_WHOQOL_Items'!AJ397 + '01_WHOQOL_Items'!AN397 + '01_WHOQOL_Items'!AV397 + (6-'01_WHOQOL_Items'!BC397))/6)</f>
        <v>13.333333333333334</v>
      </c>
      <c r="J397" s="4">
        <f t="shared" si="93"/>
        <v>58.333333333333336</v>
      </c>
      <c r="K397" s="4">
        <f t="shared" si="94"/>
        <v>58.333333333333336</v>
      </c>
      <c r="L397" s="5">
        <f t="shared" si="95"/>
        <v>0</v>
      </c>
      <c r="M397" s="4">
        <f>4*(('01_WHOQOL_Items'!W397 + '01_WHOQOL_Items'!X397 + '01_WHOQOL_Items'!Y397)/3)</f>
        <v>14.666666666666666</v>
      </c>
      <c r="N397" s="4">
        <f>4*(('01_WHOQOL_Items'!AW397 + '01_WHOQOL_Items'!AX397 + '01_WHOQOL_Items'!AY397)/3)</f>
        <v>14.666666666666666</v>
      </c>
      <c r="O397" s="4">
        <f t="shared" si="96"/>
        <v>66.666666666666657</v>
      </c>
      <c r="P397" s="4">
        <f t="shared" si="97"/>
        <v>66.666666666666657</v>
      </c>
      <c r="Q397" s="5">
        <f t="shared" si="98"/>
        <v>0</v>
      </c>
      <c r="R397" s="4">
        <f>4*(('01_WHOQOL_Items'!K397 + '01_WHOQOL_Items'!L397 + '01_WHOQOL_Items'!O397 + '01_WHOQOL_Items'!P397 + '01_WHOQOL_Items'!Q397 + '01_WHOQOL_Items'!Z397 + '01_WHOQOL_Items'!AA397 + '01_WHOQOL_Items'!AB397)/8)</f>
        <v>8.5</v>
      </c>
      <c r="S397" s="4">
        <f>4*(('01_WHOQOL_Items'!AK397 + '01_WHOQOL_Items'!AL397 + '01_WHOQOL_Items'!AO397 + '01_WHOQOL_Items'!AP397 + '01_WHOQOL_Items'!AQ397 + '01_WHOQOL_Items'!AZ397 + '01_WHOQOL_Items'!BA397 + '01_WHOQOL_Items'!BB397)/8)</f>
        <v>9</v>
      </c>
      <c r="T397" s="4">
        <f t="shared" si="99"/>
        <v>28.125</v>
      </c>
      <c r="U397" s="4">
        <f t="shared" si="100"/>
        <v>31.25</v>
      </c>
      <c r="V397" s="5">
        <f t="shared" si="101"/>
        <v>0.1111111111111111</v>
      </c>
      <c r="W397" s="4">
        <f t="shared" si="102"/>
        <v>50.78125</v>
      </c>
      <c r="X397" s="4">
        <f t="shared" si="103"/>
        <v>50.669642857142854</v>
      </c>
      <c r="Y397" s="5">
        <f t="shared" si="104"/>
        <v>-2.1978021978022576E-3</v>
      </c>
      <c r="Z397" s="1">
        <f>'01_WHOQOL_Items'!D397</f>
        <v>3</v>
      </c>
      <c r="AA397" s="1">
        <f>'01_WHOQOL_Items'!AD397</f>
        <v>3</v>
      </c>
      <c r="AB397" s="1">
        <f>'01_WHOQOL_Items'!E397</f>
        <v>3</v>
      </c>
      <c r="AC397" s="1">
        <f>'01_WHOQOL_Items'!AE397</f>
        <v>3</v>
      </c>
    </row>
    <row r="398" spans="1:29">
      <c r="A398" s="1" t="str">
        <f>'01_WHOQOL_Items'!A398</f>
        <v>CON-116</v>
      </c>
      <c r="B398" s="1" t="str">
        <f>'01_WHOQOL_Items'!B398</f>
        <v>Control</v>
      </c>
      <c r="C398" s="4">
        <f>4*(((6-'01_WHOQOL_Items'!F398) + (6-'01_WHOQOL_Items'!G398) + '01_WHOQOL_Items'!M398 + '01_WHOQOL_Items'!R398 + '01_WHOQOL_Items'!S398 + '01_WHOQOL_Items'!T398 + '01_WHOQOL_Items'!U398)/7)</f>
        <v>12</v>
      </c>
      <c r="D398" s="4">
        <f>4*(((6-'01_WHOQOL_Items'!AF398) + (6-'01_WHOQOL_Items'!AG398) + '01_WHOQOL_Items'!AM398 + '01_WHOQOL_Items'!AR398 + '01_WHOQOL_Items'!AS398 + '01_WHOQOL_Items'!AT398 + '01_WHOQOL_Items'!AU398)/7)</f>
        <v>14.285714285714286</v>
      </c>
      <c r="E398" s="4">
        <f t="shared" si="90"/>
        <v>50</v>
      </c>
      <c r="F398" s="4">
        <f t="shared" si="91"/>
        <v>64.285714285714292</v>
      </c>
      <c r="G398" s="5">
        <f t="shared" si="92"/>
        <v>0.28571428571428581</v>
      </c>
      <c r="H398" s="4">
        <f>4*(('01_WHOQOL_Items'!H398 + '01_WHOQOL_Items'!I398 + '01_WHOQOL_Items'!J398 + '01_WHOQOL_Items'!N398 + '01_WHOQOL_Items'!V398 + (6-'01_WHOQOL_Items'!AC398))/6)</f>
        <v>8.6666666666666661</v>
      </c>
      <c r="I398" s="4">
        <f>4*(('01_WHOQOL_Items'!AH398 + '01_WHOQOL_Items'!AI398 + '01_WHOQOL_Items'!AJ398 + '01_WHOQOL_Items'!AN398 + '01_WHOQOL_Items'!AV398 + (6-'01_WHOQOL_Items'!BC398))/6)</f>
        <v>8.6666666666666661</v>
      </c>
      <c r="J398" s="4">
        <f t="shared" si="93"/>
        <v>29.166666666666664</v>
      </c>
      <c r="K398" s="4">
        <f t="shared" si="94"/>
        <v>29.166666666666664</v>
      </c>
      <c r="L398" s="5">
        <f t="shared" si="95"/>
        <v>0</v>
      </c>
      <c r="M398" s="4">
        <f>4*(('01_WHOQOL_Items'!W398 + '01_WHOQOL_Items'!X398 + '01_WHOQOL_Items'!Y398)/3)</f>
        <v>9.3333333333333339</v>
      </c>
      <c r="N398" s="4">
        <f>4*(('01_WHOQOL_Items'!AW398 + '01_WHOQOL_Items'!AX398 + '01_WHOQOL_Items'!AY398)/3)</f>
        <v>9.3333333333333339</v>
      </c>
      <c r="O398" s="4">
        <f t="shared" si="96"/>
        <v>33.333333333333336</v>
      </c>
      <c r="P398" s="4">
        <f t="shared" si="97"/>
        <v>33.333333333333336</v>
      </c>
      <c r="Q398" s="5">
        <f t="shared" si="98"/>
        <v>0</v>
      </c>
      <c r="R398" s="4">
        <f>4*(('01_WHOQOL_Items'!K398 + '01_WHOQOL_Items'!L398 + '01_WHOQOL_Items'!O398 + '01_WHOQOL_Items'!P398 + '01_WHOQOL_Items'!Q398 + '01_WHOQOL_Items'!Z398 + '01_WHOQOL_Items'!AA398 + '01_WHOQOL_Items'!AB398)/8)</f>
        <v>11</v>
      </c>
      <c r="S398" s="4">
        <f>4*(('01_WHOQOL_Items'!AK398 + '01_WHOQOL_Items'!AL398 + '01_WHOQOL_Items'!AO398 + '01_WHOQOL_Items'!AP398 + '01_WHOQOL_Items'!AQ398 + '01_WHOQOL_Items'!AZ398 + '01_WHOQOL_Items'!BA398 + '01_WHOQOL_Items'!BB398)/8)</f>
        <v>11.5</v>
      </c>
      <c r="T398" s="4">
        <f t="shared" si="99"/>
        <v>43.75</v>
      </c>
      <c r="U398" s="4">
        <f t="shared" si="100"/>
        <v>46.875</v>
      </c>
      <c r="V398" s="5">
        <f t="shared" si="101"/>
        <v>7.1428571428571425E-2</v>
      </c>
      <c r="W398" s="4">
        <f t="shared" si="102"/>
        <v>39.0625</v>
      </c>
      <c r="X398" s="4">
        <f t="shared" si="103"/>
        <v>43.415178571428577</v>
      </c>
      <c r="Y398" s="5">
        <f t="shared" si="104"/>
        <v>0.11142857142857156</v>
      </c>
      <c r="Z398" s="1">
        <f>'01_WHOQOL_Items'!D398</f>
        <v>2</v>
      </c>
      <c r="AA398" s="1">
        <f>'01_WHOQOL_Items'!AD398</f>
        <v>2</v>
      </c>
      <c r="AB398" s="1">
        <f>'01_WHOQOL_Items'!E398</f>
        <v>3</v>
      </c>
      <c r="AC398" s="1">
        <f>'01_WHOQOL_Items'!AE398</f>
        <v>5</v>
      </c>
    </row>
    <row r="399" spans="1:29">
      <c r="A399" s="1" t="str">
        <f>'01_WHOQOL_Items'!A399</f>
        <v>CON-117</v>
      </c>
      <c r="B399" s="1" t="str">
        <f>'01_WHOQOL_Items'!B399</f>
        <v>Control</v>
      </c>
      <c r="C399" s="4">
        <f>4*(((6-'01_WHOQOL_Items'!F399) + (6-'01_WHOQOL_Items'!G399) + '01_WHOQOL_Items'!M399 + '01_WHOQOL_Items'!R399 + '01_WHOQOL_Items'!S399 + '01_WHOQOL_Items'!T399 + '01_WHOQOL_Items'!U399)/7)</f>
        <v>12</v>
      </c>
      <c r="D399" s="4">
        <f>4*(((6-'01_WHOQOL_Items'!AF399) + (6-'01_WHOQOL_Items'!AG399) + '01_WHOQOL_Items'!AM399 + '01_WHOQOL_Items'!AR399 + '01_WHOQOL_Items'!AS399 + '01_WHOQOL_Items'!AT399 + '01_WHOQOL_Items'!AU399)/7)</f>
        <v>16</v>
      </c>
      <c r="E399" s="4">
        <f t="shared" si="90"/>
        <v>50</v>
      </c>
      <c r="F399" s="4">
        <f t="shared" si="91"/>
        <v>75</v>
      </c>
      <c r="G399" s="5">
        <f t="shared" si="92"/>
        <v>0.5</v>
      </c>
      <c r="H399" s="4">
        <f>4*(('01_WHOQOL_Items'!H399 + '01_WHOQOL_Items'!I399 + '01_WHOQOL_Items'!J399 + '01_WHOQOL_Items'!N399 + '01_WHOQOL_Items'!V399 + (6-'01_WHOQOL_Items'!AC399))/6)</f>
        <v>14</v>
      </c>
      <c r="I399" s="4">
        <f>4*(('01_WHOQOL_Items'!AH399 + '01_WHOQOL_Items'!AI399 + '01_WHOQOL_Items'!AJ399 + '01_WHOQOL_Items'!AN399 + '01_WHOQOL_Items'!AV399 + (6-'01_WHOQOL_Items'!BC399))/6)</f>
        <v>15.333333333333334</v>
      </c>
      <c r="J399" s="4">
        <f t="shared" si="93"/>
        <v>62.5</v>
      </c>
      <c r="K399" s="4">
        <f t="shared" si="94"/>
        <v>70.833333333333343</v>
      </c>
      <c r="L399" s="5">
        <f t="shared" si="95"/>
        <v>0.1333333333333335</v>
      </c>
      <c r="M399" s="4">
        <f>4*(('01_WHOQOL_Items'!W399 + '01_WHOQOL_Items'!X399 + '01_WHOQOL_Items'!Y399)/3)</f>
        <v>12</v>
      </c>
      <c r="N399" s="4">
        <f>4*(('01_WHOQOL_Items'!AW399 + '01_WHOQOL_Items'!AX399 + '01_WHOQOL_Items'!AY399)/3)</f>
        <v>12</v>
      </c>
      <c r="O399" s="4">
        <f t="shared" si="96"/>
        <v>50</v>
      </c>
      <c r="P399" s="4">
        <f t="shared" si="97"/>
        <v>50</v>
      </c>
      <c r="Q399" s="5">
        <f t="shared" si="98"/>
        <v>0</v>
      </c>
      <c r="R399" s="4">
        <f>4*(('01_WHOQOL_Items'!K399 + '01_WHOQOL_Items'!L399 + '01_WHOQOL_Items'!O399 + '01_WHOQOL_Items'!P399 + '01_WHOQOL_Items'!Q399 + '01_WHOQOL_Items'!Z399 + '01_WHOQOL_Items'!AA399 + '01_WHOQOL_Items'!AB399)/8)</f>
        <v>9.5</v>
      </c>
      <c r="S399" s="4">
        <f>4*(('01_WHOQOL_Items'!AK399 + '01_WHOQOL_Items'!AL399 + '01_WHOQOL_Items'!AO399 + '01_WHOQOL_Items'!AP399 + '01_WHOQOL_Items'!AQ399 + '01_WHOQOL_Items'!AZ399 + '01_WHOQOL_Items'!BA399 + '01_WHOQOL_Items'!BB399)/8)</f>
        <v>10.5</v>
      </c>
      <c r="T399" s="4">
        <f t="shared" si="99"/>
        <v>34.375</v>
      </c>
      <c r="U399" s="4">
        <f t="shared" si="100"/>
        <v>40.625</v>
      </c>
      <c r="V399" s="5">
        <f t="shared" si="101"/>
        <v>0.18181818181818182</v>
      </c>
      <c r="W399" s="4">
        <f t="shared" si="102"/>
        <v>49.21875</v>
      </c>
      <c r="X399" s="4">
        <f t="shared" si="103"/>
        <v>59.114583333333336</v>
      </c>
      <c r="Y399" s="5">
        <f t="shared" si="104"/>
        <v>0.2010582010582011</v>
      </c>
      <c r="Z399" s="1">
        <f>'01_WHOQOL_Items'!D399</f>
        <v>2</v>
      </c>
      <c r="AA399" s="1">
        <f>'01_WHOQOL_Items'!AD399</f>
        <v>3</v>
      </c>
      <c r="AB399" s="1">
        <f>'01_WHOQOL_Items'!E399</f>
        <v>3</v>
      </c>
      <c r="AC399" s="1">
        <f>'01_WHOQOL_Items'!AE399</f>
        <v>4</v>
      </c>
    </row>
    <row r="400" spans="1:29">
      <c r="A400" s="1" t="str">
        <f>'01_WHOQOL_Items'!A400</f>
        <v>CON-118</v>
      </c>
      <c r="B400" s="1" t="str">
        <f>'01_WHOQOL_Items'!B400</f>
        <v>Control</v>
      </c>
      <c r="C400" s="4">
        <f>4*(((6-'01_WHOQOL_Items'!F400) + (6-'01_WHOQOL_Items'!G400) + '01_WHOQOL_Items'!M400 + '01_WHOQOL_Items'!R400 + '01_WHOQOL_Items'!S400 + '01_WHOQOL_Items'!T400 + '01_WHOQOL_Items'!U400)/7)</f>
        <v>10.285714285714286</v>
      </c>
      <c r="D400" s="4">
        <f>4*(((6-'01_WHOQOL_Items'!AF400) + (6-'01_WHOQOL_Items'!AG400) + '01_WHOQOL_Items'!AM400 + '01_WHOQOL_Items'!AR400 + '01_WHOQOL_Items'!AS400 + '01_WHOQOL_Items'!AT400 + '01_WHOQOL_Items'!AU400)/7)</f>
        <v>12.571428571428571</v>
      </c>
      <c r="E400" s="4">
        <f t="shared" si="90"/>
        <v>39.285714285714292</v>
      </c>
      <c r="F400" s="4">
        <f t="shared" si="91"/>
        <v>53.571428571428569</v>
      </c>
      <c r="G400" s="5">
        <f t="shared" si="92"/>
        <v>0.36363636363636337</v>
      </c>
      <c r="H400" s="4">
        <f>4*(('01_WHOQOL_Items'!H400 + '01_WHOQOL_Items'!I400 + '01_WHOQOL_Items'!J400 + '01_WHOQOL_Items'!N400 + '01_WHOQOL_Items'!V400 + (6-'01_WHOQOL_Items'!AC400))/6)</f>
        <v>12</v>
      </c>
      <c r="I400" s="4">
        <f>4*(('01_WHOQOL_Items'!AH400 + '01_WHOQOL_Items'!AI400 + '01_WHOQOL_Items'!AJ400 + '01_WHOQOL_Items'!AN400 + '01_WHOQOL_Items'!AV400 + (6-'01_WHOQOL_Items'!BC400))/6)</f>
        <v>14</v>
      </c>
      <c r="J400" s="4">
        <f t="shared" si="93"/>
        <v>50</v>
      </c>
      <c r="K400" s="4">
        <f t="shared" si="94"/>
        <v>62.5</v>
      </c>
      <c r="L400" s="5">
        <f t="shared" si="95"/>
        <v>0.25</v>
      </c>
      <c r="M400" s="4">
        <f>4*(('01_WHOQOL_Items'!W400 + '01_WHOQOL_Items'!X400 + '01_WHOQOL_Items'!Y400)/3)</f>
        <v>9.3333333333333339</v>
      </c>
      <c r="N400" s="4">
        <f>4*(('01_WHOQOL_Items'!AW400 + '01_WHOQOL_Items'!AX400 + '01_WHOQOL_Items'!AY400)/3)</f>
        <v>9.3333333333333339</v>
      </c>
      <c r="O400" s="4">
        <f t="shared" si="96"/>
        <v>33.333333333333336</v>
      </c>
      <c r="P400" s="4">
        <f t="shared" si="97"/>
        <v>33.333333333333336</v>
      </c>
      <c r="Q400" s="5">
        <f t="shared" si="98"/>
        <v>0</v>
      </c>
      <c r="R400" s="4">
        <f>4*(('01_WHOQOL_Items'!K400 + '01_WHOQOL_Items'!L400 + '01_WHOQOL_Items'!O400 + '01_WHOQOL_Items'!P400 + '01_WHOQOL_Items'!Q400 + '01_WHOQOL_Items'!Z400 + '01_WHOQOL_Items'!AA400 + '01_WHOQOL_Items'!AB400)/8)</f>
        <v>12</v>
      </c>
      <c r="S400" s="4">
        <f>4*(('01_WHOQOL_Items'!AK400 + '01_WHOQOL_Items'!AL400 + '01_WHOQOL_Items'!AO400 + '01_WHOQOL_Items'!AP400 + '01_WHOQOL_Items'!AQ400 + '01_WHOQOL_Items'!AZ400 + '01_WHOQOL_Items'!BA400 + '01_WHOQOL_Items'!BB400)/8)</f>
        <v>11</v>
      </c>
      <c r="T400" s="4">
        <f t="shared" si="99"/>
        <v>50</v>
      </c>
      <c r="U400" s="4">
        <f t="shared" si="100"/>
        <v>43.75</v>
      </c>
      <c r="V400" s="5">
        <f t="shared" si="101"/>
        <v>-0.125</v>
      </c>
      <c r="W400" s="4">
        <f t="shared" si="102"/>
        <v>43.154761904761905</v>
      </c>
      <c r="X400" s="4">
        <f t="shared" si="103"/>
        <v>48.288690476190474</v>
      </c>
      <c r="Y400" s="5">
        <f t="shared" si="104"/>
        <v>0.11896551724137926</v>
      </c>
      <c r="Z400" s="1">
        <f>'01_WHOQOL_Items'!D400</f>
        <v>2</v>
      </c>
      <c r="AA400" s="1">
        <f>'01_WHOQOL_Items'!AD400</f>
        <v>2</v>
      </c>
      <c r="AB400" s="1">
        <f>'01_WHOQOL_Items'!E400</f>
        <v>3</v>
      </c>
      <c r="AC400" s="1">
        <f>'01_WHOQOL_Items'!AE400</f>
        <v>2</v>
      </c>
    </row>
    <row r="401" spans="1:29">
      <c r="A401" s="1" t="str">
        <f>'01_WHOQOL_Items'!A401</f>
        <v>CON-119</v>
      </c>
      <c r="B401" s="1" t="str">
        <f>'01_WHOQOL_Items'!B401</f>
        <v>Control</v>
      </c>
      <c r="C401" s="4">
        <f>4*(((6-'01_WHOQOL_Items'!F401) + (6-'01_WHOQOL_Items'!G401) + '01_WHOQOL_Items'!M401 + '01_WHOQOL_Items'!R401 + '01_WHOQOL_Items'!S401 + '01_WHOQOL_Items'!T401 + '01_WHOQOL_Items'!U401)/7)</f>
        <v>16</v>
      </c>
      <c r="D401" s="4">
        <f>4*(((6-'01_WHOQOL_Items'!AF401) + (6-'01_WHOQOL_Items'!AG401) + '01_WHOQOL_Items'!AM401 + '01_WHOQOL_Items'!AR401 + '01_WHOQOL_Items'!AS401 + '01_WHOQOL_Items'!AT401 + '01_WHOQOL_Items'!AU401)/7)</f>
        <v>12.571428571428571</v>
      </c>
      <c r="E401" s="4">
        <f t="shared" si="90"/>
        <v>75</v>
      </c>
      <c r="F401" s="4">
        <f t="shared" si="91"/>
        <v>53.571428571428569</v>
      </c>
      <c r="G401" s="5">
        <f t="shared" si="92"/>
        <v>-0.28571428571428575</v>
      </c>
      <c r="H401" s="4">
        <f>4*(('01_WHOQOL_Items'!H401 + '01_WHOQOL_Items'!I401 + '01_WHOQOL_Items'!J401 + '01_WHOQOL_Items'!N401 + '01_WHOQOL_Items'!V401 + (6-'01_WHOQOL_Items'!AC401))/6)</f>
        <v>12.666666666666666</v>
      </c>
      <c r="I401" s="4">
        <f>4*(('01_WHOQOL_Items'!AH401 + '01_WHOQOL_Items'!AI401 + '01_WHOQOL_Items'!AJ401 + '01_WHOQOL_Items'!AN401 + '01_WHOQOL_Items'!AV401 + (6-'01_WHOQOL_Items'!BC401))/6)</f>
        <v>14</v>
      </c>
      <c r="J401" s="4">
        <f t="shared" si="93"/>
        <v>54.166666666666664</v>
      </c>
      <c r="K401" s="4">
        <f t="shared" si="94"/>
        <v>62.5</v>
      </c>
      <c r="L401" s="5">
        <f t="shared" si="95"/>
        <v>0.15384615384615391</v>
      </c>
      <c r="M401" s="4">
        <f>4*(('01_WHOQOL_Items'!W401 + '01_WHOQOL_Items'!X401 + '01_WHOQOL_Items'!Y401)/3)</f>
        <v>10.666666666666666</v>
      </c>
      <c r="N401" s="4">
        <f>4*(('01_WHOQOL_Items'!AW401 + '01_WHOQOL_Items'!AX401 + '01_WHOQOL_Items'!AY401)/3)</f>
        <v>8</v>
      </c>
      <c r="O401" s="4">
        <f t="shared" si="96"/>
        <v>41.666666666666664</v>
      </c>
      <c r="P401" s="4">
        <f t="shared" si="97"/>
        <v>25</v>
      </c>
      <c r="Q401" s="5">
        <f t="shared" si="98"/>
        <v>-0.39999999999999997</v>
      </c>
      <c r="R401" s="4">
        <f>4*(('01_WHOQOL_Items'!K401 + '01_WHOQOL_Items'!L401 + '01_WHOQOL_Items'!O401 + '01_WHOQOL_Items'!P401 + '01_WHOQOL_Items'!Q401 + '01_WHOQOL_Items'!Z401 + '01_WHOQOL_Items'!AA401 + '01_WHOQOL_Items'!AB401)/8)</f>
        <v>9.5</v>
      </c>
      <c r="S401" s="4">
        <f>4*(('01_WHOQOL_Items'!AK401 + '01_WHOQOL_Items'!AL401 + '01_WHOQOL_Items'!AO401 + '01_WHOQOL_Items'!AP401 + '01_WHOQOL_Items'!AQ401 + '01_WHOQOL_Items'!AZ401 + '01_WHOQOL_Items'!BA401 + '01_WHOQOL_Items'!BB401)/8)</f>
        <v>8.5</v>
      </c>
      <c r="T401" s="4">
        <f t="shared" si="99"/>
        <v>34.375</v>
      </c>
      <c r="U401" s="4">
        <f t="shared" si="100"/>
        <v>28.125</v>
      </c>
      <c r="V401" s="5">
        <f t="shared" si="101"/>
        <v>-0.18181818181818182</v>
      </c>
      <c r="W401" s="4">
        <f t="shared" si="102"/>
        <v>51.302083333333329</v>
      </c>
      <c r="X401" s="4">
        <f t="shared" si="103"/>
        <v>42.299107142857139</v>
      </c>
      <c r="Y401" s="5">
        <f t="shared" si="104"/>
        <v>-0.17548948513415519</v>
      </c>
      <c r="Z401" s="1">
        <f>'01_WHOQOL_Items'!D401</f>
        <v>3</v>
      </c>
      <c r="AA401" s="1">
        <f>'01_WHOQOL_Items'!AD401</f>
        <v>3</v>
      </c>
      <c r="AB401" s="1">
        <f>'01_WHOQOL_Items'!E401</f>
        <v>4</v>
      </c>
      <c r="AC401" s="1">
        <f>'01_WHOQOL_Items'!AE401</f>
        <v>3</v>
      </c>
    </row>
    <row r="402" spans="1:29">
      <c r="A402" s="1" t="str">
        <f>'01_WHOQOL_Items'!A402</f>
        <v>CON-120</v>
      </c>
      <c r="B402" s="1" t="str">
        <f>'01_WHOQOL_Items'!B402</f>
        <v>Control</v>
      </c>
      <c r="C402" s="4">
        <f>4*(((6-'01_WHOQOL_Items'!F402) + (6-'01_WHOQOL_Items'!G402) + '01_WHOQOL_Items'!M402 + '01_WHOQOL_Items'!R402 + '01_WHOQOL_Items'!S402 + '01_WHOQOL_Items'!T402 + '01_WHOQOL_Items'!U402)/7)</f>
        <v>16.571428571428573</v>
      </c>
      <c r="D402" s="4">
        <f>4*(((6-'01_WHOQOL_Items'!AF402) + (6-'01_WHOQOL_Items'!AG402) + '01_WHOQOL_Items'!AM402 + '01_WHOQOL_Items'!AR402 + '01_WHOQOL_Items'!AS402 + '01_WHOQOL_Items'!AT402 + '01_WHOQOL_Items'!AU402)/7)</f>
        <v>18.285714285714285</v>
      </c>
      <c r="E402" s="4">
        <f t="shared" si="90"/>
        <v>78.571428571428584</v>
      </c>
      <c r="F402" s="4">
        <f t="shared" si="91"/>
        <v>89.285714285714278</v>
      </c>
      <c r="G402" s="5">
        <f t="shared" si="92"/>
        <v>0.13636363636363608</v>
      </c>
      <c r="H402" s="4">
        <f>4*(('01_WHOQOL_Items'!H402 + '01_WHOQOL_Items'!I402 + '01_WHOQOL_Items'!J402 + '01_WHOQOL_Items'!N402 + '01_WHOQOL_Items'!V402 + (6-'01_WHOQOL_Items'!AC402))/6)</f>
        <v>8.6666666666666661</v>
      </c>
      <c r="I402" s="4">
        <f>4*(('01_WHOQOL_Items'!AH402 + '01_WHOQOL_Items'!AI402 + '01_WHOQOL_Items'!AJ402 + '01_WHOQOL_Items'!AN402 + '01_WHOQOL_Items'!AV402 + (6-'01_WHOQOL_Items'!BC402))/6)</f>
        <v>11.333333333333334</v>
      </c>
      <c r="J402" s="4">
        <f t="shared" si="93"/>
        <v>29.166666666666664</v>
      </c>
      <c r="K402" s="4">
        <f t="shared" si="94"/>
        <v>45.833333333333336</v>
      </c>
      <c r="L402" s="5">
        <f t="shared" si="95"/>
        <v>0.57142857142857162</v>
      </c>
      <c r="M402" s="4">
        <f>4*(('01_WHOQOL_Items'!W402 + '01_WHOQOL_Items'!X402 + '01_WHOQOL_Items'!Y402)/3)</f>
        <v>10.666666666666666</v>
      </c>
      <c r="N402" s="4">
        <f>4*(('01_WHOQOL_Items'!AW402 + '01_WHOQOL_Items'!AX402 + '01_WHOQOL_Items'!AY402)/3)</f>
        <v>10.666666666666666</v>
      </c>
      <c r="O402" s="4">
        <f t="shared" si="96"/>
        <v>41.666666666666664</v>
      </c>
      <c r="P402" s="4">
        <f t="shared" si="97"/>
        <v>41.666666666666664</v>
      </c>
      <c r="Q402" s="5">
        <f t="shared" si="98"/>
        <v>0</v>
      </c>
      <c r="R402" s="4">
        <f>4*(('01_WHOQOL_Items'!K402 + '01_WHOQOL_Items'!L402 + '01_WHOQOL_Items'!O402 + '01_WHOQOL_Items'!P402 + '01_WHOQOL_Items'!Q402 + '01_WHOQOL_Items'!Z402 + '01_WHOQOL_Items'!AA402 + '01_WHOQOL_Items'!AB402)/8)</f>
        <v>12</v>
      </c>
      <c r="S402" s="4">
        <f>4*(('01_WHOQOL_Items'!AK402 + '01_WHOQOL_Items'!AL402 + '01_WHOQOL_Items'!AO402 + '01_WHOQOL_Items'!AP402 + '01_WHOQOL_Items'!AQ402 + '01_WHOQOL_Items'!AZ402 + '01_WHOQOL_Items'!BA402 + '01_WHOQOL_Items'!BB402)/8)</f>
        <v>11</v>
      </c>
      <c r="T402" s="4">
        <f t="shared" si="99"/>
        <v>50</v>
      </c>
      <c r="U402" s="4">
        <f t="shared" si="100"/>
        <v>43.75</v>
      </c>
      <c r="V402" s="5">
        <f t="shared" si="101"/>
        <v>-0.125</v>
      </c>
      <c r="W402" s="4">
        <f t="shared" si="102"/>
        <v>49.851190476190474</v>
      </c>
      <c r="X402" s="4">
        <f t="shared" si="103"/>
        <v>55.133928571428569</v>
      </c>
      <c r="Y402" s="5">
        <f t="shared" si="104"/>
        <v>0.10597014925373134</v>
      </c>
      <c r="Z402" s="1">
        <f>'01_WHOQOL_Items'!D402</f>
        <v>2</v>
      </c>
      <c r="AA402" s="1">
        <f>'01_WHOQOL_Items'!AD402</f>
        <v>4</v>
      </c>
      <c r="AB402" s="1">
        <f>'01_WHOQOL_Items'!E402</f>
        <v>4</v>
      </c>
      <c r="AC402" s="1">
        <f>'01_WHOQOL_Items'!AE402</f>
        <v>4</v>
      </c>
    </row>
    <row r="403" spans="1:29">
      <c r="A403" s="1" t="str">
        <f>'01_WHOQOL_Items'!A403</f>
        <v>CON-121</v>
      </c>
      <c r="B403" s="1" t="str">
        <f>'01_WHOQOL_Items'!B403</f>
        <v>Control</v>
      </c>
      <c r="C403" s="4">
        <f>4*(((6-'01_WHOQOL_Items'!F403) + (6-'01_WHOQOL_Items'!G403) + '01_WHOQOL_Items'!M403 + '01_WHOQOL_Items'!R403 + '01_WHOQOL_Items'!S403 + '01_WHOQOL_Items'!T403 + '01_WHOQOL_Items'!U403)/7)</f>
        <v>16</v>
      </c>
      <c r="D403" s="4">
        <f>4*(((6-'01_WHOQOL_Items'!AF403) + (6-'01_WHOQOL_Items'!AG403) + '01_WHOQOL_Items'!AM403 + '01_WHOQOL_Items'!AR403 + '01_WHOQOL_Items'!AS403 + '01_WHOQOL_Items'!AT403 + '01_WHOQOL_Items'!AU403)/7)</f>
        <v>15.428571428571429</v>
      </c>
      <c r="E403" s="4">
        <f t="shared" si="90"/>
        <v>75</v>
      </c>
      <c r="F403" s="4">
        <f t="shared" si="91"/>
        <v>71.428571428571431</v>
      </c>
      <c r="G403" s="5">
        <f t="shared" si="92"/>
        <v>-4.7619047619047589E-2</v>
      </c>
      <c r="H403" s="4">
        <f>4*(('01_WHOQOL_Items'!H403 + '01_WHOQOL_Items'!I403 + '01_WHOQOL_Items'!J403 + '01_WHOQOL_Items'!N403 + '01_WHOQOL_Items'!V403 + (6-'01_WHOQOL_Items'!AC403))/6)</f>
        <v>10</v>
      </c>
      <c r="I403" s="4">
        <f>4*(('01_WHOQOL_Items'!AH403 + '01_WHOQOL_Items'!AI403 + '01_WHOQOL_Items'!AJ403 + '01_WHOQOL_Items'!AN403 + '01_WHOQOL_Items'!AV403 + (6-'01_WHOQOL_Items'!BC403))/6)</f>
        <v>7.333333333333333</v>
      </c>
      <c r="J403" s="4">
        <f t="shared" si="93"/>
        <v>37.5</v>
      </c>
      <c r="K403" s="4">
        <f t="shared" si="94"/>
        <v>20.833333333333332</v>
      </c>
      <c r="L403" s="5">
        <f t="shared" si="95"/>
        <v>-0.44444444444444448</v>
      </c>
      <c r="M403" s="4">
        <f>4*(('01_WHOQOL_Items'!W403 + '01_WHOQOL_Items'!X403 + '01_WHOQOL_Items'!Y403)/3)</f>
        <v>12</v>
      </c>
      <c r="N403" s="4">
        <f>4*(('01_WHOQOL_Items'!AW403 + '01_WHOQOL_Items'!AX403 + '01_WHOQOL_Items'!AY403)/3)</f>
        <v>14.666666666666666</v>
      </c>
      <c r="O403" s="4">
        <f t="shared" si="96"/>
        <v>50</v>
      </c>
      <c r="P403" s="4">
        <f t="shared" si="97"/>
        <v>66.666666666666657</v>
      </c>
      <c r="Q403" s="5">
        <f t="shared" si="98"/>
        <v>0.33333333333333315</v>
      </c>
      <c r="R403" s="4">
        <f>4*(('01_WHOQOL_Items'!K403 + '01_WHOQOL_Items'!L403 + '01_WHOQOL_Items'!O403 + '01_WHOQOL_Items'!P403 + '01_WHOQOL_Items'!Q403 + '01_WHOQOL_Items'!Z403 + '01_WHOQOL_Items'!AA403 + '01_WHOQOL_Items'!AB403)/8)</f>
        <v>8.5</v>
      </c>
      <c r="S403" s="4">
        <f>4*(('01_WHOQOL_Items'!AK403 + '01_WHOQOL_Items'!AL403 + '01_WHOQOL_Items'!AO403 + '01_WHOQOL_Items'!AP403 + '01_WHOQOL_Items'!AQ403 + '01_WHOQOL_Items'!AZ403 + '01_WHOQOL_Items'!BA403 + '01_WHOQOL_Items'!BB403)/8)</f>
        <v>9</v>
      </c>
      <c r="T403" s="4">
        <f t="shared" si="99"/>
        <v>28.125</v>
      </c>
      <c r="U403" s="4">
        <f t="shared" si="100"/>
        <v>31.25</v>
      </c>
      <c r="V403" s="5">
        <f t="shared" si="101"/>
        <v>0.1111111111111111</v>
      </c>
      <c r="W403" s="4">
        <f t="shared" si="102"/>
        <v>47.65625</v>
      </c>
      <c r="X403" s="4">
        <f t="shared" si="103"/>
        <v>47.544642857142854</v>
      </c>
      <c r="Y403" s="5">
        <f t="shared" si="104"/>
        <v>-2.3419203747073237E-3</v>
      </c>
      <c r="Z403" s="1">
        <f>'01_WHOQOL_Items'!D403</f>
        <v>2</v>
      </c>
      <c r="AA403" s="1">
        <f>'01_WHOQOL_Items'!AD403</f>
        <v>2</v>
      </c>
      <c r="AB403" s="1">
        <f>'01_WHOQOL_Items'!E403</f>
        <v>4</v>
      </c>
      <c r="AC403" s="1">
        <f>'01_WHOQOL_Items'!AE403</f>
        <v>4</v>
      </c>
    </row>
    <row r="404" spans="1:29">
      <c r="A404" s="1" t="str">
        <f>'01_WHOQOL_Items'!A404</f>
        <v>CON-122</v>
      </c>
      <c r="B404" s="1" t="str">
        <f>'01_WHOQOL_Items'!B404</f>
        <v>Control</v>
      </c>
      <c r="C404" s="4">
        <f>4*(((6-'01_WHOQOL_Items'!F404) + (6-'01_WHOQOL_Items'!G404) + '01_WHOQOL_Items'!M404 + '01_WHOQOL_Items'!R404 + '01_WHOQOL_Items'!S404 + '01_WHOQOL_Items'!T404 + '01_WHOQOL_Items'!U404)/7)</f>
        <v>12.571428571428571</v>
      </c>
      <c r="D404" s="4">
        <f>4*(((6-'01_WHOQOL_Items'!AF404) + (6-'01_WHOQOL_Items'!AG404) + '01_WHOQOL_Items'!AM404 + '01_WHOQOL_Items'!AR404 + '01_WHOQOL_Items'!AS404 + '01_WHOQOL_Items'!AT404 + '01_WHOQOL_Items'!AU404)/7)</f>
        <v>15.428571428571429</v>
      </c>
      <c r="E404" s="4">
        <f t="shared" si="90"/>
        <v>53.571428571428569</v>
      </c>
      <c r="F404" s="4">
        <f t="shared" si="91"/>
        <v>71.428571428571431</v>
      </c>
      <c r="G404" s="5">
        <f t="shared" si="92"/>
        <v>0.33333333333333343</v>
      </c>
      <c r="H404" s="4">
        <f>4*(('01_WHOQOL_Items'!H404 + '01_WHOQOL_Items'!I404 + '01_WHOQOL_Items'!J404 + '01_WHOQOL_Items'!N404 + '01_WHOQOL_Items'!V404 + (6-'01_WHOQOL_Items'!AC404))/6)</f>
        <v>10</v>
      </c>
      <c r="I404" s="4">
        <f>4*(('01_WHOQOL_Items'!AH404 + '01_WHOQOL_Items'!AI404 + '01_WHOQOL_Items'!AJ404 + '01_WHOQOL_Items'!AN404 + '01_WHOQOL_Items'!AV404 + (6-'01_WHOQOL_Items'!BC404))/6)</f>
        <v>10.666666666666666</v>
      </c>
      <c r="J404" s="4">
        <f t="shared" si="93"/>
        <v>37.5</v>
      </c>
      <c r="K404" s="4">
        <f t="shared" si="94"/>
        <v>41.666666666666664</v>
      </c>
      <c r="L404" s="5">
        <f t="shared" si="95"/>
        <v>0.11111111111111105</v>
      </c>
      <c r="M404" s="4">
        <f>4*(('01_WHOQOL_Items'!W404 + '01_WHOQOL_Items'!X404 + '01_WHOQOL_Items'!Y404)/3)</f>
        <v>12</v>
      </c>
      <c r="N404" s="4">
        <f>4*(('01_WHOQOL_Items'!AW404 + '01_WHOQOL_Items'!AX404 + '01_WHOQOL_Items'!AY404)/3)</f>
        <v>14.666666666666666</v>
      </c>
      <c r="O404" s="4">
        <f t="shared" si="96"/>
        <v>50</v>
      </c>
      <c r="P404" s="4">
        <f t="shared" si="97"/>
        <v>66.666666666666657</v>
      </c>
      <c r="Q404" s="5">
        <f t="shared" si="98"/>
        <v>0.33333333333333315</v>
      </c>
      <c r="R404" s="4">
        <f>4*(('01_WHOQOL_Items'!K404 + '01_WHOQOL_Items'!L404 + '01_WHOQOL_Items'!O404 + '01_WHOQOL_Items'!P404 + '01_WHOQOL_Items'!Q404 + '01_WHOQOL_Items'!Z404 + '01_WHOQOL_Items'!AA404 + '01_WHOQOL_Items'!AB404)/8)</f>
        <v>11</v>
      </c>
      <c r="S404" s="4">
        <f>4*(('01_WHOQOL_Items'!AK404 + '01_WHOQOL_Items'!AL404 + '01_WHOQOL_Items'!AO404 + '01_WHOQOL_Items'!AP404 + '01_WHOQOL_Items'!AQ404 + '01_WHOQOL_Items'!AZ404 + '01_WHOQOL_Items'!BA404 + '01_WHOQOL_Items'!BB404)/8)</f>
        <v>11</v>
      </c>
      <c r="T404" s="4">
        <f t="shared" si="99"/>
        <v>43.75</v>
      </c>
      <c r="U404" s="4">
        <f t="shared" si="100"/>
        <v>43.75</v>
      </c>
      <c r="V404" s="5">
        <f t="shared" si="101"/>
        <v>0</v>
      </c>
      <c r="W404" s="4">
        <f t="shared" si="102"/>
        <v>46.205357142857139</v>
      </c>
      <c r="X404" s="4">
        <f t="shared" si="103"/>
        <v>55.87797619047619</v>
      </c>
      <c r="Y404" s="5">
        <f t="shared" si="104"/>
        <v>0.20933977455716596</v>
      </c>
      <c r="Z404" s="1">
        <f>'01_WHOQOL_Items'!D404</f>
        <v>3</v>
      </c>
      <c r="AA404" s="1">
        <f>'01_WHOQOL_Items'!AD404</f>
        <v>4</v>
      </c>
      <c r="AB404" s="1">
        <f>'01_WHOQOL_Items'!E404</f>
        <v>4</v>
      </c>
      <c r="AC404" s="1">
        <f>'01_WHOQOL_Items'!AE404</f>
        <v>4</v>
      </c>
    </row>
    <row r="405" spans="1:29">
      <c r="A405" s="1" t="str">
        <f>'01_WHOQOL_Items'!A405</f>
        <v>CON-123</v>
      </c>
      <c r="B405" s="1" t="str">
        <f>'01_WHOQOL_Items'!B405</f>
        <v>Control</v>
      </c>
      <c r="C405" s="4">
        <f>4*(((6-'01_WHOQOL_Items'!F405) + (6-'01_WHOQOL_Items'!G405) + '01_WHOQOL_Items'!M405 + '01_WHOQOL_Items'!R405 + '01_WHOQOL_Items'!S405 + '01_WHOQOL_Items'!T405 + '01_WHOQOL_Items'!U405)/7)</f>
        <v>15.428571428571429</v>
      </c>
      <c r="D405" s="4">
        <f>4*(((6-'01_WHOQOL_Items'!AF405) + (6-'01_WHOQOL_Items'!AG405) + '01_WHOQOL_Items'!AM405 + '01_WHOQOL_Items'!AR405 + '01_WHOQOL_Items'!AS405 + '01_WHOQOL_Items'!AT405 + '01_WHOQOL_Items'!AU405)/7)</f>
        <v>15.428571428571429</v>
      </c>
      <c r="E405" s="4">
        <f t="shared" si="90"/>
        <v>71.428571428571431</v>
      </c>
      <c r="F405" s="4">
        <f t="shared" si="91"/>
        <v>71.428571428571431</v>
      </c>
      <c r="G405" s="5">
        <f t="shared" si="92"/>
        <v>0</v>
      </c>
      <c r="H405" s="4">
        <f>4*(('01_WHOQOL_Items'!H405 + '01_WHOQOL_Items'!I405 + '01_WHOQOL_Items'!J405 + '01_WHOQOL_Items'!N405 + '01_WHOQOL_Items'!V405 + (6-'01_WHOQOL_Items'!AC405))/6)</f>
        <v>9.3333333333333339</v>
      </c>
      <c r="I405" s="4">
        <f>4*(('01_WHOQOL_Items'!AH405 + '01_WHOQOL_Items'!AI405 + '01_WHOQOL_Items'!AJ405 + '01_WHOQOL_Items'!AN405 + '01_WHOQOL_Items'!AV405 + (6-'01_WHOQOL_Items'!BC405))/6)</f>
        <v>10</v>
      </c>
      <c r="J405" s="4">
        <f t="shared" si="93"/>
        <v>33.333333333333336</v>
      </c>
      <c r="K405" s="4">
        <f t="shared" si="94"/>
        <v>37.5</v>
      </c>
      <c r="L405" s="5">
        <f t="shared" si="95"/>
        <v>0.12499999999999992</v>
      </c>
      <c r="M405" s="4">
        <f>4*(('01_WHOQOL_Items'!W405 + '01_WHOQOL_Items'!X405 + '01_WHOQOL_Items'!Y405)/3)</f>
        <v>13.333333333333334</v>
      </c>
      <c r="N405" s="4">
        <f>4*(('01_WHOQOL_Items'!AW405 + '01_WHOQOL_Items'!AX405 + '01_WHOQOL_Items'!AY405)/3)</f>
        <v>16</v>
      </c>
      <c r="O405" s="4">
        <f t="shared" si="96"/>
        <v>58.333333333333336</v>
      </c>
      <c r="P405" s="4">
        <f t="shared" si="97"/>
        <v>75</v>
      </c>
      <c r="Q405" s="5">
        <f t="shared" si="98"/>
        <v>0.28571428571428564</v>
      </c>
      <c r="R405" s="4">
        <f>4*(('01_WHOQOL_Items'!K405 + '01_WHOQOL_Items'!L405 + '01_WHOQOL_Items'!O405 + '01_WHOQOL_Items'!P405 + '01_WHOQOL_Items'!Q405 + '01_WHOQOL_Items'!Z405 + '01_WHOQOL_Items'!AA405 + '01_WHOQOL_Items'!AB405)/8)</f>
        <v>9</v>
      </c>
      <c r="S405" s="4">
        <f>4*(('01_WHOQOL_Items'!AK405 + '01_WHOQOL_Items'!AL405 + '01_WHOQOL_Items'!AO405 + '01_WHOQOL_Items'!AP405 + '01_WHOQOL_Items'!AQ405 + '01_WHOQOL_Items'!AZ405 + '01_WHOQOL_Items'!BA405 + '01_WHOQOL_Items'!BB405)/8)</f>
        <v>10</v>
      </c>
      <c r="T405" s="4">
        <f t="shared" si="99"/>
        <v>31.25</v>
      </c>
      <c r="U405" s="4">
        <f t="shared" si="100"/>
        <v>37.5</v>
      </c>
      <c r="V405" s="5">
        <f t="shared" si="101"/>
        <v>0.2</v>
      </c>
      <c r="W405" s="4">
        <f t="shared" si="102"/>
        <v>48.586309523809526</v>
      </c>
      <c r="X405" s="4">
        <f t="shared" si="103"/>
        <v>55.357142857142861</v>
      </c>
      <c r="Y405" s="5">
        <f t="shared" si="104"/>
        <v>0.13935681470137828</v>
      </c>
      <c r="Z405" s="1">
        <f>'01_WHOQOL_Items'!D405</f>
        <v>3</v>
      </c>
      <c r="AA405" s="1">
        <f>'01_WHOQOL_Items'!AD405</f>
        <v>3</v>
      </c>
      <c r="AB405" s="1">
        <f>'01_WHOQOL_Items'!E405</f>
        <v>4</v>
      </c>
      <c r="AC405" s="1">
        <f>'01_WHOQOL_Items'!AE405</f>
        <v>4</v>
      </c>
    </row>
    <row r="406" spans="1:29">
      <c r="A406" s="1" t="str">
        <f>'01_WHOQOL_Items'!A406</f>
        <v>CON-124</v>
      </c>
      <c r="B406" s="1" t="str">
        <f>'01_WHOQOL_Items'!B406</f>
        <v>Control</v>
      </c>
      <c r="C406" s="4">
        <f>4*(((6-'01_WHOQOL_Items'!F406) + (6-'01_WHOQOL_Items'!G406) + '01_WHOQOL_Items'!M406 + '01_WHOQOL_Items'!R406 + '01_WHOQOL_Items'!S406 + '01_WHOQOL_Items'!T406 + '01_WHOQOL_Items'!U406)/7)</f>
        <v>13.714285714285714</v>
      </c>
      <c r="D406" s="4">
        <f>4*(((6-'01_WHOQOL_Items'!AF406) + (6-'01_WHOQOL_Items'!AG406) + '01_WHOQOL_Items'!AM406 + '01_WHOQOL_Items'!AR406 + '01_WHOQOL_Items'!AS406 + '01_WHOQOL_Items'!AT406 + '01_WHOQOL_Items'!AU406)/7)</f>
        <v>16</v>
      </c>
      <c r="E406" s="4">
        <f t="shared" si="90"/>
        <v>60.714285714285708</v>
      </c>
      <c r="F406" s="4">
        <f t="shared" si="91"/>
        <v>75</v>
      </c>
      <c r="G406" s="5">
        <f t="shared" si="92"/>
        <v>0.23529411764705896</v>
      </c>
      <c r="H406" s="4">
        <f>4*(('01_WHOQOL_Items'!H406 + '01_WHOQOL_Items'!I406 + '01_WHOQOL_Items'!J406 + '01_WHOQOL_Items'!N406 + '01_WHOQOL_Items'!V406 + (6-'01_WHOQOL_Items'!AC406))/6)</f>
        <v>14</v>
      </c>
      <c r="I406" s="4">
        <f>4*(('01_WHOQOL_Items'!AH406 + '01_WHOQOL_Items'!AI406 + '01_WHOQOL_Items'!AJ406 + '01_WHOQOL_Items'!AN406 + '01_WHOQOL_Items'!AV406 + (6-'01_WHOQOL_Items'!BC406))/6)</f>
        <v>13.333333333333334</v>
      </c>
      <c r="J406" s="4">
        <f t="shared" si="93"/>
        <v>62.5</v>
      </c>
      <c r="K406" s="4">
        <f t="shared" si="94"/>
        <v>58.333333333333336</v>
      </c>
      <c r="L406" s="5">
        <f t="shared" si="95"/>
        <v>-6.6666666666666624E-2</v>
      </c>
      <c r="M406" s="4">
        <f>4*(('01_WHOQOL_Items'!W406 + '01_WHOQOL_Items'!X406 + '01_WHOQOL_Items'!Y406)/3)</f>
        <v>9.3333333333333339</v>
      </c>
      <c r="N406" s="4">
        <f>4*(('01_WHOQOL_Items'!AW406 + '01_WHOQOL_Items'!AX406 + '01_WHOQOL_Items'!AY406)/3)</f>
        <v>8</v>
      </c>
      <c r="O406" s="4">
        <f t="shared" si="96"/>
        <v>33.333333333333336</v>
      </c>
      <c r="P406" s="4">
        <f t="shared" si="97"/>
        <v>25</v>
      </c>
      <c r="Q406" s="5">
        <f t="shared" si="98"/>
        <v>-0.25000000000000006</v>
      </c>
      <c r="R406" s="4">
        <f>4*(('01_WHOQOL_Items'!K406 + '01_WHOQOL_Items'!L406 + '01_WHOQOL_Items'!O406 + '01_WHOQOL_Items'!P406 + '01_WHOQOL_Items'!Q406 + '01_WHOQOL_Items'!Z406 + '01_WHOQOL_Items'!AA406 + '01_WHOQOL_Items'!AB406)/8)</f>
        <v>13</v>
      </c>
      <c r="S406" s="4">
        <f>4*(('01_WHOQOL_Items'!AK406 + '01_WHOQOL_Items'!AL406 + '01_WHOQOL_Items'!AO406 + '01_WHOQOL_Items'!AP406 + '01_WHOQOL_Items'!AQ406 + '01_WHOQOL_Items'!AZ406 + '01_WHOQOL_Items'!BA406 + '01_WHOQOL_Items'!BB406)/8)</f>
        <v>11</v>
      </c>
      <c r="T406" s="4">
        <f t="shared" si="99"/>
        <v>56.25</v>
      </c>
      <c r="U406" s="4">
        <f t="shared" si="100"/>
        <v>43.75</v>
      </c>
      <c r="V406" s="5">
        <f t="shared" si="101"/>
        <v>-0.22222222222222221</v>
      </c>
      <c r="W406" s="4">
        <f t="shared" si="102"/>
        <v>53.199404761904759</v>
      </c>
      <c r="X406" s="4">
        <f t="shared" si="103"/>
        <v>50.520833333333336</v>
      </c>
      <c r="Y406" s="5">
        <f t="shared" si="104"/>
        <v>-5.0349650349650256E-2</v>
      </c>
      <c r="Z406" s="1">
        <f>'01_WHOQOL_Items'!D406</f>
        <v>3</v>
      </c>
      <c r="AA406" s="1">
        <f>'01_WHOQOL_Items'!AD406</f>
        <v>3</v>
      </c>
      <c r="AB406" s="1">
        <f>'01_WHOQOL_Items'!E406</f>
        <v>3</v>
      </c>
      <c r="AC406" s="1">
        <f>'01_WHOQOL_Items'!AE406</f>
        <v>3</v>
      </c>
    </row>
    <row r="407" spans="1:29">
      <c r="A407" s="1" t="str">
        <f>'01_WHOQOL_Items'!A407</f>
        <v>CON-125</v>
      </c>
      <c r="B407" s="1" t="str">
        <f>'01_WHOQOL_Items'!B407</f>
        <v>Control</v>
      </c>
      <c r="C407" s="4">
        <f>4*(((6-'01_WHOQOL_Items'!F407) + (6-'01_WHOQOL_Items'!G407) + '01_WHOQOL_Items'!M407 + '01_WHOQOL_Items'!R407 + '01_WHOQOL_Items'!S407 + '01_WHOQOL_Items'!T407 + '01_WHOQOL_Items'!U407)/7)</f>
        <v>14.285714285714286</v>
      </c>
      <c r="D407" s="4">
        <f>4*(((6-'01_WHOQOL_Items'!AF407) + (6-'01_WHOQOL_Items'!AG407) + '01_WHOQOL_Items'!AM407 + '01_WHOQOL_Items'!AR407 + '01_WHOQOL_Items'!AS407 + '01_WHOQOL_Items'!AT407 + '01_WHOQOL_Items'!AU407)/7)</f>
        <v>14.857142857142858</v>
      </c>
      <c r="E407" s="4">
        <f t="shared" si="90"/>
        <v>64.285714285714292</v>
      </c>
      <c r="F407" s="4">
        <f t="shared" si="91"/>
        <v>67.857142857142861</v>
      </c>
      <c r="G407" s="5">
        <f t="shared" si="92"/>
        <v>5.5555555555555518E-2</v>
      </c>
      <c r="H407" s="4">
        <f>4*(('01_WHOQOL_Items'!H407 + '01_WHOQOL_Items'!I407 + '01_WHOQOL_Items'!J407 + '01_WHOQOL_Items'!N407 + '01_WHOQOL_Items'!V407 + (6-'01_WHOQOL_Items'!AC407))/6)</f>
        <v>12.666666666666666</v>
      </c>
      <c r="I407" s="4">
        <f>4*(('01_WHOQOL_Items'!AH407 + '01_WHOQOL_Items'!AI407 + '01_WHOQOL_Items'!AJ407 + '01_WHOQOL_Items'!AN407 + '01_WHOQOL_Items'!AV407 + (6-'01_WHOQOL_Items'!BC407))/6)</f>
        <v>14</v>
      </c>
      <c r="J407" s="4">
        <f t="shared" si="93"/>
        <v>54.166666666666664</v>
      </c>
      <c r="K407" s="4">
        <f t="shared" si="94"/>
        <v>62.5</v>
      </c>
      <c r="L407" s="5">
        <f t="shared" si="95"/>
        <v>0.15384615384615391</v>
      </c>
      <c r="M407" s="4">
        <f>4*(('01_WHOQOL_Items'!W407 + '01_WHOQOL_Items'!X407 + '01_WHOQOL_Items'!Y407)/3)</f>
        <v>9.3333333333333339</v>
      </c>
      <c r="N407" s="4">
        <f>4*(('01_WHOQOL_Items'!AW407 + '01_WHOQOL_Items'!AX407 + '01_WHOQOL_Items'!AY407)/3)</f>
        <v>12</v>
      </c>
      <c r="O407" s="4">
        <f t="shared" si="96"/>
        <v>33.333333333333336</v>
      </c>
      <c r="P407" s="4">
        <f t="shared" si="97"/>
        <v>50</v>
      </c>
      <c r="Q407" s="5">
        <f t="shared" si="98"/>
        <v>0.49999999999999989</v>
      </c>
      <c r="R407" s="4">
        <f>4*(('01_WHOQOL_Items'!K407 + '01_WHOQOL_Items'!L407 + '01_WHOQOL_Items'!O407 + '01_WHOQOL_Items'!P407 + '01_WHOQOL_Items'!Q407 + '01_WHOQOL_Items'!Z407 + '01_WHOQOL_Items'!AA407 + '01_WHOQOL_Items'!AB407)/8)</f>
        <v>13.5</v>
      </c>
      <c r="S407" s="4">
        <f>4*(('01_WHOQOL_Items'!AK407 + '01_WHOQOL_Items'!AL407 + '01_WHOQOL_Items'!AO407 + '01_WHOQOL_Items'!AP407 + '01_WHOQOL_Items'!AQ407 + '01_WHOQOL_Items'!AZ407 + '01_WHOQOL_Items'!BA407 + '01_WHOQOL_Items'!BB407)/8)</f>
        <v>13</v>
      </c>
      <c r="T407" s="4">
        <f t="shared" si="99"/>
        <v>59.375</v>
      </c>
      <c r="U407" s="4">
        <f t="shared" si="100"/>
        <v>56.25</v>
      </c>
      <c r="V407" s="5">
        <f t="shared" si="101"/>
        <v>-5.2631578947368418E-2</v>
      </c>
      <c r="W407" s="4">
        <f t="shared" si="102"/>
        <v>52.790178571428577</v>
      </c>
      <c r="X407" s="4">
        <f t="shared" si="103"/>
        <v>59.151785714285715</v>
      </c>
      <c r="Y407" s="5">
        <f t="shared" si="104"/>
        <v>0.12050739957716693</v>
      </c>
      <c r="Z407" s="1">
        <f>'01_WHOQOL_Items'!D407</f>
        <v>3</v>
      </c>
      <c r="AA407" s="1">
        <f>'01_WHOQOL_Items'!AD407</f>
        <v>3</v>
      </c>
      <c r="AB407" s="1">
        <f>'01_WHOQOL_Items'!E407</f>
        <v>3</v>
      </c>
      <c r="AC407" s="1">
        <f>'01_WHOQOL_Items'!AE407</f>
        <v>5</v>
      </c>
    </row>
    <row r="408" spans="1:29">
      <c r="A408" s="1" t="str">
        <f>'01_WHOQOL_Items'!A408</f>
        <v>CON-126</v>
      </c>
      <c r="B408" s="1" t="str">
        <f>'01_WHOQOL_Items'!B408</f>
        <v>Control</v>
      </c>
      <c r="C408" s="4">
        <f>4*(((6-'01_WHOQOL_Items'!F408) + (6-'01_WHOQOL_Items'!G408) + '01_WHOQOL_Items'!M408 + '01_WHOQOL_Items'!R408 + '01_WHOQOL_Items'!S408 + '01_WHOQOL_Items'!T408 + '01_WHOQOL_Items'!U408)/7)</f>
        <v>12.571428571428571</v>
      </c>
      <c r="D408" s="4">
        <f>4*(((6-'01_WHOQOL_Items'!AF408) + (6-'01_WHOQOL_Items'!AG408) + '01_WHOQOL_Items'!AM408 + '01_WHOQOL_Items'!AR408 + '01_WHOQOL_Items'!AS408 + '01_WHOQOL_Items'!AT408 + '01_WHOQOL_Items'!AU408)/7)</f>
        <v>15.428571428571429</v>
      </c>
      <c r="E408" s="4">
        <f t="shared" si="90"/>
        <v>53.571428571428569</v>
      </c>
      <c r="F408" s="4">
        <f t="shared" si="91"/>
        <v>71.428571428571431</v>
      </c>
      <c r="G408" s="5">
        <f t="shared" si="92"/>
        <v>0.33333333333333343</v>
      </c>
      <c r="H408" s="4">
        <f>4*(('01_WHOQOL_Items'!H408 + '01_WHOQOL_Items'!I408 + '01_WHOQOL_Items'!J408 + '01_WHOQOL_Items'!N408 + '01_WHOQOL_Items'!V408 + (6-'01_WHOQOL_Items'!AC408))/6)</f>
        <v>15.333333333333334</v>
      </c>
      <c r="I408" s="4">
        <f>4*(('01_WHOQOL_Items'!AH408 + '01_WHOQOL_Items'!AI408 + '01_WHOQOL_Items'!AJ408 + '01_WHOQOL_Items'!AN408 + '01_WHOQOL_Items'!AV408 + (6-'01_WHOQOL_Items'!BC408))/6)</f>
        <v>15.333333333333334</v>
      </c>
      <c r="J408" s="4">
        <f t="shared" si="93"/>
        <v>70.833333333333343</v>
      </c>
      <c r="K408" s="4">
        <f t="shared" si="94"/>
        <v>70.833333333333343</v>
      </c>
      <c r="L408" s="5">
        <f t="shared" si="95"/>
        <v>0</v>
      </c>
      <c r="M408" s="4">
        <f>4*(('01_WHOQOL_Items'!W408 + '01_WHOQOL_Items'!X408 + '01_WHOQOL_Items'!Y408)/3)</f>
        <v>10.666666666666666</v>
      </c>
      <c r="N408" s="4">
        <f>4*(('01_WHOQOL_Items'!AW408 + '01_WHOQOL_Items'!AX408 + '01_WHOQOL_Items'!AY408)/3)</f>
        <v>12</v>
      </c>
      <c r="O408" s="4">
        <f t="shared" si="96"/>
        <v>41.666666666666664</v>
      </c>
      <c r="P408" s="4">
        <f t="shared" si="97"/>
        <v>50</v>
      </c>
      <c r="Q408" s="5">
        <f t="shared" si="98"/>
        <v>0.20000000000000007</v>
      </c>
      <c r="R408" s="4">
        <f>4*(('01_WHOQOL_Items'!K408 + '01_WHOQOL_Items'!L408 + '01_WHOQOL_Items'!O408 + '01_WHOQOL_Items'!P408 + '01_WHOQOL_Items'!Q408 + '01_WHOQOL_Items'!Z408 + '01_WHOQOL_Items'!AA408 + '01_WHOQOL_Items'!AB408)/8)</f>
        <v>13</v>
      </c>
      <c r="S408" s="4">
        <f>4*(('01_WHOQOL_Items'!AK408 + '01_WHOQOL_Items'!AL408 + '01_WHOQOL_Items'!AO408 + '01_WHOQOL_Items'!AP408 + '01_WHOQOL_Items'!AQ408 + '01_WHOQOL_Items'!AZ408 + '01_WHOQOL_Items'!BA408 + '01_WHOQOL_Items'!BB408)/8)</f>
        <v>13.5</v>
      </c>
      <c r="T408" s="4">
        <f t="shared" si="99"/>
        <v>56.25</v>
      </c>
      <c r="U408" s="4">
        <f t="shared" si="100"/>
        <v>59.375</v>
      </c>
      <c r="V408" s="5">
        <f t="shared" si="101"/>
        <v>5.5555555555555552E-2</v>
      </c>
      <c r="W408" s="4">
        <f t="shared" si="102"/>
        <v>55.580357142857146</v>
      </c>
      <c r="X408" s="4">
        <f t="shared" si="103"/>
        <v>62.90922619047619</v>
      </c>
      <c r="Y408" s="5">
        <f t="shared" si="104"/>
        <v>0.13186077643908961</v>
      </c>
      <c r="Z408" s="1">
        <f>'01_WHOQOL_Items'!D408</f>
        <v>4</v>
      </c>
      <c r="AA408" s="1">
        <f>'01_WHOQOL_Items'!AD408</f>
        <v>3</v>
      </c>
      <c r="AB408" s="1">
        <f>'01_WHOQOL_Items'!E408</f>
        <v>3</v>
      </c>
      <c r="AC408" s="1">
        <f>'01_WHOQOL_Items'!AE408</f>
        <v>3</v>
      </c>
    </row>
    <row r="409" spans="1:29">
      <c r="A409" s="1" t="str">
        <f>'01_WHOQOL_Items'!A409</f>
        <v>CON-127</v>
      </c>
      <c r="B409" s="1" t="str">
        <f>'01_WHOQOL_Items'!B409</f>
        <v>Control</v>
      </c>
      <c r="C409" s="4">
        <f>4*(((6-'01_WHOQOL_Items'!F409) + (6-'01_WHOQOL_Items'!G409) + '01_WHOQOL_Items'!M409 + '01_WHOQOL_Items'!R409 + '01_WHOQOL_Items'!S409 + '01_WHOQOL_Items'!T409 + '01_WHOQOL_Items'!U409)/7)</f>
        <v>16.571428571428573</v>
      </c>
      <c r="D409" s="4">
        <f>4*(((6-'01_WHOQOL_Items'!AF409) + (6-'01_WHOQOL_Items'!AG409) + '01_WHOQOL_Items'!AM409 + '01_WHOQOL_Items'!AR409 + '01_WHOQOL_Items'!AS409 + '01_WHOQOL_Items'!AT409 + '01_WHOQOL_Items'!AU409)/7)</f>
        <v>13.714285714285714</v>
      </c>
      <c r="E409" s="4">
        <f t="shared" si="90"/>
        <v>78.571428571428584</v>
      </c>
      <c r="F409" s="4">
        <f t="shared" si="91"/>
        <v>60.714285714285708</v>
      </c>
      <c r="G409" s="5">
        <f t="shared" si="92"/>
        <v>-0.22727272727272746</v>
      </c>
      <c r="H409" s="4">
        <f>4*(('01_WHOQOL_Items'!H409 + '01_WHOQOL_Items'!I409 + '01_WHOQOL_Items'!J409 + '01_WHOQOL_Items'!N409 + '01_WHOQOL_Items'!V409 + (6-'01_WHOQOL_Items'!AC409))/6)</f>
        <v>12</v>
      </c>
      <c r="I409" s="4">
        <f>4*(('01_WHOQOL_Items'!AH409 + '01_WHOQOL_Items'!AI409 + '01_WHOQOL_Items'!AJ409 + '01_WHOQOL_Items'!AN409 + '01_WHOQOL_Items'!AV409 + (6-'01_WHOQOL_Items'!BC409))/6)</f>
        <v>11.333333333333334</v>
      </c>
      <c r="J409" s="4">
        <f t="shared" si="93"/>
        <v>50</v>
      </c>
      <c r="K409" s="4">
        <f t="shared" si="94"/>
        <v>45.833333333333336</v>
      </c>
      <c r="L409" s="5">
        <f t="shared" si="95"/>
        <v>-8.3333333333333287E-2</v>
      </c>
      <c r="M409" s="4">
        <f>4*(('01_WHOQOL_Items'!W409 + '01_WHOQOL_Items'!X409 + '01_WHOQOL_Items'!Y409)/3)</f>
        <v>10.666666666666666</v>
      </c>
      <c r="N409" s="4">
        <f>4*(('01_WHOQOL_Items'!AW409 + '01_WHOQOL_Items'!AX409 + '01_WHOQOL_Items'!AY409)/3)</f>
        <v>10.666666666666666</v>
      </c>
      <c r="O409" s="4">
        <f t="shared" si="96"/>
        <v>41.666666666666664</v>
      </c>
      <c r="P409" s="4">
        <f t="shared" si="97"/>
        <v>41.666666666666664</v>
      </c>
      <c r="Q409" s="5">
        <f t="shared" si="98"/>
        <v>0</v>
      </c>
      <c r="R409" s="4">
        <f>4*(('01_WHOQOL_Items'!K409 + '01_WHOQOL_Items'!L409 + '01_WHOQOL_Items'!O409 + '01_WHOQOL_Items'!P409 + '01_WHOQOL_Items'!Q409 + '01_WHOQOL_Items'!Z409 + '01_WHOQOL_Items'!AA409 + '01_WHOQOL_Items'!AB409)/8)</f>
        <v>14</v>
      </c>
      <c r="S409" s="4">
        <f>4*(('01_WHOQOL_Items'!AK409 + '01_WHOQOL_Items'!AL409 + '01_WHOQOL_Items'!AO409 + '01_WHOQOL_Items'!AP409 + '01_WHOQOL_Items'!AQ409 + '01_WHOQOL_Items'!AZ409 + '01_WHOQOL_Items'!BA409 + '01_WHOQOL_Items'!BB409)/8)</f>
        <v>11</v>
      </c>
      <c r="T409" s="4">
        <f t="shared" si="99"/>
        <v>62.5</v>
      </c>
      <c r="U409" s="4">
        <f t="shared" si="100"/>
        <v>43.75</v>
      </c>
      <c r="V409" s="5">
        <f t="shared" si="101"/>
        <v>-0.3</v>
      </c>
      <c r="W409" s="4">
        <f t="shared" si="102"/>
        <v>58.18452380952381</v>
      </c>
      <c r="X409" s="4">
        <f t="shared" si="103"/>
        <v>47.991071428571423</v>
      </c>
      <c r="Y409" s="5">
        <f t="shared" si="104"/>
        <v>-0.17519181585677759</v>
      </c>
      <c r="Z409" s="1">
        <f>'01_WHOQOL_Items'!D409</f>
        <v>4</v>
      </c>
      <c r="AA409" s="1">
        <f>'01_WHOQOL_Items'!AD409</f>
        <v>3</v>
      </c>
      <c r="AB409" s="1">
        <f>'01_WHOQOL_Items'!E409</f>
        <v>4</v>
      </c>
      <c r="AC409" s="1">
        <f>'01_WHOQOL_Items'!AE409</f>
        <v>4</v>
      </c>
    </row>
    <row r="410" spans="1:29">
      <c r="A410" s="1" t="str">
        <f>'01_WHOQOL_Items'!A410</f>
        <v>CON-128</v>
      </c>
      <c r="B410" s="1" t="str">
        <f>'01_WHOQOL_Items'!B410</f>
        <v>Control</v>
      </c>
      <c r="C410" s="4">
        <f>4*(((6-'01_WHOQOL_Items'!F410) + (6-'01_WHOQOL_Items'!G410) + '01_WHOQOL_Items'!M410 + '01_WHOQOL_Items'!R410 + '01_WHOQOL_Items'!S410 + '01_WHOQOL_Items'!T410 + '01_WHOQOL_Items'!U410)/7)</f>
        <v>16.571428571428573</v>
      </c>
      <c r="D410" s="4">
        <f>4*(((6-'01_WHOQOL_Items'!AF410) + (6-'01_WHOQOL_Items'!AG410) + '01_WHOQOL_Items'!AM410 + '01_WHOQOL_Items'!AR410 + '01_WHOQOL_Items'!AS410 + '01_WHOQOL_Items'!AT410 + '01_WHOQOL_Items'!AU410)/7)</f>
        <v>16.571428571428573</v>
      </c>
      <c r="E410" s="4">
        <f t="shared" si="90"/>
        <v>78.571428571428584</v>
      </c>
      <c r="F410" s="4">
        <f t="shared" si="91"/>
        <v>78.571428571428584</v>
      </c>
      <c r="G410" s="5">
        <f t="shared" si="92"/>
        <v>0</v>
      </c>
      <c r="H410" s="4">
        <f>4*(('01_WHOQOL_Items'!H410 + '01_WHOQOL_Items'!I410 + '01_WHOQOL_Items'!J410 + '01_WHOQOL_Items'!N410 + '01_WHOQOL_Items'!V410 + (6-'01_WHOQOL_Items'!AC410))/6)</f>
        <v>14.666666666666666</v>
      </c>
      <c r="I410" s="4">
        <f>4*(('01_WHOQOL_Items'!AH410 + '01_WHOQOL_Items'!AI410 + '01_WHOQOL_Items'!AJ410 + '01_WHOQOL_Items'!AN410 + '01_WHOQOL_Items'!AV410 + (6-'01_WHOQOL_Items'!BC410))/6)</f>
        <v>14.666666666666666</v>
      </c>
      <c r="J410" s="4">
        <f t="shared" si="93"/>
        <v>66.666666666666657</v>
      </c>
      <c r="K410" s="4">
        <f t="shared" si="94"/>
        <v>66.666666666666657</v>
      </c>
      <c r="L410" s="5">
        <f t="shared" si="95"/>
        <v>0</v>
      </c>
      <c r="M410" s="4">
        <f>4*(('01_WHOQOL_Items'!W410 + '01_WHOQOL_Items'!X410 + '01_WHOQOL_Items'!Y410)/3)</f>
        <v>10.666666666666666</v>
      </c>
      <c r="N410" s="4">
        <f>4*(('01_WHOQOL_Items'!AW410 + '01_WHOQOL_Items'!AX410 + '01_WHOQOL_Items'!AY410)/3)</f>
        <v>12</v>
      </c>
      <c r="O410" s="4">
        <f t="shared" si="96"/>
        <v>41.666666666666664</v>
      </c>
      <c r="P410" s="4">
        <f t="shared" si="97"/>
        <v>50</v>
      </c>
      <c r="Q410" s="5">
        <f t="shared" si="98"/>
        <v>0.20000000000000007</v>
      </c>
      <c r="R410" s="4">
        <f>4*(('01_WHOQOL_Items'!K410 + '01_WHOQOL_Items'!L410 + '01_WHOQOL_Items'!O410 + '01_WHOQOL_Items'!P410 + '01_WHOQOL_Items'!Q410 + '01_WHOQOL_Items'!Z410 + '01_WHOQOL_Items'!AA410 + '01_WHOQOL_Items'!AB410)/8)</f>
        <v>14.5</v>
      </c>
      <c r="S410" s="4">
        <f>4*(('01_WHOQOL_Items'!AK410 + '01_WHOQOL_Items'!AL410 + '01_WHOQOL_Items'!AO410 + '01_WHOQOL_Items'!AP410 + '01_WHOQOL_Items'!AQ410 + '01_WHOQOL_Items'!AZ410 + '01_WHOQOL_Items'!BA410 + '01_WHOQOL_Items'!BB410)/8)</f>
        <v>14.5</v>
      </c>
      <c r="T410" s="4">
        <f t="shared" si="99"/>
        <v>65.625</v>
      </c>
      <c r="U410" s="4">
        <f t="shared" si="100"/>
        <v>65.625</v>
      </c>
      <c r="V410" s="5">
        <f t="shared" si="101"/>
        <v>0</v>
      </c>
      <c r="W410" s="4">
        <f t="shared" si="102"/>
        <v>63.132440476190474</v>
      </c>
      <c r="X410" s="4">
        <f t="shared" si="103"/>
        <v>65.21577380952381</v>
      </c>
      <c r="Y410" s="5">
        <f t="shared" si="104"/>
        <v>3.2999410724808526E-2</v>
      </c>
      <c r="Z410" s="1">
        <f>'01_WHOQOL_Items'!D410</f>
        <v>3</v>
      </c>
      <c r="AA410" s="1">
        <f>'01_WHOQOL_Items'!AD410</f>
        <v>4</v>
      </c>
      <c r="AB410" s="1">
        <f>'01_WHOQOL_Items'!E410</f>
        <v>4</v>
      </c>
      <c r="AC410" s="1">
        <f>'01_WHOQOL_Items'!AE410</f>
        <v>5</v>
      </c>
    </row>
    <row r="411" spans="1:29">
      <c r="A411" s="1" t="str">
        <f>'01_WHOQOL_Items'!A411</f>
        <v>CON-129</v>
      </c>
      <c r="B411" s="1" t="str">
        <f>'01_WHOQOL_Items'!B411</f>
        <v>Control</v>
      </c>
      <c r="C411" s="4">
        <f>4*(((6-'01_WHOQOL_Items'!F411) + (6-'01_WHOQOL_Items'!G411) + '01_WHOQOL_Items'!M411 + '01_WHOQOL_Items'!R411 + '01_WHOQOL_Items'!S411 + '01_WHOQOL_Items'!T411 + '01_WHOQOL_Items'!U411)/7)</f>
        <v>15.428571428571429</v>
      </c>
      <c r="D411" s="4">
        <f>4*(((6-'01_WHOQOL_Items'!AF411) + (6-'01_WHOQOL_Items'!AG411) + '01_WHOQOL_Items'!AM411 + '01_WHOQOL_Items'!AR411 + '01_WHOQOL_Items'!AS411 + '01_WHOQOL_Items'!AT411 + '01_WHOQOL_Items'!AU411)/7)</f>
        <v>13.142857142857142</v>
      </c>
      <c r="E411" s="4">
        <f t="shared" si="90"/>
        <v>71.428571428571431</v>
      </c>
      <c r="F411" s="4">
        <f t="shared" si="91"/>
        <v>57.142857142857139</v>
      </c>
      <c r="G411" s="5">
        <f t="shared" si="92"/>
        <v>-0.20000000000000007</v>
      </c>
      <c r="H411" s="4">
        <f>4*(('01_WHOQOL_Items'!H411 + '01_WHOQOL_Items'!I411 + '01_WHOQOL_Items'!J411 + '01_WHOQOL_Items'!N411 + '01_WHOQOL_Items'!V411 + (6-'01_WHOQOL_Items'!AC411))/6)</f>
        <v>5.333333333333333</v>
      </c>
      <c r="I411" s="4">
        <f>4*(('01_WHOQOL_Items'!AH411 + '01_WHOQOL_Items'!AI411 + '01_WHOQOL_Items'!AJ411 + '01_WHOQOL_Items'!AN411 + '01_WHOQOL_Items'!AV411 + (6-'01_WHOQOL_Items'!BC411))/6)</f>
        <v>7.333333333333333</v>
      </c>
      <c r="J411" s="4">
        <f t="shared" si="93"/>
        <v>8.3333333333333321</v>
      </c>
      <c r="K411" s="4">
        <f t="shared" si="94"/>
        <v>20.833333333333332</v>
      </c>
      <c r="L411" s="5">
        <f t="shared" si="95"/>
        <v>1.5000000000000002</v>
      </c>
      <c r="M411" s="4">
        <f>4*(('01_WHOQOL_Items'!W411 + '01_WHOQOL_Items'!X411 + '01_WHOQOL_Items'!Y411)/3)</f>
        <v>8</v>
      </c>
      <c r="N411" s="4">
        <f>4*(('01_WHOQOL_Items'!AW411 + '01_WHOQOL_Items'!AX411 + '01_WHOQOL_Items'!AY411)/3)</f>
        <v>6.666666666666667</v>
      </c>
      <c r="O411" s="4">
        <f t="shared" si="96"/>
        <v>25</v>
      </c>
      <c r="P411" s="4">
        <f t="shared" si="97"/>
        <v>16.666666666666668</v>
      </c>
      <c r="Q411" s="5">
        <f t="shared" si="98"/>
        <v>-0.33333333333333326</v>
      </c>
      <c r="R411" s="4">
        <f>4*(('01_WHOQOL_Items'!K411 + '01_WHOQOL_Items'!L411 + '01_WHOQOL_Items'!O411 + '01_WHOQOL_Items'!P411 + '01_WHOQOL_Items'!Q411 + '01_WHOQOL_Items'!Z411 + '01_WHOQOL_Items'!AA411 + '01_WHOQOL_Items'!AB411)/8)</f>
        <v>12.5</v>
      </c>
      <c r="S411" s="4">
        <f>4*(('01_WHOQOL_Items'!AK411 + '01_WHOQOL_Items'!AL411 + '01_WHOQOL_Items'!AO411 + '01_WHOQOL_Items'!AP411 + '01_WHOQOL_Items'!AQ411 + '01_WHOQOL_Items'!AZ411 + '01_WHOQOL_Items'!BA411 + '01_WHOQOL_Items'!BB411)/8)</f>
        <v>13.5</v>
      </c>
      <c r="T411" s="4">
        <f t="shared" si="99"/>
        <v>53.125</v>
      </c>
      <c r="U411" s="4">
        <f t="shared" si="100"/>
        <v>59.375</v>
      </c>
      <c r="V411" s="5">
        <f t="shared" si="101"/>
        <v>0.11764705882352941</v>
      </c>
      <c r="W411" s="4">
        <f t="shared" si="102"/>
        <v>39.47172619047619</v>
      </c>
      <c r="X411" s="4">
        <f t="shared" si="103"/>
        <v>38.504464285714285</v>
      </c>
      <c r="Y411" s="5">
        <f t="shared" si="104"/>
        <v>-2.4505183788878424E-2</v>
      </c>
      <c r="Z411" s="1">
        <f>'01_WHOQOL_Items'!D411</f>
        <v>3</v>
      </c>
      <c r="AA411" s="1">
        <f>'01_WHOQOL_Items'!AD411</f>
        <v>4</v>
      </c>
      <c r="AB411" s="1">
        <f>'01_WHOQOL_Items'!E411</f>
        <v>5</v>
      </c>
      <c r="AC411" s="1">
        <f>'01_WHOQOL_Items'!AE411</f>
        <v>4</v>
      </c>
    </row>
    <row r="412" spans="1:29">
      <c r="A412" s="1" t="str">
        <f>'01_WHOQOL_Items'!A412</f>
        <v>CON-130</v>
      </c>
      <c r="B412" s="1" t="str">
        <f>'01_WHOQOL_Items'!B412</f>
        <v>Control</v>
      </c>
      <c r="C412" s="4">
        <f>4*(((6-'01_WHOQOL_Items'!F412) + (6-'01_WHOQOL_Items'!G412) + '01_WHOQOL_Items'!M412 + '01_WHOQOL_Items'!R412 + '01_WHOQOL_Items'!S412 + '01_WHOQOL_Items'!T412 + '01_WHOQOL_Items'!U412)/7)</f>
        <v>13.142857142857142</v>
      </c>
      <c r="D412" s="4">
        <f>4*(((6-'01_WHOQOL_Items'!AF412) + (6-'01_WHOQOL_Items'!AG412) + '01_WHOQOL_Items'!AM412 + '01_WHOQOL_Items'!AR412 + '01_WHOQOL_Items'!AS412 + '01_WHOQOL_Items'!AT412 + '01_WHOQOL_Items'!AU412)/7)</f>
        <v>11.428571428571429</v>
      </c>
      <c r="E412" s="4">
        <f t="shared" si="90"/>
        <v>57.142857142857139</v>
      </c>
      <c r="F412" s="4">
        <f t="shared" si="91"/>
        <v>46.428571428571431</v>
      </c>
      <c r="G412" s="5">
        <f t="shared" si="92"/>
        <v>-0.18749999999999992</v>
      </c>
      <c r="H412" s="4">
        <f>4*(('01_WHOQOL_Items'!H412 + '01_WHOQOL_Items'!I412 + '01_WHOQOL_Items'!J412 + '01_WHOQOL_Items'!N412 + '01_WHOQOL_Items'!V412 + (6-'01_WHOQOL_Items'!AC412))/6)</f>
        <v>8</v>
      </c>
      <c r="I412" s="4">
        <f>4*(('01_WHOQOL_Items'!AH412 + '01_WHOQOL_Items'!AI412 + '01_WHOQOL_Items'!AJ412 + '01_WHOQOL_Items'!AN412 + '01_WHOQOL_Items'!AV412 + (6-'01_WHOQOL_Items'!BC412))/6)</f>
        <v>11.333333333333334</v>
      </c>
      <c r="J412" s="4">
        <f t="shared" si="93"/>
        <v>25</v>
      </c>
      <c r="K412" s="4">
        <f t="shared" si="94"/>
        <v>45.833333333333336</v>
      </c>
      <c r="L412" s="5">
        <f t="shared" si="95"/>
        <v>0.83333333333333348</v>
      </c>
      <c r="M412" s="4">
        <f>4*(('01_WHOQOL_Items'!W412 + '01_WHOQOL_Items'!X412 + '01_WHOQOL_Items'!Y412)/3)</f>
        <v>12</v>
      </c>
      <c r="N412" s="4">
        <f>4*(('01_WHOQOL_Items'!AW412 + '01_WHOQOL_Items'!AX412 + '01_WHOQOL_Items'!AY412)/3)</f>
        <v>10.666666666666666</v>
      </c>
      <c r="O412" s="4">
        <f t="shared" si="96"/>
        <v>50</v>
      </c>
      <c r="P412" s="4">
        <f t="shared" si="97"/>
        <v>41.666666666666664</v>
      </c>
      <c r="Q412" s="5">
        <f t="shared" si="98"/>
        <v>-0.16666666666666671</v>
      </c>
      <c r="R412" s="4">
        <f>4*(('01_WHOQOL_Items'!K412 + '01_WHOQOL_Items'!L412 + '01_WHOQOL_Items'!O412 + '01_WHOQOL_Items'!P412 + '01_WHOQOL_Items'!Q412 + '01_WHOQOL_Items'!Z412 + '01_WHOQOL_Items'!AA412 + '01_WHOQOL_Items'!AB412)/8)</f>
        <v>16</v>
      </c>
      <c r="S412" s="4">
        <f>4*(('01_WHOQOL_Items'!AK412 + '01_WHOQOL_Items'!AL412 + '01_WHOQOL_Items'!AO412 + '01_WHOQOL_Items'!AP412 + '01_WHOQOL_Items'!AQ412 + '01_WHOQOL_Items'!AZ412 + '01_WHOQOL_Items'!BA412 + '01_WHOQOL_Items'!BB412)/8)</f>
        <v>14.5</v>
      </c>
      <c r="T412" s="4">
        <f t="shared" si="99"/>
        <v>75</v>
      </c>
      <c r="U412" s="4">
        <f t="shared" si="100"/>
        <v>65.625</v>
      </c>
      <c r="V412" s="5">
        <f t="shared" si="101"/>
        <v>-0.125</v>
      </c>
      <c r="W412" s="4">
        <f t="shared" si="102"/>
        <v>51.785714285714285</v>
      </c>
      <c r="X412" s="4">
        <f t="shared" si="103"/>
        <v>49.888392857142854</v>
      </c>
      <c r="Y412" s="5">
        <f t="shared" si="104"/>
        <v>-3.6637931034482797E-2</v>
      </c>
      <c r="Z412" s="1">
        <f>'01_WHOQOL_Items'!D412</f>
        <v>3</v>
      </c>
      <c r="AA412" s="1">
        <f>'01_WHOQOL_Items'!AD412</f>
        <v>3</v>
      </c>
      <c r="AB412" s="1">
        <f>'01_WHOQOL_Items'!E412</f>
        <v>3</v>
      </c>
      <c r="AC412" s="1">
        <f>'01_WHOQOL_Items'!AE412</f>
        <v>3</v>
      </c>
    </row>
    <row r="413" spans="1:29">
      <c r="A413" s="1" t="str">
        <f>'01_WHOQOL_Items'!A413</f>
        <v>CON-131</v>
      </c>
      <c r="B413" s="1" t="str">
        <f>'01_WHOQOL_Items'!B413</f>
        <v>Control</v>
      </c>
      <c r="C413" s="4">
        <f>4*(((6-'01_WHOQOL_Items'!F413) + (6-'01_WHOQOL_Items'!G413) + '01_WHOQOL_Items'!M413 + '01_WHOQOL_Items'!R413 + '01_WHOQOL_Items'!S413 + '01_WHOQOL_Items'!T413 + '01_WHOQOL_Items'!U413)/7)</f>
        <v>10.857142857142858</v>
      </c>
      <c r="D413" s="4">
        <f>4*(((6-'01_WHOQOL_Items'!AF413) + (6-'01_WHOQOL_Items'!AG413) + '01_WHOQOL_Items'!AM413 + '01_WHOQOL_Items'!AR413 + '01_WHOQOL_Items'!AS413 + '01_WHOQOL_Items'!AT413 + '01_WHOQOL_Items'!AU413)/7)</f>
        <v>10.857142857142858</v>
      </c>
      <c r="E413" s="4">
        <f t="shared" si="90"/>
        <v>42.857142857142861</v>
      </c>
      <c r="F413" s="4">
        <f t="shared" si="91"/>
        <v>42.857142857142861</v>
      </c>
      <c r="G413" s="5">
        <f t="shared" si="92"/>
        <v>0</v>
      </c>
      <c r="H413" s="4">
        <f>4*(('01_WHOQOL_Items'!H413 + '01_WHOQOL_Items'!I413 + '01_WHOQOL_Items'!J413 + '01_WHOQOL_Items'!N413 + '01_WHOQOL_Items'!V413 + (6-'01_WHOQOL_Items'!AC413))/6)</f>
        <v>12.666666666666666</v>
      </c>
      <c r="I413" s="4">
        <f>4*(('01_WHOQOL_Items'!AH413 + '01_WHOQOL_Items'!AI413 + '01_WHOQOL_Items'!AJ413 + '01_WHOQOL_Items'!AN413 + '01_WHOQOL_Items'!AV413 + (6-'01_WHOQOL_Items'!BC413))/6)</f>
        <v>12</v>
      </c>
      <c r="J413" s="4">
        <f t="shared" si="93"/>
        <v>54.166666666666664</v>
      </c>
      <c r="K413" s="4">
        <f t="shared" si="94"/>
        <v>50</v>
      </c>
      <c r="L413" s="5">
        <f t="shared" si="95"/>
        <v>-7.6923076923076886E-2</v>
      </c>
      <c r="M413" s="4">
        <f>4*(('01_WHOQOL_Items'!W413 + '01_WHOQOL_Items'!X413 + '01_WHOQOL_Items'!Y413)/3)</f>
        <v>12</v>
      </c>
      <c r="N413" s="4">
        <f>4*(('01_WHOQOL_Items'!AW413 + '01_WHOQOL_Items'!AX413 + '01_WHOQOL_Items'!AY413)/3)</f>
        <v>8</v>
      </c>
      <c r="O413" s="4">
        <f t="shared" si="96"/>
        <v>50</v>
      </c>
      <c r="P413" s="4">
        <f t="shared" si="97"/>
        <v>25</v>
      </c>
      <c r="Q413" s="5">
        <f t="shared" si="98"/>
        <v>-0.5</v>
      </c>
      <c r="R413" s="4">
        <f>4*(('01_WHOQOL_Items'!K413 + '01_WHOQOL_Items'!L413 + '01_WHOQOL_Items'!O413 + '01_WHOQOL_Items'!P413 + '01_WHOQOL_Items'!Q413 + '01_WHOQOL_Items'!Z413 + '01_WHOQOL_Items'!AA413 + '01_WHOQOL_Items'!AB413)/8)</f>
        <v>14</v>
      </c>
      <c r="S413" s="4">
        <f>4*(('01_WHOQOL_Items'!AK413 + '01_WHOQOL_Items'!AL413 + '01_WHOQOL_Items'!AO413 + '01_WHOQOL_Items'!AP413 + '01_WHOQOL_Items'!AQ413 + '01_WHOQOL_Items'!AZ413 + '01_WHOQOL_Items'!BA413 + '01_WHOQOL_Items'!BB413)/8)</f>
        <v>14</v>
      </c>
      <c r="T413" s="4">
        <f t="shared" si="99"/>
        <v>62.5</v>
      </c>
      <c r="U413" s="4">
        <f t="shared" si="100"/>
        <v>62.5</v>
      </c>
      <c r="V413" s="5">
        <f t="shared" si="101"/>
        <v>0</v>
      </c>
      <c r="W413" s="4">
        <f t="shared" si="102"/>
        <v>52.38095238095238</v>
      </c>
      <c r="X413" s="4">
        <f t="shared" si="103"/>
        <v>45.089285714285715</v>
      </c>
      <c r="Y413" s="5">
        <f t="shared" si="104"/>
        <v>-0.13920454545454541</v>
      </c>
      <c r="Z413" s="1">
        <f>'01_WHOQOL_Items'!D413</f>
        <v>2</v>
      </c>
      <c r="AA413" s="1">
        <f>'01_WHOQOL_Items'!AD413</f>
        <v>3</v>
      </c>
      <c r="AB413" s="1">
        <f>'01_WHOQOL_Items'!E413</f>
        <v>2</v>
      </c>
      <c r="AC413" s="1">
        <f>'01_WHOQOL_Items'!AE413</f>
        <v>4</v>
      </c>
    </row>
    <row r="414" spans="1:29">
      <c r="A414" s="1" t="str">
        <f>'01_WHOQOL_Items'!A414</f>
        <v>CON-132</v>
      </c>
      <c r="B414" s="1" t="str">
        <f>'01_WHOQOL_Items'!B414</f>
        <v>Control</v>
      </c>
      <c r="C414" s="4">
        <f>4*(((6-'01_WHOQOL_Items'!F414) + (6-'01_WHOQOL_Items'!G414) + '01_WHOQOL_Items'!M414 + '01_WHOQOL_Items'!R414 + '01_WHOQOL_Items'!S414 + '01_WHOQOL_Items'!T414 + '01_WHOQOL_Items'!U414)/7)</f>
        <v>12.571428571428571</v>
      </c>
      <c r="D414" s="4">
        <f>4*(((6-'01_WHOQOL_Items'!AF414) + (6-'01_WHOQOL_Items'!AG414) + '01_WHOQOL_Items'!AM414 + '01_WHOQOL_Items'!AR414 + '01_WHOQOL_Items'!AS414 + '01_WHOQOL_Items'!AT414 + '01_WHOQOL_Items'!AU414)/7)</f>
        <v>12.571428571428571</v>
      </c>
      <c r="E414" s="4">
        <f t="shared" si="90"/>
        <v>53.571428571428569</v>
      </c>
      <c r="F414" s="4">
        <f t="shared" si="91"/>
        <v>53.571428571428569</v>
      </c>
      <c r="G414" s="5">
        <f t="shared" si="92"/>
        <v>0</v>
      </c>
      <c r="H414" s="4">
        <f>4*(('01_WHOQOL_Items'!H414 + '01_WHOQOL_Items'!I414 + '01_WHOQOL_Items'!J414 + '01_WHOQOL_Items'!N414 + '01_WHOQOL_Items'!V414 + (6-'01_WHOQOL_Items'!AC414))/6)</f>
        <v>12.666666666666666</v>
      </c>
      <c r="I414" s="4">
        <f>4*(('01_WHOQOL_Items'!AH414 + '01_WHOQOL_Items'!AI414 + '01_WHOQOL_Items'!AJ414 + '01_WHOQOL_Items'!AN414 + '01_WHOQOL_Items'!AV414 + (6-'01_WHOQOL_Items'!BC414))/6)</f>
        <v>10.666666666666666</v>
      </c>
      <c r="J414" s="4">
        <f t="shared" si="93"/>
        <v>54.166666666666664</v>
      </c>
      <c r="K414" s="4">
        <f t="shared" si="94"/>
        <v>41.666666666666664</v>
      </c>
      <c r="L414" s="5">
        <f t="shared" si="95"/>
        <v>-0.23076923076923078</v>
      </c>
      <c r="M414" s="4">
        <f>4*(('01_WHOQOL_Items'!W414 + '01_WHOQOL_Items'!X414 + '01_WHOQOL_Items'!Y414)/3)</f>
        <v>9.3333333333333339</v>
      </c>
      <c r="N414" s="4">
        <f>4*(('01_WHOQOL_Items'!AW414 + '01_WHOQOL_Items'!AX414 + '01_WHOQOL_Items'!AY414)/3)</f>
        <v>9.3333333333333339</v>
      </c>
      <c r="O414" s="4">
        <f t="shared" si="96"/>
        <v>33.333333333333336</v>
      </c>
      <c r="P414" s="4">
        <f t="shared" si="97"/>
        <v>33.333333333333336</v>
      </c>
      <c r="Q414" s="5">
        <f t="shared" si="98"/>
        <v>0</v>
      </c>
      <c r="R414" s="4">
        <f>4*(('01_WHOQOL_Items'!K414 + '01_WHOQOL_Items'!L414 + '01_WHOQOL_Items'!O414 + '01_WHOQOL_Items'!P414 + '01_WHOQOL_Items'!Q414 + '01_WHOQOL_Items'!Z414 + '01_WHOQOL_Items'!AA414 + '01_WHOQOL_Items'!AB414)/8)</f>
        <v>11.5</v>
      </c>
      <c r="S414" s="4">
        <f>4*(('01_WHOQOL_Items'!AK414 + '01_WHOQOL_Items'!AL414 + '01_WHOQOL_Items'!AO414 + '01_WHOQOL_Items'!AP414 + '01_WHOQOL_Items'!AQ414 + '01_WHOQOL_Items'!AZ414 + '01_WHOQOL_Items'!BA414 + '01_WHOQOL_Items'!BB414)/8)</f>
        <v>11.5</v>
      </c>
      <c r="T414" s="4">
        <f t="shared" si="99"/>
        <v>46.875</v>
      </c>
      <c r="U414" s="4">
        <f t="shared" si="100"/>
        <v>46.875</v>
      </c>
      <c r="V414" s="5">
        <f t="shared" si="101"/>
        <v>0</v>
      </c>
      <c r="W414" s="4">
        <f t="shared" si="102"/>
        <v>46.986607142857146</v>
      </c>
      <c r="X414" s="4">
        <f t="shared" si="103"/>
        <v>43.861607142857146</v>
      </c>
      <c r="Y414" s="5">
        <f t="shared" si="104"/>
        <v>-6.6508313539192399E-2</v>
      </c>
      <c r="Z414" s="1">
        <f>'01_WHOQOL_Items'!D414</f>
        <v>4</v>
      </c>
      <c r="AA414" s="1">
        <f>'01_WHOQOL_Items'!AD414</f>
        <v>3</v>
      </c>
      <c r="AB414" s="1">
        <f>'01_WHOQOL_Items'!E414</f>
        <v>3</v>
      </c>
      <c r="AC414" s="1">
        <f>'01_WHOQOL_Items'!AE414</f>
        <v>3</v>
      </c>
    </row>
    <row r="415" spans="1:29">
      <c r="A415" s="1" t="str">
        <f>'01_WHOQOL_Items'!A415</f>
        <v>CON-133</v>
      </c>
      <c r="B415" s="1" t="str">
        <f>'01_WHOQOL_Items'!B415</f>
        <v>Control</v>
      </c>
      <c r="C415" s="4">
        <f>4*(((6-'01_WHOQOL_Items'!F415) + (6-'01_WHOQOL_Items'!G415) + '01_WHOQOL_Items'!M415 + '01_WHOQOL_Items'!R415 + '01_WHOQOL_Items'!S415 + '01_WHOQOL_Items'!T415 + '01_WHOQOL_Items'!U415)/7)</f>
        <v>14.857142857142858</v>
      </c>
      <c r="D415" s="4">
        <f>4*(((6-'01_WHOQOL_Items'!AF415) + (6-'01_WHOQOL_Items'!AG415) + '01_WHOQOL_Items'!AM415 + '01_WHOQOL_Items'!AR415 + '01_WHOQOL_Items'!AS415 + '01_WHOQOL_Items'!AT415 + '01_WHOQOL_Items'!AU415)/7)</f>
        <v>17.142857142857142</v>
      </c>
      <c r="E415" s="4">
        <f t="shared" si="90"/>
        <v>67.857142857142861</v>
      </c>
      <c r="F415" s="4">
        <f t="shared" si="91"/>
        <v>82.142857142857139</v>
      </c>
      <c r="G415" s="5">
        <f t="shared" si="92"/>
        <v>0.21052631578947356</v>
      </c>
      <c r="H415" s="4">
        <f>4*(('01_WHOQOL_Items'!H415 + '01_WHOQOL_Items'!I415 + '01_WHOQOL_Items'!J415 + '01_WHOQOL_Items'!N415 + '01_WHOQOL_Items'!V415 + (6-'01_WHOQOL_Items'!AC415))/6)</f>
        <v>12.666666666666666</v>
      </c>
      <c r="I415" s="4">
        <f>4*(('01_WHOQOL_Items'!AH415 + '01_WHOQOL_Items'!AI415 + '01_WHOQOL_Items'!AJ415 + '01_WHOQOL_Items'!AN415 + '01_WHOQOL_Items'!AV415 + (6-'01_WHOQOL_Items'!BC415))/6)</f>
        <v>16</v>
      </c>
      <c r="J415" s="4">
        <f t="shared" si="93"/>
        <v>54.166666666666664</v>
      </c>
      <c r="K415" s="4">
        <f t="shared" si="94"/>
        <v>75</v>
      </c>
      <c r="L415" s="5">
        <f t="shared" si="95"/>
        <v>0.38461538461538469</v>
      </c>
      <c r="M415" s="4">
        <f>4*(('01_WHOQOL_Items'!W415 + '01_WHOQOL_Items'!X415 + '01_WHOQOL_Items'!Y415)/3)</f>
        <v>12</v>
      </c>
      <c r="N415" s="4">
        <f>4*(('01_WHOQOL_Items'!AW415 + '01_WHOQOL_Items'!AX415 + '01_WHOQOL_Items'!AY415)/3)</f>
        <v>13.333333333333334</v>
      </c>
      <c r="O415" s="4">
        <f t="shared" si="96"/>
        <v>50</v>
      </c>
      <c r="P415" s="4">
        <f t="shared" si="97"/>
        <v>58.333333333333336</v>
      </c>
      <c r="Q415" s="5">
        <f t="shared" si="98"/>
        <v>0.16666666666666671</v>
      </c>
      <c r="R415" s="4">
        <f>4*(('01_WHOQOL_Items'!K415 + '01_WHOQOL_Items'!L415 + '01_WHOQOL_Items'!O415 + '01_WHOQOL_Items'!P415 + '01_WHOQOL_Items'!Q415 + '01_WHOQOL_Items'!Z415 + '01_WHOQOL_Items'!AA415 + '01_WHOQOL_Items'!AB415)/8)</f>
        <v>12.5</v>
      </c>
      <c r="S415" s="4">
        <f>4*(('01_WHOQOL_Items'!AK415 + '01_WHOQOL_Items'!AL415 + '01_WHOQOL_Items'!AO415 + '01_WHOQOL_Items'!AP415 + '01_WHOQOL_Items'!AQ415 + '01_WHOQOL_Items'!AZ415 + '01_WHOQOL_Items'!BA415 + '01_WHOQOL_Items'!BB415)/8)</f>
        <v>12</v>
      </c>
      <c r="T415" s="4">
        <f t="shared" si="99"/>
        <v>53.125</v>
      </c>
      <c r="U415" s="4">
        <f t="shared" si="100"/>
        <v>50</v>
      </c>
      <c r="V415" s="5">
        <f t="shared" si="101"/>
        <v>-5.8823529411764705E-2</v>
      </c>
      <c r="W415" s="4">
        <f t="shared" si="102"/>
        <v>56.28720238095238</v>
      </c>
      <c r="X415" s="4">
        <f t="shared" si="103"/>
        <v>66.36904761904762</v>
      </c>
      <c r="Y415" s="5">
        <f t="shared" si="104"/>
        <v>0.17911434236616</v>
      </c>
      <c r="Z415" s="1">
        <f>'01_WHOQOL_Items'!D415</f>
        <v>3</v>
      </c>
      <c r="AA415" s="1">
        <f>'01_WHOQOL_Items'!AD415</f>
        <v>3</v>
      </c>
      <c r="AB415" s="1">
        <f>'01_WHOQOL_Items'!E415</f>
        <v>3</v>
      </c>
      <c r="AC415" s="1">
        <f>'01_WHOQOL_Items'!AE415</f>
        <v>4</v>
      </c>
    </row>
    <row r="416" spans="1:29">
      <c r="A416" s="1" t="str">
        <f>'01_WHOQOL_Items'!A416</f>
        <v>CON-134</v>
      </c>
      <c r="B416" s="1" t="str">
        <f>'01_WHOQOL_Items'!B416</f>
        <v>Control</v>
      </c>
      <c r="C416" s="4">
        <f>4*(((6-'01_WHOQOL_Items'!F416) + (6-'01_WHOQOL_Items'!G416) + '01_WHOQOL_Items'!M416 + '01_WHOQOL_Items'!R416 + '01_WHOQOL_Items'!S416 + '01_WHOQOL_Items'!T416 + '01_WHOQOL_Items'!U416)/7)</f>
        <v>12</v>
      </c>
      <c r="D416" s="4">
        <f>4*(((6-'01_WHOQOL_Items'!AF416) + (6-'01_WHOQOL_Items'!AG416) + '01_WHOQOL_Items'!AM416 + '01_WHOQOL_Items'!AR416 + '01_WHOQOL_Items'!AS416 + '01_WHOQOL_Items'!AT416 + '01_WHOQOL_Items'!AU416)/7)</f>
        <v>11.428571428571429</v>
      </c>
      <c r="E416" s="4">
        <f t="shared" si="90"/>
        <v>50</v>
      </c>
      <c r="F416" s="4">
        <f t="shared" si="91"/>
        <v>46.428571428571431</v>
      </c>
      <c r="G416" s="5">
        <f t="shared" si="92"/>
        <v>-7.1428571428571383E-2</v>
      </c>
      <c r="H416" s="4">
        <f>4*(('01_WHOQOL_Items'!H416 + '01_WHOQOL_Items'!I416 + '01_WHOQOL_Items'!J416 + '01_WHOQOL_Items'!N416 + '01_WHOQOL_Items'!V416 + (6-'01_WHOQOL_Items'!AC416))/6)</f>
        <v>10.666666666666666</v>
      </c>
      <c r="I416" s="4">
        <f>4*(('01_WHOQOL_Items'!AH416 + '01_WHOQOL_Items'!AI416 + '01_WHOQOL_Items'!AJ416 + '01_WHOQOL_Items'!AN416 + '01_WHOQOL_Items'!AV416 + (6-'01_WHOQOL_Items'!BC416))/6)</f>
        <v>12.666666666666666</v>
      </c>
      <c r="J416" s="4">
        <f t="shared" si="93"/>
        <v>41.666666666666664</v>
      </c>
      <c r="K416" s="4">
        <f t="shared" si="94"/>
        <v>54.166666666666664</v>
      </c>
      <c r="L416" s="5">
        <f t="shared" si="95"/>
        <v>0.30000000000000004</v>
      </c>
      <c r="M416" s="4">
        <f>4*(('01_WHOQOL_Items'!W416 + '01_WHOQOL_Items'!X416 + '01_WHOQOL_Items'!Y416)/3)</f>
        <v>12</v>
      </c>
      <c r="N416" s="4">
        <f>4*(('01_WHOQOL_Items'!AW416 + '01_WHOQOL_Items'!AX416 + '01_WHOQOL_Items'!AY416)/3)</f>
        <v>13.333333333333334</v>
      </c>
      <c r="O416" s="4">
        <f t="shared" si="96"/>
        <v>50</v>
      </c>
      <c r="P416" s="4">
        <f t="shared" si="97"/>
        <v>58.333333333333336</v>
      </c>
      <c r="Q416" s="5">
        <f t="shared" si="98"/>
        <v>0.16666666666666671</v>
      </c>
      <c r="R416" s="4">
        <f>4*(('01_WHOQOL_Items'!K416 + '01_WHOQOL_Items'!L416 + '01_WHOQOL_Items'!O416 + '01_WHOQOL_Items'!P416 + '01_WHOQOL_Items'!Q416 + '01_WHOQOL_Items'!Z416 + '01_WHOQOL_Items'!AA416 + '01_WHOQOL_Items'!AB416)/8)</f>
        <v>13.5</v>
      </c>
      <c r="S416" s="4">
        <f>4*(('01_WHOQOL_Items'!AK416 + '01_WHOQOL_Items'!AL416 + '01_WHOQOL_Items'!AO416 + '01_WHOQOL_Items'!AP416 + '01_WHOQOL_Items'!AQ416 + '01_WHOQOL_Items'!AZ416 + '01_WHOQOL_Items'!BA416 + '01_WHOQOL_Items'!BB416)/8)</f>
        <v>14</v>
      </c>
      <c r="T416" s="4">
        <f t="shared" si="99"/>
        <v>59.375</v>
      </c>
      <c r="U416" s="4">
        <f t="shared" si="100"/>
        <v>62.5</v>
      </c>
      <c r="V416" s="5">
        <f t="shared" si="101"/>
        <v>5.2631578947368418E-2</v>
      </c>
      <c r="W416" s="4">
        <f t="shared" si="102"/>
        <v>50.260416666666664</v>
      </c>
      <c r="X416" s="4">
        <f t="shared" si="103"/>
        <v>55.357142857142861</v>
      </c>
      <c r="Y416" s="5">
        <f t="shared" si="104"/>
        <v>0.10140636565507045</v>
      </c>
      <c r="Z416" s="1">
        <f>'01_WHOQOL_Items'!D416</f>
        <v>3</v>
      </c>
      <c r="AA416" s="1">
        <f>'01_WHOQOL_Items'!AD416</f>
        <v>3</v>
      </c>
      <c r="AB416" s="1">
        <f>'01_WHOQOL_Items'!E416</f>
        <v>3</v>
      </c>
      <c r="AC416" s="1">
        <f>'01_WHOQOL_Items'!AE416</f>
        <v>4</v>
      </c>
    </row>
    <row r="417" spans="1:29">
      <c r="A417" s="1" t="str">
        <f>'01_WHOQOL_Items'!A417</f>
        <v>CON-135</v>
      </c>
      <c r="B417" s="1" t="str">
        <f>'01_WHOQOL_Items'!B417</f>
        <v>Control</v>
      </c>
      <c r="C417" s="4">
        <f>4*(((6-'01_WHOQOL_Items'!F417) + (6-'01_WHOQOL_Items'!G417) + '01_WHOQOL_Items'!M417 + '01_WHOQOL_Items'!R417 + '01_WHOQOL_Items'!S417 + '01_WHOQOL_Items'!T417 + '01_WHOQOL_Items'!U417)/7)</f>
        <v>17.142857142857142</v>
      </c>
      <c r="D417" s="4">
        <f>4*(((6-'01_WHOQOL_Items'!AF417) + (6-'01_WHOQOL_Items'!AG417) + '01_WHOQOL_Items'!AM417 + '01_WHOQOL_Items'!AR417 + '01_WHOQOL_Items'!AS417 + '01_WHOQOL_Items'!AT417 + '01_WHOQOL_Items'!AU417)/7)</f>
        <v>18.285714285714285</v>
      </c>
      <c r="E417" s="4">
        <f t="shared" si="90"/>
        <v>82.142857142857139</v>
      </c>
      <c r="F417" s="4">
        <f t="shared" si="91"/>
        <v>89.285714285714278</v>
      </c>
      <c r="G417" s="5">
        <f t="shared" si="92"/>
        <v>8.6956521739130391E-2</v>
      </c>
      <c r="H417" s="4">
        <f>4*(('01_WHOQOL_Items'!H417 + '01_WHOQOL_Items'!I417 + '01_WHOQOL_Items'!J417 + '01_WHOQOL_Items'!N417 + '01_WHOQOL_Items'!V417 + (6-'01_WHOQOL_Items'!AC417))/6)</f>
        <v>12</v>
      </c>
      <c r="I417" s="4">
        <f>4*(('01_WHOQOL_Items'!AH417 + '01_WHOQOL_Items'!AI417 + '01_WHOQOL_Items'!AJ417 + '01_WHOQOL_Items'!AN417 + '01_WHOQOL_Items'!AV417 + (6-'01_WHOQOL_Items'!BC417))/6)</f>
        <v>12</v>
      </c>
      <c r="J417" s="4">
        <f t="shared" si="93"/>
        <v>50</v>
      </c>
      <c r="K417" s="4">
        <f t="shared" si="94"/>
        <v>50</v>
      </c>
      <c r="L417" s="5">
        <f t="shared" si="95"/>
        <v>0</v>
      </c>
      <c r="M417" s="4">
        <f>4*(('01_WHOQOL_Items'!W417 + '01_WHOQOL_Items'!X417 + '01_WHOQOL_Items'!Y417)/3)</f>
        <v>10.666666666666666</v>
      </c>
      <c r="N417" s="4">
        <f>4*(('01_WHOQOL_Items'!AW417 + '01_WHOQOL_Items'!AX417 + '01_WHOQOL_Items'!AY417)/3)</f>
        <v>14.666666666666666</v>
      </c>
      <c r="O417" s="4">
        <f t="shared" si="96"/>
        <v>41.666666666666664</v>
      </c>
      <c r="P417" s="4">
        <f t="shared" si="97"/>
        <v>66.666666666666657</v>
      </c>
      <c r="Q417" s="5">
        <f t="shared" si="98"/>
        <v>0.59999999999999987</v>
      </c>
      <c r="R417" s="4">
        <f>4*(('01_WHOQOL_Items'!K417 + '01_WHOQOL_Items'!L417 + '01_WHOQOL_Items'!O417 + '01_WHOQOL_Items'!P417 + '01_WHOQOL_Items'!Q417 + '01_WHOQOL_Items'!Z417 + '01_WHOQOL_Items'!AA417 + '01_WHOQOL_Items'!AB417)/8)</f>
        <v>14</v>
      </c>
      <c r="S417" s="4">
        <f>4*(('01_WHOQOL_Items'!AK417 + '01_WHOQOL_Items'!AL417 + '01_WHOQOL_Items'!AO417 + '01_WHOQOL_Items'!AP417 + '01_WHOQOL_Items'!AQ417 + '01_WHOQOL_Items'!AZ417 + '01_WHOQOL_Items'!BA417 + '01_WHOQOL_Items'!BB417)/8)</f>
        <v>15</v>
      </c>
      <c r="T417" s="4">
        <f t="shared" si="99"/>
        <v>62.5</v>
      </c>
      <c r="U417" s="4">
        <f t="shared" si="100"/>
        <v>68.75</v>
      </c>
      <c r="V417" s="5">
        <f t="shared" si="101"/>
        <v>0.1</v>
      </c>
      <c r="W417" s="4">
        <f t="shared" si="102"/>
        <v>59.077380952380949</v>
      </c>
      <c r="X417" s="4">
        <f t="shared" si="103"/>
        <v>68.675595238095241</v>
      </c>
      <c r="Y417" s="5">
        <f t="shared" si="104"/>
        <v>0.1624685138539044</v>
      </c>
      <c r="Z417" s="1">
        <f>'01_WHOQOL_Items'!D417</f>
        <v>4</v>
      </c>
      <c r="AA417" s="1">
        <f>'01_WHOQOL_Items'!AD417</f>
        <v>4</v>
      </c>
      <c r="AB417" s="1">
        <f>'01_WHOQOL_Items'!E417</f>
        <v>4</v>
      </c>
      <c r="AC417" s="1">
        <f>'01_WHOQOL_Items'!AE417</f>
        <v>5</v>
      </c>
    </row>
    <row r="418" spans="1:29">
      <c r="A418" s="1" t="str">
        <f>'01_WHOQOL_Items'!A418</f>
        <v>CON-136</v>
      </c>
      <c r="B418" s="1" t="str">
        <f>'01_WHOQOL_Items'!B418</f>
        <v>Control</v>
      </c>
      <c r="C418" s="4">
        <f>4*(((6-'01_WHOQOL_Items'!F418) + (6-'01_WHOQOL_Items'!G418) + '01_WHOQOL_Items'!M418 + '01_WHOQOL_Items'!R418 + '01_WHOQOL_Items'!S418 + '01_WHOQOL_Items'!T418 + '01_WHOQOL_Items'!U418)/7)</f>
        <v>10.857142857142858</v>
      </c>
      <c r="D418" s="4">
        <f>4*(((6-'01_WHOQOL_Items'!AF418) + (6-'01_WHOQOL_Items'!AG418) + '01_WHOQOL_Items'!AM418 + '01_WHOQOL_Items'!AR418 + '01_WHOQOL_Items'!AS418 + '01_WHOQOL_Items'!AT418 + '01_WHOQOL_Items'!AU418)/7)</f>
        <v>10.857142857142858</v>
      </c>
      <c r="E418" s="4">
        <f t="shared" si="90"/>
        <v>42.857142857142861</v>
      </c>
      <c r="F418" s="4">
        <f t="shared" si="91"/>
        <v>42.857142857142861</v>
      </c>
      <c r="G418" s="5">
        <f t="shared" si="92"/>
        <v>0</v>
      </c>
      <c r="H418" s="4">
        <f>4*(('01_WHOQOL_Items'!H418 + '01_WHOQOL_Items'!I418 + '01_WHOQOL_Items'!J418 + '01_WHOQOL_Items'!N418 + '01_WHOQOL_Items'!V418 + (6-'01_WHOQOL_Items'!AC418))/6)</f>
        <v>7.333333333333333</v>
      </c>
      <c r="I418" s="4">
        <f>4*(('01_WHOQOL_Items'!AH418 + '01_WHOQOL_Items'!AI418 + '01_WHOQOL_Items'!AJ418 + '01_WHOQOL_Items'!AN418 + '01_WHOQOL_Items'!AV418 + (6-'01_WHOQOL_Items'!BC418))/6)</f>
        <v>6</v>
      </c>
      <c r="J418" s="4">
        <f t="shared" si="93"/>
        <v>20.833333333333332</v>
      </c>
      <c r="K418" s="4">
        <f t="shared" si="94"/>
        <v>12.5</v>
      </c>
      <c r="L418" s="5">
        <f t="shared" si="95"/>
        <v>-0.39999999999999997</v>
      </c>
      <c r="M418" s="4">
        <f>4*(('01_WHOQOL_Items'!W418 + '01_WHOQOL_Items'!X418 + '01_WHOQOL_Items'!Y418)/3)</f>
        <v>13.333333333333334</v>
      </c>
      <c r="N418" s="4">
        <f>4*(('01_WHOQOL_Items'!AW418 + '01_WHOQOL_Items'!AX418 + '01_WHOQOL_Items'!AY418)/3)</f>
        <v>14.666666666666666</v>
      </c>
      <c r="O418" s="4">
        <f t="shared" si="96"/>
        <v>58.333333333333336</v>
      </c>
      <c r="P418" s="4">
        <f t="shared" si="97"/>
        <v>66.666666666666657</v>
      </c>
      <c r="Q418" s="5">
        <f t="shared" si="98"/>
        <v>0.14285714285714265</v>
      </c>
      <c r="R418" s="4">
        <f>4*(('01_WHOQOL_Items'!K418 + '01_WHOQOL_Items'!L418 + '01_WHOQOL_Items'!O418 + '01_WHOQOL_Items'!P418 + '01_WHOQOL_Items'!Q418 + '01_WHOQOL_Items'!Z418 + '01_WHOQOL_Items'!AA418 + '01_WHOQOL_Items'!AB418)/8)</f>
        <v>13.5</v>
      </c>
      <c r="S418" s="4">
        <f>4*(('01_WHOQOL_Items'!AK418 + '01_WHOQOL_Items'!AL418 + '01_WHOQOL_Items'!AO418 + '01_WHOQOL_Items'!AP418 + '01_WHOQOL_Items'!AQ418 + '01_WHOQOL_Items'!AZ418 + '01_WHOQOL_Items'!BA418 + '01_WHOQOL_Items'!BB418)/8)</f>
        <v>12</v>
      </c>
      <c r="T418" s="4">
        <f t="shared" si="99"/>
        <v>59.375</v>
      </c>
      <c r="U418" s="4">
        <f t="shared" si="100"/>
        <v>50</v>
      </c>
      <c r="V418" s="5">
        <f t="shared" si="101"/>
        <v>-0.15789473684210525</v>
      </c>
      <c r="W418" s="4">
        <f t="shared" si="102"/>
        <v>45.34970238095238</v>
      </c>
      <c r="X418" s="4">
        <f t="shared" si="103"/>
        <v>43.00595238095238</v>
      </c>
      <c r="Y418" s="5">
        <f t="shared" si="104"/>
        <v>-5.1681706316652996E-2</v>
      </c>
      <c r="Z418" s="1">
        <f>'01_WHOQOL_Items'!D418</f>
        <v>3</v>
      </c>
      <c r="AA418" s="1">
        <f>'01_WHOQOL_Items'!AD418</f>
        <v>3</v>
      </c>
      <c r="AB418" s="1">
        <f>'01_WHOQOL_Items'!E418</f>
        <v>3</v>
      </c>
      <c r="AC418" s="1">
        <f>'01_WHOQOL_Items'!AE418</f>
        <v>2</v>
      </c>
    </row>
    <row r="419" spans="1:29">
      <c r="A419" s="1" t="str">
        <f>'01_WHOQOL_Items'!A419</f>
        <v>CON-137</v>
      </c>
      <c r="B419" s="1" t="str">
        <f>'01_WHOQOL_Items'!B419</f>
        <v>Control</v>
      </c>
      <c r="C419" s="4">
        <f>4*(((6-'01_WHOQOL_Items'!F419) + (6-'01_WHOQOL_Items'!G419) + '01_WHOQOL_Items'!M419 + '01_WHOQOL_Items'!R419 + '01_WHOQOL_Items'!S419 + '01_WHOQOL_Items'!T419 + '01_WHOQOL_Items'!U419)/7)</f>
        <v>12.571428571428571</v>
      </c>
      <c r="D419" s="4">
        <f>4*(((6-'01_WHOQOL_Items'!AF419) + (6-'01_WHOQOL_Items'!AG419) + '01_WHOQOL_Items'!AM419 + '01_WHOQOL_Items'!AR419 + '01_WHOQOL_Items'!AS419 + '01_WHOQOL_Items'!AT419 + '01_WHOQOL_Items'!AU419)/7)</f>
        <v>13.142857142857142</v>
      </c>
      <c r="E419" s="4">
        <f t="shared" si="90"/>
        <v>53.571428571428569</v>
      </c>
      <c r="F419" s="4">
        <f t="shared" si="91"/>
        <v>57.142857142857139</v>
      </c>
      <c r="G419" s="5">
        <f t="shared" si="92"/>
        <v>6.6666666666666638E-2</v>
      </c>
      <c r="H419" s="4">
        <f>4*(('01_WHOQOL_Items'!H419 + '01_WHOQOL_Items'!I419 + '01_WHOQOL_Items'!J419 + '01_WHOQOL_Items'!N419 + '01_WHOQOL_Items'!V419 + (6-'01_WHOQOL_Items'!AC419))/6)</f>
        <v>10</v>
      </c>
      <c r="I419" s="4">
        <f>4*(('01_WHOQOL_Items'!AH419 + '01_WHOQOL_Items'!AI419 + '01_WHOQOL_Items'!AJ419 + '01_WHOQOL_Items'!AN419 + '01_WHOQOL_Items'!AV419 + (6-'01_WHOQOL_Items'!BC419))/6)</f>
        <v>12</v>
      </c>
      <c r="J419" s="4">
        <f t="shared" si="93"/>
        <v>37.5</v>
      </c>
      <c r="K419" s="4">
        <f t="shared" si="94"/>
        <v>50</v>
      </c>
      <c r="L419" s="5">
        <f t="shared" si="95"/>
        <v>0.33333333333333331</v>
      </c>
      <c r="M419" s="4">
        <f>4*(('01_WHOQOL_Items'!W419 + '01_WHOQOL_Items'!X419 + '01_WHOQOL_Items'!Y419)/3)</f>
        <v>14.666666666666666</v>
      </c>
      <c r="N419" s="4">
        <f>4*(('01_WHOQOL_Items'!AW419 + '01_WHOQOL_Items'!AX419 + '01_WHOQOL_Items'!AY419)/3)</f>
        <v>12</v>
      </c>
      <c r="O419" s="4">
        <f t="shared" si="96"/>
        <v>66.666666666666657</v>
      </c>
      <c r="P419" s="4">
        <f t="shared" si="97"/>
        <v>50</v>
      </c>
      <c r="Q419" s="5">
        <f t="shared" si="98"/>
        <v>-0.24999999999999989</v>
      </c>
      <c r="R419" s="4">
        <f>4*(('01_WHOQOL_Items'!K419 + '01_WHOQOL_Items'!L419 + '01_WHOQOL_Items'!O419 + '01_WHOQOL_Items'!P419 + '01_WHOQOL_Items'!Q419 + '01_WHOQOL_Items'!Z419 + '01_WHOQOL_Items'!AA419 + '01_WHOQOL_Items'!AB419)/8)</f>
        <v>13.5</v>
      </c>
      <c r="S419" s="4">
        <f>4*(('01_WHOQOL_Items'!AK419 + '01_WHOQOL_Items'!AL419 + '01_WHOQOL_Items'!AO419 + '01_WHOQOL_Items'!AP419 + '01_WHOQOL_Items'!AQ419 + '01_WHOQOL_Items'!AZ419 + '01_WHOQOL_Items'!BA419 + '01_WHOQOL_Items'!BB419)/8)</f>
        <v>15</v>
      </c>
      <c r="T419" s="4">
        <f t="shared" si="99"/>
        <v>59.375</v>
      </c>
      <c r="U419" s="4">
        <f t="shared" si="100"/>
        <v>68.75</v>
      </c>
      <c r="V419" s="5">
        <f t="shared" si="101"/>
        <v>0.15789473684210525</v>
      </c>
      <c r="W419" s="4">
        <f t="shared" si="102"/>
        <v>54.27827380952381</v>
      </c>
      <c r="X419" s="4">
        <f t="shared" si="103"/>
        <v>56.473214285714285</v>
      </c>
      <c r="Y419" s="5">
        <f t="shared" si="104"/>
        <v>4.0438656614119231E-2</v>
      </c>
      <c r="Z419" s="1">
        <f>'01_WHOQOL_Items'!D419</f>
        <v>3</v>
      </c>
      <c r="AA419" s="1">
        <f>'01_WHOQOL_Items'!AD419</f>
        <v>2</v>
      </c>
      <c r="AB419" s="1">
        <f>'01_WHOQOL_Items'!E419</f>
        <v>2</v>
      </c>
      <c r="AC419" s="1">
        <f>'01_WHOQOL_Items'!AE419</f>
        <v>2</v>
      </c>
    </row>
    <row r="420" spans="1:29">
      <c r="A420" s="1" t="str">
        <f>'01_WHOQOL_Items'!A420</f>
        <v>CON-138</v>
      </c>
      <c r="B420" s="1" t="str">
        <f>'01_WHOQOL_Items'!B420</f>
        <v>Control</v>
      </c>
      <c r="C420" s="4">
        <f>4*(((6-'01_WHOQOL_Items'!F420) + (6-'01_WHOQOL_Items'!G420) + '01_WHOQOL_Items'!M420 + '01_WHOQOL_Items'!R420 + '01_WHOQOL_Items'!S420 + '01_WHOQOL_Items'!T420 + '01_WHOQOL_Items'!U420)/7)</f>
        <v>12.571428571428571</v>
      </c>
      <c r="D420" s="4">
        <f>4*(((6-'01_WHOQOL_Items'!AF420) + (6-'01_WHOQOL_Items'!AG420) + '01_WHOQOL_Items'!AM420 + '01_WHOQOL_Items'!AR420 + '01_WHOQOL_Items'!AS420 + '01_WHOQOL_Items'!AT420 + '01_WHOQOL_Items'!AU420)/7)</f>
        <v>14.285714285714286</v>
      </c>
      <c r="E420" s="4">
        <f t="shared" si="90"/>
        <v>53.571428571428569</v>
      </c>
      <c r="F420" s="4">
        <f t="shared" si="91"/>
        <v>64.285714285714292</v>
      </c>
      <c r="G420" s="5">
        <f t="shared" si="92"/>
        <v>0.20000000000000015</v>
      </c>
      <c r="H420" s="4">
        <f>4*(('01_WHOQOL_Items'!H420 + '01_WHOQOL_Items'!I420 + '01_WHOQOL_Items'!J420 + '01_WHOQOL_Items'!N420 + '01_WHOQOL_Items'!V420 + (6-'01_WHOQOL_Items'!AC420))/6)</f>
        <v>15.333333333333334</v>
      </c>
      <c r="I420" s="4">
        <f>4*(('01_WHOQOL_Items'!AH420 + '01_WHOQOL_Items'!AI420 + '01_WHOQOL_Items'!AJ420 + '01_WHOQOL_Items'!AN420 + '01_WHOQOL_Items'!AV420 + (6-'01_WHOQOL_Items'!BC420))/6)</f>
        <v>13.333333333333334</v>
      </c>
      <c r="J420" s="4">
        <f t="shared" si="93"/>
        <v>70.833333333333343</v>
      </c>
      <c r="K420" s="4">
        <f t="shared" si="94"/>
        <v>58.333333333333336</v>
      </c>
      <c r="L420" s="5">
        <f t="shared" si="95"/>
        <v>-0.17647058823529418</v>
      </c>
      <c r="M420" s="4">
        <f>4*(('01_WHOQOL_Items'!W420 + '01_WHOQOL_Items'!X420 + '01_WHOQOL_Items'!Y420)/3)</f>
        <v>8</v>
      </c>
      <c r="N420" s="4">
        <f>4*(('01_WHOQOL_Items'!AW420 + '01_WHOQOL_Items'!AX420 + '01_WHOQOL_Items'!AY420)/3)</f>
        <v>8</v>
      </c>
      <c r="O420" s="4">
        <f t="shared" si="96"/>
        <v>25</v>
      </c>
      <c r="P420" s="4">
        <f t="shared" si="97"/>
        <v>25</v>
      </c>
      <c r="Q420" s="5">
        <f t="shared" si="98"/>
        <v>0</v>
      </c>
      <c r="R420" s="4">
        <f>4*(('01_WHOQOL_Items'!K420 + '01_WHOQOL_Items'!L420 + '01_WHOQOL_Items'!O420 + '01_WHOQOL_Items'!P420 + '01_WHOQOL_Items'!Q420 + '01_WHOQOL_Items'!Z420 + '01_WHOQOL_Items'!AA420 + '01_WHOQOL_Items'!AB420)/8)</f>
        <v>9.5</v>
      </c>
      <c r="S420" s="4">
        <f>4*(('01_WHOQOL_Items'!AK420 + '01_WHOQOL_Items'!AL420 + '01_WHOQOL_Items'!AO420 + '01_WHOQOL_Items'!AP420 + '01_WHOQOL_Items'!AQ420 + '01_WHOQOL_Items'!AZ420 + '01_WHOQOL_Items'!BA420 + '01_WHOQOL_Items'!BB420)/8)</f>
        <v>9.5</v>
      </c>
      <c r="T420" s="4">
        <f t="shared" si="99"/>
        <v>34.375</v>
      </c>
      <c r="U420" s="4">
        <f t="shared" si="100"/>
        <v>34.375</v>
      </c>
      <c r="V420" s="5">
        <f t="shared" si="101"/>
        <v>0</v>
      </c>
      <c r="W420" s="4">
        <f t="shared" si="102"/>
        <v>45.944940476190482</v>
      </c>
      <c r="X420" s="4">
        <f t="shared" si="103"/>
        <v>45.498511904761905</v>
      </c>
      <c r="Y420" s="5">
        <f t="shared" si="104"/>
        <v>-9.7165991902835105E-3</v>
      </c>
      <c r="Z420" s="1">
        <f>'01_WHOQOL_Items'!D420</f>
        <v>3</v>
      </c>
      <c r="AA420" s="1">
        <f>'01_WHOQOL_Items'!AD420</f>
        <v>3</v>
      </c>
      <c r="AB420" s="1">
        <f>'01_WHOQOL_Items'!E420</f>
        <v>3</v>
      </c>
      <c r="AC420" s="1">
        <f>'01_WHOQOL_Items'!AE420</f>
        <v>4</v>
      </c>
    </row>
    <row r="421" spans="1:29">
      <c r="A421" s="1" t="str">
        <f>'01_WHOQOL_Items'!A421</f>
        <v>CON-139</v>
      </c>
      <c r="B421" s="1" t="str">
        <f>'01_WHOQOL_Items'!B421</f>
        <v>Control</v>
      </c>
      <c r="C421" s="4">
        <f>4*(((6-'01_WHOQOL_Items'!F421) + (6-'01_WHOQOL_Items'!G421) + '01_WHOQOL_Items'!M421 + '01_WHOQOL_Items'!R421 + '01_WHOQOL_Items'!S421 + '01_WHOQOL_Items'!T421 + '01_WHOQOL_Items'!U421)/7)</f>
        <v>14.857142857142858</v>
      </c>
      <c r="D421" s="4">
        <f>4*(((6-'01_WHOQOL_Items'!AF421) + (6-'01_WHOQOL_Items'!AG421) + '01_WHOQOL_Items'!AM421 + '01_WHOQOL_Items'!AR421 + '01_WHOQOL_Items'!AS421 + '01_WHOQOL_Items'!AT421 + '01_WHOQOL_Items'!AU421)/7)</f>
        <v>13.142857142857142</v>
      </c>
      <c r="E421" s="4">
        <f t="shared" si="90"/>
        <v>67.857142857142861</v>
      </c>
      <c r="F421" s="4">
        <f t="shared" si="91"/>
        <v>57.142857142857139</v>
      </c>
      <c r="G421" s="5">
        <f t="shared" si="92"/>
        <v>-0.15789473684210537</v>
      </c>
      <c r="H421" s="4">
        <f>4*(('01_WHOQOL_Items'!H421 + '01_WHOQOL_Items'!I421 + '01_WHOQOL_Items'!J421 + '01_WHOQOL_Items'!N421 + '01_WHOQOL_Items'!V421 + (6-'01_WHOQOL_Items'!AC421))/6)</f>
        <v>11.333333333333334</v>
      </c>
      <c r="I421" s="4">
        <f>4*(('01_WHOQOL_Items'!AH421 + '01_WHOQOL_Items'!AI421 + '01_WHOQOL_Items'!AJ421 + '01_WHOQOL_Items'!AN421 + '01_WHOQOL_Items'!AV421 + (6-'01_WHOQOL_Items'!BC421))/6)</f>
        <v>12</v>
      </c>
      <c r="J421" s="4">
        <f t="shared" si="93"/>
        <v>45.833333333333336</v>
      </c>
      <c r="K421" s="4">
        <f t="shared" si="94"/>
        <v>50</v>
      </c>
      <c r="L421" s="5">
        <f t="shared" si="95"/>
        <v>9.0909090909090856E-2</v>
      </c>
      <c r="M421" s="4">
        <f>4*(('01_WHOQOL_Items'!W421 + '01_WHOQOL_Items'!X421 + '01_WHOQOL_Items'!Y421)/3)</f>
        <v>12</v>
      </c>
      <c r="N421" s="4">
        <f>4*(('01_WHOQOL_Items'!AW421 + '01_WHOQOL_Items'!AX421 + '01_WHOQOL_Items'!AY421)/3)</f>
        <v>13.333333333333334</v>
      </c>
      <c r="O421" s="4">
        <f t="shared" si="96"/>
        <v>50</v>
      </c>
      <c r="P421" s="4">
        <f t="shared" si="97"/>
        <v>58.333333333333336</v>
      </c>
      <c r="Q421" s="5">
        <f t="shared" si="98"/>
        <v>0.16666666666666671</v>
      </c>
      <c r="R421" s="4">
        <f>4*(('01_WHOQOL_Items'!K421 + '01_WHOQOL_Items'!L421 + '01_WHOQOL_Items'!O421 + '01_WHOQOL_Items'!P421 + '01_WHOQOL_Items'!Q421 + '01_WHOQOL_Items'!Z421 + '01_WHOQOL_Items'!AA421 + '01_WHOQOL_Items'!AB421)/8)</f>
        <v>10</v>
      </c>
      <c r="S421" s="4">
        <f>4*(('01_WHOQOL_Items'!AK421 + '01_WHOQOL_Items'!AL421 + '01_WHOQOL_Items'!AO421 + '01_WHOQOL_Items'!AP421 + '01_WHOQOL_Items'!AQ421 + '01_WHOQOL_Items'!AZ421 + '01_WHOQOL_Items'!BA421 + '01_WHOQOL_Items'!BB421)/8)</f>
        <v>11</v>
      </c>
      <c r="T421" s="4">
        <f t="shared" si="99"/>
        <v>37.5</v>
      </c>
      <c r="U421" s="4">
        <f t="shared" si="100"/>
        <v>43.75</v>
      </c>
      <c r="V421" s="5">
        <f t="shared" si="101"/>
        <v>0.16666666666666666</v>
      </c>
      <c r="W421" s="4">
        <f t="shared" si="102"/>
        <v>50.297619047619051</v>
      </c>
      <c r="X421" s="4">
        <f t="shared" si="103"/>
        <v>52.30654761904762</v>
      </c>
      <c r="Y421" s="5">
        <f t="shared" si="104"/>
        <v>3.9940828402366818E-2</v>
      </c>
      <c r="Z421" s="1">
        <f>'01_WHOQOL_Items'!D421</f>
        <v>4</v>
      </c>
      <c r="AA421" s="1">
        <f>'01_WHOQOL_Items'!AD421</f>
        <v>4</v>
      </c>
      <c r="AB421" s="1">
        <f>'01_WHOQOL_Items'!E421</f>
        <v>4</v>
      </c>
      <c r="AC421" s="1">
        <f>'01_WHOQOL_Items'!AE421</f>
        <v>4</v>
      </c>
    </row>
    <row r="422" spans="1:29">
      <c r="A422" s="1" t="str">
        <f>'01_WHOQOL_Items'!A422</f>
        <v>CON-140</v>
      </c>
      <c r="B422" s="1" t="str">
        <f>'01_WHOQOL_Items'!B422</f>
        <v>Control</v>
      </c>
      <c r="C422" s="4">
        <f>4*(((6-'01_WHOQOL_Items'!F422) + (6-'01_WHOQOL_Items'!G422) + '01_WHOQOL_Items'!M422 + '01_WHOQOL_Items'!R422 + '01_WHOQOL_Items'!S422 + '01_WHOQOL_Items'!T422 + '01_WHOQOL_Items'!U422)/7)</f>
        <v>12</v>
      </c>
      <c r="D422" s="4">
        <f>4*(((6-'01_WHOQOL_Items'!AF422) + (6-'01_WHOQOL_Items'!AG422) + '01_WHOQOL_Items'!AM422 + '01_WHOQOL_Items'!AR422 + '01_WHOQOL_Items'!AS422 + '01_WHOQOL_Items'!AT422 + '01_WHOQOL_Items'!AU422)/7)</f>
        <v>12</v>
      </c>
      <c r="E422" s="4">
        <f t="shared" si="90"/>
        <v>50</v>
      </c>
      <c r="F422" s="4">
        <f t="shared" si="91"/>
        <v>50</v>
      </c>
      <c r="G422" s="5">
        <f t="shared" si="92"/>
        <v>0</v>
      </c>
      <c r="H422" s="4">
        <f>4*(('01_WHOQOL_Items'!H422 + '01_WHOQOL_Items'!I422 + '01_WHOQOL_Items'!J422 + '01_WHOQOL_Items'!N422 + '01_WHOQOL_Items'!V422 + (6-'01_WHOQOL_Items'!AC422))/6)</f>
        <v>6.666666666666667</v>
      </c>
      <c r="I422" s="4">
        <f>4*(('01_WHOQOL_Items'!AH422 + '01_WHOQOL_Items'!AI422 + '01_WHOQOL_Items'!AJ422 + '01_WHOQOL_Items'!AN422 + '01_WHOQOL_Items'!AV422 + (6-'01_WHOQOL_Items'!BC422))/6)</f>
        <v>8</v>
      </c>
      <c r="J422" s="4">
        <f t="shared" si="93"/>
        <v>16.666666666666668</v>
      </c>
      <c r="K422" s="4">
        <f t="shared" si="94"/>
        <v>25</v>
      </c>
      <c r="L422" s="5">
        <f t="shared" si="95"/>
        <v>0.49999999999999989</v>
      </c>
      <c r="M422" s="4">
        <f>4*(('01_WHOQOL_Items'!W422 + '01_WHOQOL_Items'!X422 + '01_WHOQOL_Items'!Y422)/3)</f>
        <v>13.333333333333334</v>
      </c>
      <c r="N422" s="4">
        <f>4*(('01_WHOQOL_Items'!AW422 + '01_WHOQOL_Items'!AX422 + '01_WHOQOL_Items'!AY422)/3)</f>
        <v>12</v>
      </c>
      <c r="O422" s="4">
        <f t="shared" si="96"/>
        <v>58.333333333333336</v>
      </c>
      <c r="P422" s="4">
        <f t="shared" si="97"/>
        <v>50</v>
      </c>
      <c r="Q422" s="5">
        <f t="shared" si="98"/>
        <v>-0.1428571428571429</v>
      </c>
      <c r="R422" s="4">
        <f>4*(('01_WHOQOL_Items'!K422 + '01_WHOQOL_Items'!L422 + '01_WHOQOL_Items'!O422 + '01_WHOQOL_Items'!P422 + '01_WHOQOL_Items'!Q422 + '01_WHOQOL_Items'!Z422 + '01_WHOQOL_Items'!AA422 + '01_WHOQOL_Items'!AB422)/8)</f>
        <v>12</v>
      </c>
      <c r="S422" s="4">
        <f>4*(('01_WHOQOL_Items'!AK422 + '01_WHOQOL_Items'!AL422 + '01_WHOQOL_Items'!AO422 + '01_WHOQOL_Items'!AP422 + '01_WHOQOL_Items'!AQ422 + '01_WHOQOL_Items'!AZ422 + '01_WHOQOL_Items'!BA422 + '01_WHOQOL_Items'!BB422)/8)</f>
        <v>12</v>
      </c>
      <c r="T422" s="4">
        <f t="shared" si="99"/>
        <v>50</v>
      </c>
      <c r="U422" s="4">
        <f t="shared" si="100"/>
        <v>50</v>
      </c>
      <c r="V422" s="5">
        <f t="shared" si="101"/>
        <v>0</v>
      </c>
      <c r="W422" s="4">
        <f t="shared" si="102"/>
        <v>43.75</v>
      </c>
      <c r="X422" s="4">
        <f t="shared" si="103"/>
        <v>43.75</v>
      </c>
      <c r="Y422" s="5">
        <f t="shared" si="104"/>
        <v>0</v>
      </c>
      <c r="Z422" s="1">
        <f>'01_WHOQOL_Items'!D422</f>
        <v>3</v>
      </c>
      <c r="AA422" s="1">
        <f>'01_WHOQOL_Items'!AD422</f>
        <v>2</v>
      </c>
      <c r="AB422" s="1">
        <f>'01_WHOQOL_Items'!E422</f>
        <v>3</v>
      </c>
      <c r="AC422" s="1">
        <f>'01_WHOQOL_Items'!AE422</f>
        <v>3</v>
      </c>
    </row>
    <row r="423" spans="1:29">
      <c r="A423" s="1" t="str">
        <f>'01_WHOQOL_Items'!A423</f>
        <v>CON-141</v>
      </c>
      <c r="B423" s="1" t="str">
        <f>'01_WHOQOL_Items'!B423</f>
        <v>Control</v>
      </c>
      <c r="C423" s="4">
        <f>4*(((6-'01_WHOQOL_Items'!F423) + (6-'01_WHOQOL_Items'!G423) + '01_WHOQOL_Items'!M423 + '01_WHOQOL_Items'!R423 + '01_WHOQOL_Items'!S423 + '01_WHOQOL_Items'!T423 + '01_WHOQOL_Items'!U423)/7)</f>
        <v>13.142857142857142</v>
      </c>
      <c r="D423" s="4">
        <f>4*(((6-'01_WHOQOL_Items'!AF423) + (6-'01_WHOQOL_Items'!AG423) + '01_WHOQOL_Items'!AM423 + '01_WHOQOL_Items'!AR423 + '01_WHOQOL_Items'!AS423 + '01_WHOQOL_Items'!AT423 + '01_WHOQOL_Items'!AU423)/7)</f>
        <v>13.142857142857142</v>
      </c>
      <c r="E423" s="4">
        <f t="shared" si="90"/>
        <v>57.142857142857139</v>
      </c>
      <c r="F423" s="4">
        <f t="shared" si="91"/>
        <v>57.142857142857139</v>
      </c>
      <c r="G423" s="5">
        <f t="shared" si="92"/>
        <v>0</v>
      </c>
      <c r="H423" s="4">
        <f>4*(('01_WHOQOL_Items'!H423 + '01_WHOQOL_Items'!I423 + '01_WHOQOL_Items'!J423 + '01_WHOQOL_Items'!N423 + '01_WHOQOL_Items'!V423 + (6-'01_WHOQOL_Items'!AC423))/6)</f>
        <v>16.666666666666668</v>
      </c>
      <c r="I423" s="4">
        <f>4*(('01_WHOQOL_Items'!AH423 + '01_WHOQOL_Items'!AI423 + '01_WHOQOL_Items'!AJ423 + '01_WHOQOL_Items'!AN423 + '01_WHOQOL_Items'!AV423 + (6-'01_WHOQOL_Items'!BC423))/6)</f>
        <v>15.333333333333334</v>
      </c>
      <c r="J423" s="4">
        <f t="shared" si="93"/>
        <v>79.166666666666671</v>
      </c>
      <c r="K423" s="4">
        <f t="shared" si="94"/>
        <v>70.833333333333343</v>
      </c>
      <c r="L423" s="5">
        <f t="shared" si="95"/>
        <v>-0.10526315789473678</v>
      </c>
      <c r="M423" s="4">
        <f>4*(('01_WHOQOL_Items'!W423 + '01_WHOQOL_Items'!X423 + '01_WHOQOL_Items'!Y423)/3)</f>
        <v>12</v>
      </c>
      <c r="N423" s="4">
        <f>4*(('01_WHOQOL_Items'!AW423 + '01_WHOQOL_Items'!AX423 + '01_WHOQOL_Items'!AY423)/3)</f>
        <v>9.3333333333333339</v>
      </c>
      <c r="O423" s="4">
        <f t="shared" si="96"/>
        <v>50</v>
      </c>
      <c r="P423" s="4">
        <f t="shared" si="97"/>
        <v>33.333333333333336</v>
      </c>
      <c r="Q423" s="5">
        <f t="shared" si="98"/>
        <v>-0.33333333333333326</v>
      </c>
      <c r="R423" s="4">
        <f>4*(('01_WHOQOL_Items'!K423 + '01_WHOQOL_Items'!L423 + '01_WHOQOL_Items'!O423 + '01_WHOQOL_Items'!P423 + '01_WHOQOL_Items'!Q423 + '01_WHOQOL_Items'!Z423 + '01_WHOQOL_Items'!AA423 + '01_WHOQOL_Items'!AB423)/8)</f>
        <v>11</v>
      </c>
      <c r="S423" s="4">
        <f>4*(('01_WHOQOL_Items'!AK423 + '01_WHOQOL_Items'!AL423 + '01_WHOQOL_Items'!AO423 + '01_WHOQOL_Items'!AP423 + '01_WHOQOL_Items'!AQ423 + '01_WHOQOL_Items'!AZ423 + '01_WHOQOL_Items'!BA423 + '01_WHOQOL_Items'!BB423)/8)</f>
        <v>12.5</v>
      </c>
      <c r="T423" s="4">
        <f t="shared" si="99"/>
        <v>43.75</v>
      </c>
      <c r="U423" s="4">
        <f t="shared" si="100"/>
        <v>53.125</v>
      </c>
      <c r="V423" s="5">
        <f t="shared" si="101"/>
        <v>0.21428571428571427</v>
      </c>
      <c r="W423" s="4">
        <f t="shared" si="102"/>
        <v>57.514880952380949</v>
      </c>
      <c r="X423" s="4">
        <f t="shared" si="103"/>
        <v>53.608630952380956</v>
      </c>
      <c r="Y423" s="5">
        <f t="shared" si="104"/>
        <v>-6.7917205692108545E-2</v>
      </c>
      <c r="Z423" s="1">
        <f>'01_WHOQOL_Items'!D423</f>
        <v>3</v>
      </c>
      <c r="AA423" s="1">
        <f>'01_WHOQOL_Items'!AD423</f>
        <v>3</v>
      </c>
      <c r="AB423" s="1">
        <f>'01_WHOQOL_Items'!E423</f>
        <v>3</v>
      </c>
      <c r="AC423" s="1">
        <f>'01_WHOQOL_Items'!AE423</f>
        <v>4</v>
      </c>
    </row>
    <row r="424" spans="1:29">
      <c r="A424" s="1" t="str">
        <f>'01_WHOQOL_Items'!A424</f>
        <v>CON-142</v>
      </c>
      <c r="B424" s="1" t="str">
        <f>'01_WHOQOL_Items'!B424</f>
        <v>Control</v>
      </c>
      <c r="C424" s="4">
        <f>4*(((6-'01_WHOQOL_Items'!F424) + (6-'01_WHOQOL_Items'!G424) + '01_WHOQOL_Items'!M424 + '01_WHOQOL_Items'!R424 + '01_WHOQOL_Items'!S424 + '01_WHOQOL_Items'!T424 + '01_WHOQOL_Items'!U424)/7)</f>
        <v>16</v>
      </c>
      <c r="D424" s="4">
        <f>4*(((6-'01_WHOQOL_Items'!AF424) + (6-'01_WHOQOL_Items'!AG424) + '01_WHOQOL_Items'!AM424 + '01_WHOQOL_Items'!AR424 + '01_WHOQOL_Items'!AS424 + '01_WHOQOL_Items'!AT424 + '01_WHOQOL_Items'!AU424)/7)</f>
        <v>16.571428571428573</v>
      </c>
      <c r="E424" s="4">
        <f t="shared" si="90"/>
        <v>75</v>
      </c>
      <c r="F424" s="4">
        <f t="shared" si="91"/>
        <v>78.571428571428584</v>
      </c>
      <c r="G424" s="5">
        <f t="shared" si="92"/>
        <v>4.7619047619047783E-2</v>
      </c>
      <c r="H424" s="4">
        <f>4*(('01_WHOQOL_Items'!H424 + '01_WHOQOL_Items'!I424 + '01_WHOQOL_Items'!J424 + '01_WHOQOL_Items'!N424 + '01_WHOQOL_Items'!V424 + (6-'01_WHOQOL_Items'!AC424))/6)</f>
        <v>15.333333333333334</v>
      </c>
      <c r="I424" s="4">
        <f>4*(('01_WHOQOL_Items'!AH424 + '01_WHOQOL_Items'!AI424 + '01_WHOQOL_Items'!AJ424 + '01_WHOQOL_Items'!AN424 + '01_WHOQOL_Items'!AV424 + (6-'01_WHOQOL_Items'!BC424))/6)</f>
        <v>15.333333333333334</v>
      </c>
      <c r="J424" s="4">
        <f t="shared" si="93"/>
        <v>70.833333333333343</v>
      </c>
      <c r="K424" s="4">
        <f t="shared" si="94"/>
        <v>70.833333333333343</v>
      </c>
      <c r="L424" s="5">
        <f t="shared" si="95"/>
        <v>0</v>
      </c>
      <c r="M424" s="4">
        <f>4*(('01_WHOQOL_Items'!W424 + '01_WHOQOL_Items'!X424 + '01_WHOQOL_Items'!Y424)/3)</f>
        <v>10.666666666666666</v>
      </c>
      <c r="N424" s="4">
        <f>4*(('01_WHOQOL_Items'!AW424 + '01_WHOQOL_Items'!AX424 + '01_WHOQOL_Items'!AY424)/3)</f>
        <v>10.666666666666666</v>
      </c>
      <c r="O424" s="4">
        <f t="shared" si="96"/>
        <v>41.666666666666664</v>
      </c>
      <c r="P424" s="4">
        <f t="shared" si="97"/>
        <v>41.666666666666664</v>
      </c>
      <c r="Q424" s="5">
        <f t="shared" si="98"/>
        <v>0</v>
      </c>
      <c r="R424" s="4">
        <f>4*(('01_WHOQOL_Items'!K424 + '01_WHOQOL_Items'!L424 + '01_WHOQOL_Items'!O424 + '01_WHOQOL_Items'!P424 + '01_WHOQOL_Items'!Q424 + '01_WHOQOL_Items'!Z424 + '01_WHOQOL_Items'!AA424 + '01_WHOQOL_Items'!AB424)/8)</f>
        <v>11.5</v>
      </c>
      <c r="S424" s="4">
        <f>4*(('01_WHOQOL_Items'!AK424 + '01_WHOQOL_Items'!AL424 + '01_WHOQOL_Items'!AO424 + '01_WHOQOL_Items'!AP424 + '01_WHOQOL_Items'!AQ424 + '01_WHOQOL_Items'!AZ424 + '01_WHOQOL_Items'!BA424 + '01_WHOQOL_Items'!BB424)/8)</f>
        <v>10.5</v>
      </c>
      <c r="T424" s="4">
        <f t="shared" si="99"/>
        <v>46.875</v>
      </c>
      <c r="U424" s="4">
        <f t="shared" si="100"/>
        <v>40.625</v>
      </c>
      <c r="V424" s="5">
        <f t="shared" si="101"/>
        <v>-0.13333333333333333</v>
      </c>
      <c r="W424" s="4">
        <f t="shared" si="102"/>
        <v>58.59375</v>
      </c>
      <c r="X424" s="4">
        <f t="shared" si="103"/>
        <v>57.924107142857146</v>
      </c>
      <c r="Y424" s="5">
        <f t="shared" si="104"/>
        <v>-1.1428571428571377E-2</v>
      </c>
      <c r="Z424" s="1">
        <f>'01_WHOQOL_Items'!D424</f>
        <v>3</v>
      </c>
      <c r="AA424" s="1">
        <f>'01_WHOQOL_Items'!AD424</f>
        <v>3</v>
      </c>
      <c r="AB424" s="1">
        <f>'01_WHOQOL_Items'!E424</f>
        <v>4</v>
      </c>
      <c r="AC424" s="1">
        <f>'01_WHOQOL_Items'!AE424</f>
        <v>5</v>
      </c>
    </row>
    <row r="425" spans="1:29">
      <c r="A425" s="1" t="str">
        <f>'01_WHOQOL_Items'!A425</f>
        <v>CON-143</v>
      </c>
      <c r="B425" s="1" t="str">
        <f>'01_WHOQOL_Items'!B425</f>
        <v>Control</v>
      </c>
      <c r="C425" s="4">
        <f>4*(((6-'01_WHOQOL_Items'!F425) + (6-'01_WHOQOL_Items'!G425) + '01_WHOQOL_Items'!M425 + '01_WHOQOL_Items'!R425 + '01_WHOQOL_Items'!S425 + '01_WHOQOL_Items'!T425 + '01_WHOQOL_Items'!U425)/7)</f>
        <v>10.857142857142858</v>
      </c>
      <c r="D425" s="4">
        <f>4*(((6-'01_WHOQOL_Items'!AF425) + (6-'01_WHOQOL_Items'!AG425) + '01_WHOQOL_Items'!AM425 + '01_WHOQOL_Items'!AR425 + '01_WHOQOL_Items'!AS425 + '01_WHOQOL_Items'!AT425 + '01_WHOQOL_Items'!AU425)/7)</f>
        <v>11.428571428571429</v>
      </c>
      <c r="E425" s="4">
        <f t="shared" si="90"/>
        <v>42.857142857142861</v>
      </c>
      <c r="F425" s="4">
        <f t="shared" si="91"/>
        <v>46.428571428571431</v>
      </c>
      <c r="G425" s="5">
        <f t="shared" si="92"/>
        <v>8.3333333333333273E-2</v>
      </c>
      <c r="H425" s="4">
        <f>4*(('01_WHOQOL_Items'!H425 + '01_WHOQOL_Items'!I425 + '01_WHOQOL_Items'!J425 + '01_WHOQOL_Items'!N425 + '01_WHOQOL_Items'!V425 + (6-'01_WHOQOL_Items'!AC425))/6)</f>
        <v>13.333333333333334</v>
      </c>
      <c r="I425" s="4">
        <f>4*(('01_WHOQOL_Items'!AH425 + '01_WHOQOL_Items'!AI425 + '01_WHOQOL_Items'!AJ425 + '01_WHOQOL_Items'!AN425 + '01_WHOQOL_Items'!AV425 + (6-'01_WHOQOL_Items'!BC425))/6)</f>
        <v>14.666666666666666</v>
      </c>
      <c r="J425" s="4">
        <f t="shared" si="93"/>
        <v>58.333333333333336</v>
      </c>
      <c r="K425" s="4">
        <f t="shared" si="94"/>
        <v>66.666666666666657</v>
      </c>
      <c r="L425" s="5">
        <f t="shared" si="95"/>
        <v>0.14285714285714265</v>
      </c>
      <c r="M425" s="4">
        <f>4*(('01_WHOQOL_Items'!W425 + '01_WHOQOL_Items'!X425 + '01_WHOQOL_Items'!Y425)/3)</f>
        <v>13.333333333333334</v>
      </c>
      <c r="N425" s="4">
        <f>4*(('01_WHOQOL_Items'!AW425 + '01_WHOQOL_Items'!AX425 + '01_WHOQOL_Items'!AY425)/3)</f>
        <v>8</v>
      </c>
      <c r="O425" s="4">
        <f t="shared" si="96"/>
        <v>58.333333333333336</v>
      </c>
      <c r="P425" s="4">
        <f t="shared" si="97"/>
        <v>25</v>
      </c>
      <c r="Q425" s="5">
        <f t="shared" si="98"/>
        <v>-0.5714285714285714</v>
      </c>
      <c r="R425" s="4">
        <f>4*(('01_WHOQOL_Items'!K425 + '01_WHOQOL_Items'!L425 + '01_WHOQOL_Items'!O425 + '01_WHOQOL_Items'!P425 + '01_WHOQOL_Items'!Q425 + '01_WHOQOL_Items'!Z425 + '01_WHOQOL_Items'!AA425 + '01_WHOQOL_Items'!AB425)/8)</f>
        <v>13</v>
      </c>
      <c r="S425" s="4">
        <f>4*(('01_WHOQOL_Items'!AK425 + '01_WHOQOL_Items'!AL425 + '01_WHOQOL_Items'!AO425 + '01_WHOQOL_Items'!AP425 + '01_WHOQOL_Items'!AQ425 + '01_WHOQOL_Items'!AZ425 + '01_WHOQOL_Items'!BA425 + '01_WHOQOL_Items'!BB425)/8)</f>
        <v>13</v>
      </c>
      <c r="T425" s="4">
        <f t="shared" si="99"/>
        <v>56.25</v>
      </c>
      <c r="U425" s="4">
        <f t="shared" si="100"/>
        <v>56.25</v>
      </c>
      <c r="V425" s="5">
        <f t="shared" si="101"/>
        <v>0</v>
      </c>
      <c r="W425" s="4">
        <f t="shared" si="102"/>
        <v>53.943452380952387</v>
      </c>
      <c r="X425" s="4">
        <f t="shared" si="103"/>
        <v>48.586309523809518</v>
      </c>
      <c r="Y425" s="5">
        <f t="shared" si="104"/>
        <v>-9.9310344827586397E-2</v>
      </c>
      <c r="Z425" s="1">
        <f>'01_WHOQOL_Items'!D425</f>
        <v>3</v>
      </c>
      <c r="AA425" s="1">
        <f>'01_WHOQOL_Items'!AD425</f>
        <v>3</v>
      </c>
      <c r="AB425" s="1">
        <f>'01_WHOQOL_Items'!E425</f>
        <v>3</v>
      </c>
      <c r="AC425" s="1">
        <f>'01_WHOQOL_Items'!AE425</f>
        <v>3</v>
      </c>
    </row>
    <row r="426" spans="1:29">
      <c r="A426" s="1" t="str">
        <f>'01_WHOQOL_Items'!A426</f>
        <v>CON-144</v>
      </c>
      <c r="B426" s="1" t="str">
        <f>'01_WHOQOL_Items'!B426</f>
        <v>Control</v>
      </c>
      <c r="C426" s="4">
        <f>4*(((6-'01_WHOQOL_Items'!F426) + (6-'01_WHOQOL_Items'!G426) + '01_WHOQOL_Items'!M426 + '01_WHOQOL_Items'!R426 + '01_WHOQOL_Items'!S426 + '01_WHOQOL_Items'!T426 + '01_WHOQOL_Items'!U426)/7)</f>
        <v>14.857142857142858</v>
      </c>
      <c r="D426" s="4">
        <f>4*(((6-'01_WHOQOL_Items'!AF426) + (6-'01_WHOQOL_Items'!AG426) + '01_WHOQOL_Items'!AM426 + '01_WHOQOL_Items'!AR426 + '01_WHOQOL_Items'!AS426 + '01_WHOQOL_Items'!AT426 + '01_WHOQOL_Items'!AU426)/7)</f>
        <v>14.857142857142858</v>
      </c>
      <c r="E426" s="4">
        <f t="shared" si="90"/>
        <v>67.857142857142861</v>
      </c>
      <c r="F426" s="4">
        <f t="shared" si="91"/>
        <v>67.857142857142861</v>
      </c>
      <c r="G426" s="5">
        <f t="shared" si="92"/>
        <v>0</v>
      </c>
      <c r="H426" s="4">
        <f>4*(('01_WHOQOL_Items'!H426 + '01_WHOQOL_Items'!I426 + '01_WHOQOL_Items'!J426 + '01_WHOQOL_Items'!N426 + '01_WHOQOL_Items'!V426 + (6-'01_WHOQOL_Items'!AC426))/6)</f>
        <v>8</v>
      </c>
      <c r="I426" s="4">
        <f>4*(('01_WHOQOL_Items'!AH426 + '01_WHOQOL_Items'!AI426 + '01_WHOQOL_Items'!AJ426 + '01_WHOQOL_Items'!AN426 + '01_WHOQOL_Items'!AV426 + (6-'01_WHOQOL_Items'!BC426))/6)</f>
        <v>7.333333333333333</v>
      </c>
      <c r="J426" s="4">
        <f t="shared" si="93"/>
        <v>25</v>
      </c>
      <c r="K426" s="4">
        <f t="shared" si="94"/>
        <v>20.833333333333332</v>
      </c>
      <c r="L426" s="5">
        <f t="shared" si="95"/>
        <v>-0.16666666666666671</v>
      </c>
      <c r="M426" s="4">
        <f>4*(('01_WHOQOL_Items'!W426 + '01_WHOQOL_Items'!X426 + '01_WHOQOL_Items'!Y426)/3)</f>
        <v>8</v>
      </c>
      <c r="N426" s="4">
        <f>4*(('01_WHOQOL_Items'!AW426 + '01_WHOQOL_Items'!AX426 + '01_WHOQOL_Items'!AY426)/3)</f>
        <v>9.3333333333333339</v>
      </c>
      <c r="O426" s="4">
        <f t="shared" si="96"/>
        <v>25</v>
      </c>
      <c r="P426" s="4">
        <f t="shared" si="97"/>
        <v>33.333333333333336</v>
      </c>
      <c r="Q426" s="5">
        <f t="shared" si="98"/>
        <v>0.33333333333333343</v>
      </c>
      <c r="R426" s="4">
        <f>4*(('01_WHOQOL_Items'!K426 + '01_WHOQOL_Items'!L426 + '01_WHOQOL_Items'!O426 + '01_WHOQOL_Items'!P426 + '01_WHOQOL_Items'!Q426 + '01_WHOQOL_Items'!Z426 + '01_WHOQOL_Items'!AA426 + '01_WHOQOL_Items'!AB426)/8)</f>
        <v>11.5</v>
      </c>
      <c r="S426" s="4">
        <f>4*(('01_WHOQOL_Items'!AK426 + '01_WHOQOL_Items'!AL426 + '01_WHOQOL_Items'!AO426 + '01_WHOQOL_Items'!AP426 + '01_WHOQOL_Items'!AQ426 + '01_WHOQOL_Items'!AZ426 + '01_WHOQOL_Items'!BA426 + '01_WHOQOL_Items'!BB426)/8)</f>
        <v>11</v>
      </c>
      <c r="T426" s="4">
        <f t="shared" si="99"/>
        <v>46.875</v>
      </c>
      <c r="U426" s="4">
        <f t="shared" si="100"/>
        <v>43.75</v>
      </c>
      <c r="V426" s="5">
        <f t="shared" si="101"/>
        <v>-6.6666666666666666E-2</v>
      </c>
      <c r="W426" s="4">
        <f t="shared" si="102"/>
        <v>41.183035714285715</v>
      </c>
      <c r="X426" s="4">
        <f t="shared" si="103"/>
        <v>41.44345238095238</v>
      </c>
      <c r="Y426" s="5">
        <f t="shared" si="104"/>
        <v>6.3233965672989485E-3</v>
      </c>
      <c r="Z426" s="1">
        <f>'01_WHOQOL_Items'!D426</f>
        <v>3</v>
      </c>
      <c r="AA426" s="1">
        <f>'01_WHOQOL_Items'!AD426</f>
        <v>2</v>
      </c>
      <c r="AB426" s="1">
        <f>'01_WHOQOL_Items'!E426</f>
        <v>4</v>
      </c>
      <c r="AC426" s="1">
        <f>'01_WHOQOL_Items'!AE426</f>
        <v>3</v>
      </c>
    </row>
    <row r="427" spans="1:29">
      <c r="A427" s="1" t="str">
        <f>'01_WHOQOL_Items'!A427</f>
        <v>CON-145</v>
      </c>
      <c r="B427" s="1" t="str">
        <f>'01_WHOQOL_Items'!B427</f>
        <v>Control</v>
      </c>
      <c r="C427" s="4">
        <f>4*(((6-'01_WHOQOL_Items'!F427) + (6-'01_WHOQOL_Items'!G427) + '01_WHOQOL_Items'!M427 + '01_WHOQOL_Items'!R427 + '01_WHOQOL_Items'!S427 + '01_WHOQOL_Items'!T427 + '01_WHOQOL_Items'!U427)/7)</f>
        <v>12.571428571428571</v>
      </c>
      <c r="D427" s="4">
        <f>4*(((6-'01_WHOQOL_Items'!AF427) + (6-'01_WHOQOL_Items'!AG427) + '01_WHOQOL_Items'!AM427 + '01_WHOQOL_Items'!AR427 + '01_WHOQOL_Items'!AS427 + '01_WHOQOL_Items'!AT427 + '01_WHOQOL_Items'!AU427)/7)</f>
        <v>13.142857142857142</v>
      </c>
      <c r="E427" s="4">
        <f t="shared" si="90"/>
        <v>53.571428571428569</v>
      </c>
      <c r="F427" s="4">
        <f t="shared" si="91"/>
        <v>57.142857142857139</v>
      </c>
      <c r="G427" s="5">
        <f t="shared" si="92"/>
        <v>6.6666666666666638E-2</v>
      </c>
      <c r="H427" s="4">
        <f>4*(('01_WHOQOL_Items'!H427 + '01_WHOQOL_Items'!I427 + '01_WHOQOL_Items'!J427 + '01_WHOQOL_Items'!N427 + '01_WHOQOL_Items'!V427 + (6-'01_WHOQOL_Items'!AC427))/6)</f>
        <v>8.6666666666666661</v>
      </c>
      <c r="I427" s="4">
        <f>4*(('01_WHOQOL_Items'!AH427 + '01_WHOQOL_Items'!AI427 + '01_WHOQOL_Items'!AJ427 + '01_WHOQOL_Items'!AN427 + '01_WHOQOL_Items'!AV427 + (6-'01_WHOQOL_Items'!BC427))/6)</f>
        <v>10</v>
      </c>
      <c r="J427" s="4">
        <f t="shared" si="93"/>
        <v>29.166666666666664</v>
      </c>
      <c r="K427" s="4">
        <f t="shared" si="94"/>
        <v>37.5</v>
      </c>
      <c r="L427" s="5">
        <f t="shared" si="95"/>
        <v>0.28571428571428581</v>
      </c>
      <c r="M427" s="4">
        <f>4*(('01_WHOQOL_Items'!W427 + '01_WHOQOL_Items'!X427 + '01_WHOQOL_Items'!Y427)/3)</f>
        <v>14.666666666666666</v>
      </c>
      <c r="N427" s="4">
        <f>4*(('01_WHOQOL_Items'!AW427 + '01_WHOQOL_Items'!AX427 + '01_WHOQOL_Items'!AY427)/3)</f>
        <v>13.333333333333334</v>
      </c>
      <c r="O427" s="4">
        <f t="shared" si="96"/>
        <v>66.666666666666657</v>
      </c>
      <c r="P427" s="4">
        <f t="shared" si="97"/>
        <v>58.333333333333336</v>
      </c>
      <c r="Q427" s="5">
        <f t="shared" si="98"/>
        <v>-0.12499999999999983</v>
      </c>
      <c r="R427" s="4">
        <f>4*(('01_WHOQOL_Items'!K427 + '01_WHOQOL_Items'!L427 + '01_WHOQOL_Items'!O427 + '01_WHOQOL_Items'!P427 + '01_WHOQOL_Items'!Q427 + '01_WHOQOL_Items'!Z427 + '01_WHOQOL_Items'!AA427 + '01_WHOQOL_Items'!AB427)/8)</f>
        <v>10.5</v>
      </c>
      <c r="S427" s="4">
        <f>4*(('01_WHOQOL_Items'!AK427 + '01_WHOQOL_Items'!AL427 + '01_WHOQOL_Items'!AO427 + '01_WHOQOL_Items'!AP427 + '01_WHOQOL_Items'!AQ427 + '01_WHOQOL_Items'!AZ427 + '01_WHOQOL_Items'!BA427 + '01_WHOQOL_Items'!BB427)/8)</f>
        <v>13</v>
      </c>
      <c r="T427" s="4">
        <f t="shared" si="99"/>
        <v>40.625</v>
      </c>
      <c r="U427" s="4">
        <f t="shared" si="100"/>
        <v>56.25</v>
      </c>
      <c r="V427" s="5">
        <f t="shared" si="101"/>
        <v>0.38461538461538464</v>
      </c>
      <c r="W427" s="4">
        <f t="shared" si="102"/>
        <v>47.507440476190474</v>
      </c>
      <c r="X427" s="4">
        <f t="shared" si="103"/>
        <v>52.30654761904762</v>
      </c>
      <c r="Y427" s="5">
        <f t="shared" si="104"/>
        <v>0.10101801096319506</v>
      </c>
      <c r="Z427" s="1">
        <f>'01_WHOQOL_Items'!D427</f>
        <v>4</v>
      </c>
      <c r="AA427" s="1">
        <f>'01_WHOQOL_Items'!AD427</f>
        <v>3</v>
      </c>
      <c r="AB427" s="1">
        <f>'01_WHOQOL_Items'!E427</f>
        <v>3</v>
      </c>
      <c r="AC427" s="1">
        <f>'01_WHOQOL_Items'!AE427</f>
        <v>3</v>
      </c>
    </row>
    <row r="428" spans="1:29">
      <c r="A428" s="1" t="str">
        <f>'01_WHOQOL_Items'!A428</f>
        <v>CON-146</v>
      </c>
      <c r="B428" s="1" t="str">
        <f>'01_WHOQOL_Items'!B428</f>
        <v>Control</v>
      </c>
      <c r="C428" s="4">
        <f>4*(((6-'01_WHOQOL_Items'!F428) + (6-'01_WHOQOL_Items'!G428) + '01_WHOQOL_Items'!M428 + '01_WHOQOL_Items'!R428 + '01_WHOQOL_Items'!S428 + '01_WHOQOL_Items'!T428 + '01_WHOQOL_Items'!U428)/7)</f>
        <v>10.857142857142858</v>
      </c>
      <c r="D428" s="4">
        <f>4*(((6-'01_WHOQOL_Items'!AF428) + (6-'01_WHOQOL_Items'!AG428) + '01_WHOQOL_Items'!AM428 + '01_WHOQOL_Items'!AR428 + '01_WHOQOL_Items'!AS428 + '01_WHOQOL_Items'!AT428 + '01_WHOQOL_Items'!AU428)/7)</f>
        <v>9.7142857142857135</v>
      </c>
      <c r="E428" s="4">
        <f t="shared" si="90"/>
        <v>42.857142857142861</v>
      </c>
      <c r="F428" s="4">
        <f t="shared" si="91"/>
        <v>35.714285714285708</v>
      </c>
      <c r="G428" s="5">
        <f t="shared" si="92"/>
        <v>-0.16666666666666688</v>
      </c>
      <c r="H428" s="4">
        <f>4*(('01_WHOQOL_Items'!H428 + '01_WHOQOL_Items'!I428 + '01_WHOQOL_Items'!J428 + '01_WHOQOL_Items'!N428 + '01_WHOQOL_Items'!V428 + (6-'01_WHOQOL_Items'!AC428))/6)</f>
        <v>12.666666666666666</v>
      </c>
      <c r="I428" s="4">
        <f>4*(('01_WHOQOL_Items'!AH428 + '01_WHOQOL_Items'!AI428 + '01_WHOQOL_Items'!AJ428 + '01_WHOQOL_Items'!AN428 + '01_WHOQOL_Items'!AV428 + (6-'01_WHOQOL_Items'!BC428))/6)</f>
        <v>12.666666666666666</v>
      </c>
      <c r="J428" s="4">
        <f t="shared" si="93"/>
        <v>54.166666666666664</v>
      </c>
      <c r="K428" s="4">
        <f t="shared" si="94"/>
        <v>54.166666666666664</v>
      </c>
      <c r="L428" s="5">
        <f t="shared" si="95"/>
        <v>0</v>
      </c>
      <c r="M428" s="4">
        <f>4*(('01_WHOQOL_Items'!W428 + '01_WHOQOL_Items'!X428 + '01_WHOQOL_Items'!Y428)/3)</f>
        <v>10.666666666666666</v>
      </c>
      <c r="N428" s="4">
        <f>4*(('01_WHOQOL_Items'!AW428 + '01_WHOQOL_Items'!AX428 + '01_WHOQOL_Items'!AY428)/3)</f>
        <v>10.666666666666666</v>
      </c>
      <c r="O428" s="4">
        <f t="shared" si="96"/>
        <v>41.666666666666664</v>
      </c>
      <c r="P428" s="4">
        <f t="shared" si="97"/>
        <v>41.666666666666664</v>
      </c>
      <c r="Q428" s="5">
        <f t="shared" si="98"/>
        <v>0</v>
      </c>
      <c r="R428" s="4">
        <f>4*(('01_WHOQOL_Items'!K428 + '01_WHOQOL_Items'!L428 + '01_WHOQOL_Items'!O428 + '01_WHOQOL_Items'!P428 + '01_WHOQOL_Items'!Q428 + '01_WHOQOL_Items'!Z428 + '01_WHOQOL_Items'!AA428 + '01_WHOQOL_Items'!AB428)/8)</f>
        <v>9.5</v>
      </c>
      <c r="S428" s="4">
        <f>4*(('01_WHOQOL_Items'!AK428 + '01_WHOQOL_Items'!AL428 + '01_WHOQOL_Items'!AO428 + '01_WHOQOL_Items'!AP428 + '01_WHOQOL_Items'!AQ428 + '01_WHOQOL_Items'!AZ428 + '01_WHOQOL_Items'!BA428 + '01_WHOQOL_Items'!BB428)/8)</f>
        <v>13.5</v>
      </c>
      <c r="T428" s="4">
        <f t="shared" si="99"/>
        <v>34.375</v>
      </c>
      <c r="U428" s="4">
        <f t="shared" si="100"/>
        <v>59.375</v>
      </c>
      <c r="V428" s="5">
        <f t="shared" si="101"/>
        <v>0.72727272727272729</v>
      </c>
      <c r="W428" s="4">
        <f t="shared" si="102"/>
        <v>43.266369047619044</v>
      </c>
      <c r="X428" s="4">
        <f t="shared" si="103"/>
        <v>47.730654761904759</v>
      </c>
      <c r="Y428" s="5">
        <f t="shared" si="104"/>
        <v>0.10318142734307828</v>
      </c>
      <c r="Z428" s="1">
        <f>'01_WHOQOL_Items'!D428</f>
        <v>3</v>
      </c>
      <c r="AA428" s="1">
        <f>'01_WHOQOL_Items'!AD428</f>
        <v>3</v>
      </c>
      <c r="AB428" s="1">
        <f>'01_WHOQOL_Items'!E428</f>
        <v>3</v>
      </c>
      <c r="AC428" s="1">
        <f>'01_WHOQOL_Items'!AE428</f>
        <v>2</v>
      </c>
    </row>
    <row r="429" spans="1:29">
      <c r="A429" s="1" t="str">
        <f>'01_WHOQOL_Items'!A429</f>
        <v>CON-147</v>
      </c>
      <c r="B429" s="1" t="str">
        <f>'01_WHOQOL_Items'!B429</f>
        <v>Control</v>
      </c>
      <c r="C429" s="4">
        <f>4*(((6-'01_WHOQOL_Items'!F429) + (6-'01_WHOQOL_Items'!G429) + '01_WHOQOL_Items'!M429 + '01_WHOQOL_Items'!R429 + '01_WHOQOL_Items'!S429 + '01_WHOQOL_Items'!T429 + '01_WHOQOL_Items'!U429)/7)</f>
        <v>11.428571428571429</v>
      </c>
      <c r="D429" s="4">
        <f>4*(((6-'01_WHOQOL_Items'!AF429) + (6-'01_WHOQOL_Items'!AG429) + '01_WHOQOL_Items'!AM429 + '01_WHOQOL_Items'!AR429 + '01_WHOQOL_Items'!AS429 + '01_WHOQOL_Items'!AT429 + '01_WHOQOL_Items'!AU429)/7)</f>
        <v>10.857142857142858</v>
      </c>
      <c r="E429" s="4">
        <f t="shared" si="90"/>
        <v>46.428571428571431</v>
      </c>
      <c r="F429" s="4">
        <f t="shared" si="91"/>
        <v>42.857142857142861</v>
      </c>
      <c r="G429" s="5">
        <f t="shared" si="92"/>
        <v>-7.6923076923076872E-2</v>
      </c>
      <c r="H429" s="4">
        <f>4*(('01_WHOQOL_Items'!H429 + '01_WHOQOL_Items'!I429 + '01_WHOQOL_Items'!J429 + '01_WHOQOL_Items'!N429 + '01_WHOQOL_Items'!V429 + (6-'01_WHOQOL_Items'!AC429))/6)</f>
        <v>12.666666666666666</v>
      </c>
      <c r="I429" s="4">
        <f>4*(('01_WHOQOL_Items'!AH429 + '01_WHOQOL_Items'!AI429 + '01_WHOQOL_Items'!AJ429 + '01_WHOQOL_Items'!AN429 + '01_WHOQOL_Items'!AV429 + (6-'01_WHOQOL_Items'!BC429))/6)</f>
        <v>12</v>
      </c>
      <c r="J429" s="4">
        <f t="shared" si="93"/>
        <v>54.166666666666664</v>
      </c>
      <c r="K429" s="4">
        <f t="shared" si="94"/>
        <v>50</v>
      </c>
      <c r="L429" s="5">
        <f t="shared" si="95"/>
        <v>-7.6923076923076886E-2</v>
      </c>
      <c r="M429" s="4">
        <f>4*(('01_WHOQOL_Items'!W429 + '01_WHOQOL_Items'!X429 + '01_WHOQOL_Items'!Y429)/3)</f>
        <v>12</v>
      </c>
      <c r="N429" s="4">
        <f>4*(('01_WHOQOL_Items'!AW429 + '01_WHOQOL_Items'!AX429 + '01_WHOQOL_Items'!AY429)/3)</f>
        <v>14.666666666666666</v>
      </c>
      <c r="O429" s="4">
        <f t="shared" si="96"/>
        <v>50</v>
      </c>
      <c r="P429" s="4">
        <f t="shared" si="97"/>
        <v>66.666666666666657</v>
      </c>
      <c r="Q429" s="5">
        <f t="shared" si="98"/>
        <v>0.33333333333333315</v>
      </c>
      <c r="R429" s="4">
        <f>4*(('01_WHOQOL_Items'!K429 + '01_WHOQOL_Items'!L429 + '01_WHOQOL_Items'!O429 + '01_WHOQOL_Items'!P429 + '01_WHOQOL_Items'!Q429 + '01_WHOQOL_Items'!Z429 + '01_WHOQOL_Items'!AA429 + '01_WHOQOL_Items'!AB429)/8)</f>
        <v>12.5</v>
      </c>
      <c r="S429" s="4">
        <f>4*(('01_WHOQOL_Items'!AK429 + '01_WHOQOL_Items'!AL429 + '01_WHOQOL_Items'!AO429 + '01_WHOQOL_Items'!AP429 + '01_WHOQOL_Items'!AQ429 + '01_WHOQOL_Items'!AZ429 + '01_WHOQOL_Items'!BA429 + '01_WHOQOL_Items'!BB429)/8)</f>
        <v>12</v>
      </c>
      <c r="T429" s="4">
        <f t="shared" si="99"/>
        <v>53.125</v>
      </c>
      <c r="U429" s="4">
        <f t="shared" si="100"/>
        <v>50</v>
      </c>
      <c r="V429" s="5">
        <f t="shared" si="101"/>
        <v>-5.8823529411764705E-2</v>
      </c>
      <c r="W429" s="4">
        <f t="shared" si="102"/>
        <v>50.930059523809526</v>
      </c>
      <c r="X429" s="4">
        <f t="shared" si="103"/>
        <v>52.38095238095238</v>
      </c>
      <c r="Y429" s="5">
        <f t="shared" si="104"/>
        <v>2.8487947406866266E-2</v>
      </c>
      <c r="Z429" s="1">
        <f>'01_WHOQOL_Items'!D429</f>
        <v>3</v>
      </c>
      <c r="AA429" s="1">
        <f>'01_WHOQOL_Items'!AD429</f>
        <v>4</v>
      </c>
      <c r="AB429" s="1">
        <f>'01_WHOQOL_Items'!E429</f>
        <v>3</v>
      </c>
      <c r="AC429" s="1">
        <f>'01_WHOQOL_Items'!AE429</f>
        <v>3</v>
      </c>
    </row>
    <row r="430" spans="1:29">
      <c r="A430" s="1" t="str">
        <f>'01_WHOQOL_Items'!A430</f>
        <v>CON-148</v>
      </c>
      <c r="B430" s="1" t="str">
        <f>'01_WHOQOL_Items'!B430</f>
        <v>Control</v>
      </c>
      <c r="C430" s="4">
        <f>4*(((6-'01_WHOQOL_Items'!F430) + (6-'01_WHOQOL_Items'!G430) + '01_WHOQOL_Items'!M430 + '01_WHOQOL_Items'!R430 + '01_WHOQOL_Items'!S430 + '01_WHOQOL_Items'!T430 + '01_WHOQOL_Items'!U430)/7)</f>
        <v>9.1428571428571423</v>
      </c>
      <c r="D430" s="4">
        <f>4*(((6-'01_WHOQOL_Items'!AF430) + (6-'01_WHOQOL_Items'!AG430) + '01_WHOQOL_Items'!AM430 + '01_WHOQOL_Items'!AR430 + '01_WHOQOL_Items'!AS430 + '01_WHOQOL_Items'!AT430 + '01_WHOQOL_Items'!AU430)/7)</f>
        <v>12.571428571428571</v>
      </c>
      <c r="E430" s="4">
        <f t="shared" si="90"/>
        <v>32.142857142857139</v>
      </c>
      <c r="F430" s="4">
        <f t="shared" si="91"/>
        <v>53.571428571428569</v>
      </c>
      <c r="G430" s="5">
        <f t="shared" si="92"/>
        <v>0.66666666666666685</v>
      </c>
      <c r="H430" s="4">
        <f>4*(('01_WHOQOL_Items'!H430 + '01_WHOQOL_Items'!I430 + '01_WHOQOL_Items'!J430 + '01_WHOQOL_Items'!N430 + '01_WHOQOL_Items'!V430 + (6-'01_WHOQOL_Items'!AC430))/6)</f>
        <v>16.666666666666668</v>
      </c>
      <c r="I430" s="4">
        <f>4*(('01_WHOQOL_Items'!AH430 + '01_WHOQOL_Items'!AI430 + '01_WHOQOL_Items'!AJ430 + '01_WHOQOL_Items'!AN430 + '01_WHOQOL_Items'!AV430 + (6-'01_WHOQOL_Items'!BC430))/6)</f>
        <v>16</v>
      </c>
      <c r="J430" s="4">
        <f t="shared" si="93"/>
        <v>79.166666666666671</v>
      </c>
      <c r="K430" s="4">
        <f t="shared" si="94"/>
        <v>75</v>
      </c>
      <c r="L430" s="5">
        <f t="shared" si="95"/>
        <v>-5.2631578947368481E-2</v>
      </c>
      <c r="M430" s="4">
        <f>4*(('01_WHOQOL_Items'!W430 + '01_WHOQOL_Items'!X430 + '01_WHOQOL_Items'!Y430)/3)</f>
        <v>14.666666666666666</v>
      </c>
      <c r="N430" s="4">
        <f>4*(('01_WHOQOL_Items'!AW430 + '01_WHOQOL_Items'!AX430 + '01_WHOQOL_Items'!AY430)/3)</f>
        <v>13.333333333333334</v>
      </c>
      <c r="O430" s="4">
        <f t="shared" si="96"/>
        <v>66.666666666666657</v>
      </c>
      <c r="P430" s="4">
        <f t="shared" si="97"/>
        <v>58.333333333333336</v>
      </c>
      <c r="Q430" s="5">
        <f t="shared" si="98"/>
        <v>-0.12499999999999983</v>
      </c>
      <c r="R430" s="4">
        <f>4*(('01_WHOQOL_Items'!K430 + '01_WHOQOL_Items'!L430 + '01_WHOQOL_Items'!O430 + '01_WHOQOL_Items'!P430 + '01_WHOQOL_Items'!Q430 + '01_WHOQOL_Items'!Z430 + '01_WHOQOL_Items'!AA430 + '01_WHOQOL_Items'!AB430)/8)</f>
        <v>17</v>
      </c>
      <c r="S430" s="4">
        <f>4*(('01_WHOQOL_Items'!AK430 + '01_WHOQOL_Items'!AL430 + '01_WHOQOL_Items'!AO430 + '01_WHOQOL_Items'!AP430 + '01_WHOQOL_Items'!AQ430 + '01_WHOQOL_Items'!AZ430 + '01_WHOQOL_Items'!BA430 + '01_WHOQOL_Items'!BB430)/8)</f>
        <v>15.5</v>
      </c>
      <c r="T430" s="4">
        <f t="shared" si="99"/>
        <v>81.25</v>
      </c>
      <c r="U430" s="4">
        <f t="shared" si="100"/>
        <v>71.875</v>
      </c>
      <c r="V430" s="5">
        <f t="shared" si="101"/>
        <v>-0.11538461538461539</v>
      </c>
      <c r="W430" s="4">
        <f t="shared" si="102"/>
        <v>64.80654761904762</v>
      </c>
      <c r="X430" s="4">
        <f t="shared" si="103"/>
        <v>64.694940476190482</v>
      </c>
      <c r="Y430" s="5">
        <f t="shared" si="104"/>
        <v>-1.7221584385762863E-3</v>
      </c>
      <c r="Z430" s="1">
        <f>'01_WHOQOL_Items'!D430</f>
        <v>3</v>
      </c>
      <c r="AA430" s="1">
        <f>'01_WHOQOL_Items'!AD430</f>
        <v>4</v>
      </c>
      <c r="AB430" s="1">
        <f>'01_WHOQOL_Items'!E430</f>
        <v>3</v>
      </c>
      <c r="AC430" s="1">
        <f>'01_WHOQOL_Items'!AE430</f>
        <v>2</v>
      </c>
    </row>
    <row r="431" spans="1:29">
      <c r="A431" s="1" t="str">
        <f>'01_WHOQOL_Items'!A431</f>
        <v>CON-149</v>
      </c>
      <c r="B431" s="1" t="str">
        <f>'01_WHOQOL_Items'!B431</f>
        <v>Control</v>
      </c>
      <c r="C431" s="4">
        <f>4*(((6-'01_WHOQOL_Items'!F431) + (6-'01_WHOQOL_Items'!G431) + '01_WHOQOL_Items'!M431 + '01_WHOQOL_Items'!R431 + '01_WHOQOL_Items'!S431 + '01_WHOQOL_Items'!T431 + '01_WHOQOL_Items'!U431)/7)</f>
        <v>14.857142857142858</v>
      </c>
      <c r="D431" s="4">
        <f>4*(((6-'01_WHOQOL_Items'!AF431) + (6-'01_WHOQOL_Items'!AG431) + '01_WHOQOL_Items'!AM431 + '01_WHOQOL_Items'!AR431 + '01_WHOQOL_Items'!AS431 + '01_WHOQOL_Items'!AT431 + '01_WHOQOL_Items'!AU431)/7)</f>
        <v>12</v>
      </c>
      <c r="E431" s="4">
        <f t="shared" si="90"/>
        <v>67.857142857142861</v>
      </c>
      <c r="F431" s="4">
        <f t="shared" si="91"/>
        <v>50</v>
      </c>
      <c r="G431" s="5">
        <f t="shared" si="92"/>
        <v>-0.26315789473684215</v>
      </c>
      <c r="H431" s="4">
        <f>4*(('01_WHOQOL_Items'!H431 + '01_WHOQOL_Items'!I431 + '01_WHOQOL_Items'!J431 + '01_WHOQOL_Items'!N431 + '01_WHOQOL_Items'!V431 + (6-'01_WHOQOL_Items'!AC431))/6)</f>
        <v>16.666666666666668</v>
      </c>
      <c r="I431" s="4">
        <f>4*(('01_WHOQOL_Items'!AH431 + '01_WHOQOL_Items'!AI431 + '01_WHOQOL_Items'!AJ431 + '01_WHOQOL_Items'!AN431 + '01_WHOQOL_Items'!AV431 + (6-'01_WHOQOL_Items'!BC431))/6)</f>
        <v>19.333333333333332</v>
      </c>
      <c r="J431" s="4">
        <f t="shared" si="93"/>
        <v>79.166666666666671</v>
      </c>
      <c r="K431" s="4">
        <f t="shared" si="94"/>
        <v>95.833333333333329</v>
      </c>
      <c r="L431" s="5">
        <f t="shared" si="95"/>
        <v>0.21052631578947356</v>
      </c>
      <c r="M431" s="4">
        <f>4*(('01_WHOQOL_Items'!W431 + '01_WHOQOL_Items'!X431 + '01_WHOQOL_Items'!Y431)/3)</f>
        <v>10.666666666666666</v>
      </c>
      <c r="N431" s="4">
        <f>4*(('01_WHOQOL_Items'!AW431 + '01_WHOQOL_Items'!AX431 + '01_WHOQOL_Items'!AY431)/3)</f>
        <v>8</v>
      </c>
      <c r="O431" s="4">
        <f t="shared" si="96"/>
        <v>41.666666666666664</v>
      </c>
      <c r="P431" s="4">
        <f t="shared" si="97"/>
        <v>25</v>
      </c>
      <c r="Q431" s="5">
        <f t="shared" si="98"/>
        <v>-0.39999999999999997</v>
      </c>
      <c r="R431" s="4">
        <f>4*(('01_WHOQOL_Items'!K431 + '01_WHOQOL_Items'!L431 + '01_WHOQOL_Items'!O431 + '01_WHOQOL_Items'!P431 + '01_WHOQOL_Items'!Q431 + '01_WHOQOL_Items'!Z431 + '01_WHOQOL_Items'!AA431 + '01_WHOQOL_Items'!AB431)/8)</f>
        <v>12.5</v>
      </c>
      <c r="S431" s="4">
        <f>4*(('01_WHOQOL_Items'!AK431 + '01_WHOQOL_Items'!AL431 + '01_WHOQOL_Items'!AO431 + '01_WHOQOL_Items'!AP431 + '01_WHOQOL_Items'!AQ431 + '01_WHOQOL_Items'!AZ431 + '01_WHOQOL_Items'!BA431 + '01_WHOQOL_Items'!BB431)/8)</f>
        <v>13</v>
      </c>
      <c r="T431" s="4">
        <f t="shared" si="99"/>
        <v>53.125</v>
      </c>
      <c r="U431" s="4">
        <f t="shared" si="100"/>
        <v>56.25</v>
      </c>
      <c r="V431" s="5">
        <f t="shared" si="101"/>
        <v>5.8823529411764705E-2</v>
      </c>
      <c r="W431" s="4">
        <f t="shared" si="102"/>
        <v>60.453869047619044</v>
      </c>
      <c r="X431" s="4">
        <f t="shared" si="103"/>
        <v>56.770833333333329</v>
      </c>
      <c r="Y431" s="5">
        <f t="shared" si="104"/>
        <v>-6.0923076923076941E-2</v>
      </c>
      <c r="Z431" s="1">
        <f>'01_WHOQOL_Items'!D431</f>
        <v>3</v>
      </c>
      <c r="AA431" s="1">
        <f>'01_WHOQOL_Items'!AD431</f>
        <v>3</v>
      </c>
      <c r="AB431" s="1">
        <f>'01_WHOQOL_Items'!E431</f>
        <v>3</v>
      </c>
      <c r="AC431" s="1">
        <f>'01_WHOQOL_Items'!AE431</f>
        <v>3</v>
      </c>
    </row>
    <row r="432" spans="1:29">
      <c r="A432" s="1" t="str">
        <f>'01_WHOQOL_Items'!A432</f>
        <v>CON-150</v>
      </c>
      <c r="B432" s="1" t="str">
        <f>'01_WHOQOL_Items'!B432</f>
        <v>Control</v>
      </c>
      <c r="C432" s="4">
        <f>4*(((6-'01_WHOQOL_Items'!F432) + (6-'01_WHOQOL_Items'!G432) + '01_WHOQOL_Items'!M432 + '01_WHOQOL_Items'!R432 + '01_WHOQOL_Items'!S432 + '01_WHOQOL_Items'!T432 + '01_WHOQOL_Items'!U432)/7)</f>
        <v>14.857142857142858</v>
      </c>
      <c r="D432" s="4">
        <f>4*(((6-'01_WHOQOL_Items'!AF432) + (6-'01_WHOQOL_Items'!AG432) + '01_WHOQOL_Items'!AM432 + '01_WHOQOL_Items'!AR432 + '01_WHOQOL_Items'!AS432 + '01_WHOQOL_Items'!AT432 + '01_WHOQOL_Items'!AU432)/7)</f>
        <v>13.142857142857142</v>
      </c>
      <c r="E432" s="4">
        <f t="shared" si="90"/>
        <v>67.857142857142861</v>
      </c>
      <c r="F432" s="4">
        <f t="shared" si="91"/>
        <v>57.142857142857139</v>
      </c>
      <c r="G432" s="5">
        <f t="shared" si="92"/>
        <v>-0.15789473684210537</v>
      </c>
      <c r="H432" s="4">
        <f>4*(('01_WHOQOL_Items'!H432 + '01_WHOQOL_Items'!I432 + '01_WHOQOL_Items'!J432 + '01_WHOQOL_Items'!N432 + '01_WHOQOL_Items'!V432 + (6-'01_WHOQOL_Items'!AC432))/6)</f>
        <v>10</v>
      </c>
      <c r="I432" s="4">
        <f>4*(('01_WHOQOL_Items'!AH432 + '01_WHOQOL_Items'!AI432 + '01_WHOQOL_Items'!AJ432 + '01_WHOQOL_Items'!AN432 + '01_WHOQOL_Items'!AV432 + (6-'01_WHOQOL_Items'!BC432))/6)</f>
        <v>10</v>
      </c>
      <c r="J432" s="4">
        <f t="shared" si="93"/>
        <v>37.5</v>
      </c>
      <c r="K432" s="4">
        <f t="shared" si="94"/>
        <v>37.5</v>
      </c>
      <c r="L432" s="5">
        <f t="shared" si="95"/>
        <v>0</v>
      </c>
      <c r="M432" s="4">
        <f>4*(('01_WHOQOL_Items'!W432 + '01_WHOQOL_Items'!X432 + '01_WHOQOL_Items'!Y432)/3)</f>
        <v>14.666666666666666</v>
      </c>
      <c r="N432" s="4">
        <f>4*(('01_WHOQOL_Items'!AW432 + '01_WHOQOL_Items'!AX432 + '01_WHOQOL_Items'!AY432)/3)</f>
        <v>14.666666666666666</v>
      </c>
      <c r="O432" s="4">
        <f t="shared" si="96"/>
        <v>66.666666666666657</v>
      </c>
      <c r="P432" s="4">
        <f t="shared" si="97"/>
        <v>66.666666666666657</v>
      </c>
      <c r="Q432" s="5">
        <f t="shared" si="98"/>
        <v>0</v>
      </c>
      <c r="R432" s="4">
        <f>4*(('01_WHOQOL_Items'!K432 + '01_WHOQOL_Items'!L432 + '01_WHOQOL_Items'!O432 + '01_WHOQOL_Items'!P432 + '01_WHOQOL_Items'!Q432 + '01_WHOQOL_Items'!Z432 + '01_WHOQOL_Items'!AA432 + '01_WHOQOL_Items'!AB432)/8)</f>
        <v>11.5</v>
      </c>
      <c r="S432" s="4">
        <f>4*(('01_WHOQOL_Items'!AK432 + '01_WHOQOL_Items'!AL432 + '01_WHOQOL_Items'!AO432 + '01_WHOQOL_Items'!AP432 + '01_WHOQOL_Items'!AQ432 + '01_WHOQOL_Items'!AZ432 + '01_WHOQOL_Items'!BA432 + '01_WHOQOL_Items'!BB432)/8)</f>
        <v>9</v>
      </c>
      <c r="T432" s="4">
        <f t="shared" si="99"/>
        <v>46.875</v>
      </c>
      <c r="U432" s="4">
        <f t="shared" si="100"/>
        <v>31.25</v>
      </c>
      <c r="V432" s="5">
        <f t="shared" si="101"/>
        <v>-0.33333333333333331</v>
      </c>
      <c r="W432" s="4">
        <f t="shared" si="102"/>
        <v>54.72470238095238</v>
      </c>
      <c r="X432" s="4">
        <f t="shared" si="103"/>
        <v>48.139880952380949</v>
      </c>
      <c r="Y432" s="5">
        <f t="shared" si="104"/>
        <v>-0.12032630863358264</v>
      </c>
      <c r="Z432" s="1">
        <f>'01_WHOQOL_Items'!D432</f>
        <v>3</v>
      </c>
      <c r="AA432" s="1">
        <f>'01_WHOQOL_Items'!AD432</f>
        <v>3</v>
      </c>
      <c r="AB432" s="1">
        <f>'01_WHOQOL_Items'!E432</f>
        <v>5</v>
      </c>
      <c r="AC432" s="1">
        <f>'01_WHOQOL_Items'!AE432</f>
        <v>3</v>
      </c>
    </row>
    <row r="433" spans="1:29">
      <c r="A433" s="1" t="str">
        <f>'01_WHOQOL_Items'!A433</f>
        <v>CON-151</v>
      </c>
      <c r="B433" s="1" t="str">
        <f>'01_WHOQOL_Items'!B433</f>
        <v>Control</v>
      </c>
      <c r="C433" s="4">
        <f>4*(((6-'01_WHOQOL_Items'!F433) + (6-'01_WHOQOL_Items'!G433) + '01_WHOQOL_Items'!M433 + '01_WHOQOL_Items'!R433 + '01_WHOQOL_Items'!S433 + '01_WHOQOL_Items'!T433 + '01_WHOQOL_Items'!U433)/7)</f>
        <v>8</v>
      </c>
      <c r="D433" s="4">
        <f>4*(((6-'01_WHOQOL_Items'!AF433) + (6-'01_WHOQOL_Items'!AG433) + '01_WHOQOL_Items'!AM433 + '01_WHOQOL_Items'!AR433 + '01_WHOQOL_Items'!AS433 + '01_WHOQOL_Items'!AT433 + '01_WHOQOL_Items'!AU433)/7)</f>
        <v>8</v>
      </c>
      <c r="E433" s="4">
        <f t="shared" si="90"/>
        <v>25</v>
      </c>
      <c r="F433" s="4">
        <f t="shared" si="91"/>
        <v>25</v>
      </c>
      <c r="G433" s="5">
        <f t="shared" si="92"/>
        <v>0</v>
      </c>
      <c r="H433" s="4">
        <f>4*(('01_WHOQOL_Items'!H433 + '01_WHOQOL_Items'!I433 + '01_WHOQOL_Items'!J433 + '01_WHOQOL_Items'!N433 + '01_WHOQOL_Items'!V433 + (6-'01_WHOQOL_Items'!AC433))/6)</f>
        <v>13.333333333333334</v>
      </c>
      <c r="I433" s="4">
        <f>4*(('01_WHOQOL_Items'!AH433 + '01_WHOQOL_Items'!AI433 + '01_WHOQOL_Items'!AJ433 + '01_WHOQOL_Items'!AN433 + '01_WHOQOL_Items'!AV433 + (6-'01_WHOQOL_Items'!BC433))/6)</f>
        <v>14</v>
      </c>
      <c r="J433" s="4">
        <f t="shared" si="93"/>
        <v>58.333333333333336</v>
      </c>
      <c r="K433" s="4">
        <f t="shared" si="94"/>
        <v>62.5</v>
      </c>
      <c r="L433" s="5">
        <f t="shared" si="95"/>
        <v>7.1428571428571383E-2</v>
      </c>
      <c r="M433" s="4">
        <f>4*(('01_WHOQOL_Items'!W433 + '01_WHOQOL_Items'!X433 + '01_WHOQOL_Items'!Y433)/3)</f>
        <v>14.666666666666666</v>
      </c>
      <c r="N433" s="4">
        <f>4*(('01_WHOQOL_Items'!AW433 + '01_WHOQOL_Items'!AX433 + '01_WHOQOL_Items'!AY433)/3)</f>
        <v>16</v>
      </c>
      <c r="O433" s="4">
        <f t="shared" si="96"/>
        <v>66.666666666666657</v>
      </c>
      <c r="P433" s="4">
        <f t="shared" si="97"/>
        <v>75</v>
      </c>
      <c r="Q433" s="5">
        <f t="shared" si="98"/>
        <v>0.12500000000000017</v>
      </c>
      <c r="R433" s="4">
        <f>4*(('01_WHOQOL_Items'!K433 + '01_WHOQOL_Items'!L433 + '01_WHOQOL_Items'!O433 + '01_WHOQOL_Items'!P433 + '01_WHOQOL_Items'!Q433 + '01_WHOQOL_Items'!Z433 + '01_WHOQOL_Items'!AA433 + '01_WHOQOL_Items'!AB433)/8)</f>
        <v>11.5</v>
      </c>
      <c r="S433" s="4">
        <f>4*(('01_WHOQOL_Items'!AK433 + '01_WHOQOL_Items'!AL433 + '01_WHOQOL_Items'!AO433 + '01_WHOQOL_Items'!AP433 + '01_WHOQOL_Items'!AQ433 + '01_WHOQOL_Items'!AZ433 + '01_WHOQOL_Items'!BA433 + '01_WHOQOL_Items'!BB433)/8)</f>
        <v>12</v>
      </c>
      <c r="T433" s="4">
        <f t="shared" si="99"/>
        <v>46.875</v>
      </c>
      <c r="U433" s="4">
        <f t="shared" si="100"/>
        <v>50</v>
      </c>
      <c r="V433" s="5">
        <f t="shared" si="101"/>
        <v>6.6666666666666666E-2</v>
      </c>
      <c r="W433" s="4">
        <f t="shared" si="102"/>
        <v>49.21875</v>
      </c>
      <c r="X433" s="4">
        <f t="shared" si="103"/>
        <v>53.125</v>
      </c>
      <c r="Y433" s="5">
        <f t="shared" si="104"/>
        <v>7.9365079365079361E-2</v>
      </c>
      <c r="Z433" s="1">
        <f>'01_WHOQOL_Items'!D433</f>
        <v>2</v>
      </c>
      <c r="AA433" s="1">
        <f>'01_WHOQOL_Items'!AD433</f>
        <v>3</v>
      </c>
      <c r="AB433" s="1">
        <f>'01_WHOQOL_Items'!E433</f>
        <v>3</v>
      </c>
      <c r="AC433" s="1">
        <f>'01_WHOQOL_Items'!AE433</f>
        <v>2</v>
      </c>
    </row>
    <row r="434" spans="1:29">
      <c r="A434" s="1" t="str">
        <f>'01_WHOQOL_Items'!A434</f>
        <v>CON-152</v>
      </c>
      <c r="B434" s="1" t="str">
        <f>'01_WHOQOL_Items'!B434</f>
        <v>Control</v>
      </c>
      <c r="C434" s="4">
        <f>4*(((6-'01_WHOQOL_Items'!F434) + (6-'01_WHOQOL_Items'!G434) + '01_WHOQOL_Items'!M434 + '01_WHOQOL_Items'!R434 + '01_WHOQOL_Items'!S434 + '01_WHOQOL_Items'!T434 + '01_WHOQOL_Items'!U434)/7)</f>
        <v>8.5714285714285712</v>
      </c>
      <c r="D434" s="4">
        <f>4*(((6-'01_WHOQOL_Items'!AF434) + (6-'01_WHOQOL_Items'!AG434) + '01_WHOQOL_Items'!AM434 + '01_WHOQOL_Items'!AR434 + '01_WHOQOL_Items'!AS434 + '01_WHOQOL_Items'!AT434 + '01_WHOQOL_Items'!AU434)/7)</f>
        <v>9.7142857142857135</v>
      </c>
      <c r="E434" s="4">
        <f t="shared" si="90"/>
        <v>28.571428571428569</v>
      </c>
      <c r="F434" s="4">
        <f t="shared" si="91"/>
        <v>35.714285714285708</v>
      </c>
      <c r="G434" s="5">
        <f t="shared" si="92"/>
        <v>0.24999999999999989</v>
      </c>
      <c r="H434" s="4">
        <f>4*(('01_WHOQOL_Items'!H434 + '01_WHOQOL_Items'!I434 + '01_WHOQOL_Items'!J434 + '01_WHOQOL_Items'!N434 + '01_WHOQOL_Items'!V434 + (6-'01_WHOQOL_Items'!AC434))/6)</f>
        <v>12.666666666666666</v>
      </c>
      <c r="I434" s="4">
        <f>4*(('01_WHOQOL_Items'!AH434 + '01_WHOQOL_Items'!AI434 + '01_WHOQOL_Items'!AJ434 + '01_WHOQOL_Items'!AN434 + '01_WHOQOL_Items'!AV434 + (6-'01_WHOQOL_Items'!BC434))/6)</f>
        <v>12</v>
      </c>
      <c r="J434" s="4">
        <f t="shared" si="93"/>
        <v>54.166666666666664</v>
      </c>
      <c r="K434" s="4">
        <f t="shared" si="94"/>
        <v>50</v>
      </c>
      <c r="L434" s="5">
        <f t="shared" si="95"/>
        <v>-7.6923076923076886E-2</v>
      </c>
      <c r="M434" s="4">
        <f>4*(('01_WHOQOL_Items'!W434 + '01_WHOQOL_Items'!X434 + '01_WHOQOL_Items'!Y434)/3)</f>
        <v>12</v>
      </c>
      <c r="N434" s="4">
        <f>4*(('01_WHOQOL_Items'!AW434 + '01_WHOQOL_Items'!AX434 + '01_WHOQOL_Items'!AY434)/3)</f>
        <v>13.333333333333334</v>
      </c>
      <c r="O434" s="4">
        <f t="shared" si="96"/>
        <v>50</v>
      </c>
      <c r="P434" s="4">
        <f t="shared" si="97"/>
        <v>58.333333333333336</v>
      </c>
      <c r="Q434" s="5">
        <f t="shared" si="98"/>
        <v>0.16666666666666671</v>
      </c>
      <c r="R434" s="4">
        <f>4*(('01_WHOQOL_Items'!K434 + '01_WHOQOL_Items'!L434 + '01_WHOQOL_Items'!O434 + '01_WHOQOL_Items'!P434 + '01_WHOQOL_Items'!Q434 + '01_WHOQOL_Items'!Z434 + '01_WHOQOL_Items'!AA434 + '01_WHOQOL_Items'!AB434)/8)</f>
        <v>10</v>
      </c>
      <c r="S434" s="4">
        <f>4*(('01_WHOQOL_Items'!AK434 + '01_WHOQOL_Items'!AL434 + '01_WHOQOL_Items'!AO434 + '01_WHOQOL_Items'!AP434 + '01_WHOQOL_Items'!AQ434 + '01_WHOQOL_Items'!AZ434 + '01_WHOQOL_Items'!BA434 + '01_WHOQOL_Items'!BB434)/8)</f>
        <v>10</v>
      </c>
      <c r="T434" s="4">
        <f t="shared" si="99"/>
        <v>37.5</v>
      </c>
      <c r="U434" s="4">
        <f t="shared" si="100"/>
        <v>37.5</v>
      </c>
      <c r="V434" s="5">
        <f t="shared" si="101"/>
        <v>0</v>
      </c>
      <c r="W434" s="4">
        <f t="shared" si="102"/>
        <v>42.55952380952381</v>
      </c>
      <c r="X434" s="4">
        <f t="shared" si="103"/>
        <v>45.386904761904759</v>
      </c>
      <c r="Y434" s="5">
        <f t="shared" si="104"/>
        <v>6.6433566433566349E-2</v>
      </c>
      <c r="Z434" s="1">
        <f>'01_WHOQOL_Items'!D434</f>
        <v>4</v>
      </c>
      <c r="AA434" s="1">
        <f>'01_WHOQOL_Items'!AD434</f>
        <v>4</v>
      </c>
      <c r="AB434" s="1">
        <f>'01_WHOQOL_Items'!E434</f>
        <v>3</v>
      </c>
      <c r="AC434" s="1">
        <f>'01_WHOQOL_Items'!AE434</f>
        <v>2</v>
      </c>
    </row>
    <row r="435" spans="1:29">
      <c r="A435" s="1" t="str">
        <f>'01_WHOQOL_Items'!A435</f>
        <v>CON-153</v>
      </c>
      <c r="B435" s="1" t="str">
        <f>'01_WHOQOL_Items'!B435</f>
        <v>Control</v>
      </c>
      <c r="C435" s="4">
        <f>4*(((6-'01_WHOQOL_Items'!F435) + (6-'01_WHOQOL_Items'!G435) + '01_WHOQOL_Items'!M435 + '01_WHOQOL_Items'!R435 + '01_WHOQOL_Items'!S435 + '01_WHOQOL_Items'!T435 + '01_WHOQOL_Items'!U435)/7)</f>
        <v>12</v>
      </c>
      <c r="D435" s="4">
        <f>4*(((6-'01_WHOQOL_Items'!AF435) + (6-'01_WHOQOL_Items'!AG435) + '01_WHOQOL_Items'!AM435 + '01_WHOQOL_Items'!AR435 + '01_WHOQOL_Items'!AS435 + '01_WHOQOL_Items'!AT435 + '01_WHOQOL_Items'!AU435)/7)</f>
        <v>11.428571428571429</v>
      </c>
      <c r="E435" s="4">
        <f t="shared" si="90"/>
        <v>50</v>
      </c>
      <c r="F435" s="4">
        <f t="shared" si="91"/>
        <v>46.428571428571431</v>
      </c>
      <c r="G435" s="5">
        <f t="shared" si="92"/>
        <v>-7.1428571428571383E-2</v>
      </c>
      <c r="H435" s="4">
        <f>4*(('01_WHOQOL_Items'!H435 + '01_WHOQOL_Items'!I435 + '01_WHOQOL_Items'!J435 + '01_WHOQOL_Items'!N435 + '01_WHOQOL_Items'!V435 + (6-'01_WHOQOL_Items'!AC435))/6)</f>
        <v>12</v>
      </c>
      <c r="I435" s="4">
        <f>4*(('01_WHOQOL_Items'!AH435 + '01_WHOQOL_Items'!AI435 + '01_WHOQOL_Items'!AJ435 + '01_WHOQOL_Items'!AN435 + '01_WHOQOL_Items'!AV435 + (6-'01_WHOQOL_Items'!BC435))/6)</f>
        <v>10</v>
      </c>
      <c r="J435" s="4">
        <f t="shared" si="93"/>
        <v>50</v>
      </c>
      <c r="K435" s="4">
        <f t="shared" si="94"/>
        <v>37.5</v>
      </c>
      <c r="L435" s="5">
        <f t="shared" si="95"/>
        <v>-0.25</v>
      </c>
      <c r="M435" s="4">
        <f>4*(('01_WHOQOL_Items'!W435 + '01_WHOQOL_Items'!X435 + '01_WHOQOL_Items'!Y435)/3)</f>
        <v>12</v>
      </c>
      <c r="N435" s="4">
        <f>4*(('01_WHOQOL_Items'!AW435 + '01_WHOQOL_Items'!AX435 + '01_WHOQOL_Items'!AY435)/3)</f>
        <v>9.3333333333333339</v>
      </c>
      <c r="O435" s="4">
        <f t="shared" si="96"/>
        <v>50</v>
      </c>
      <c r="P435" s="4">
        <f t="shared" si="97"/>
        <v>33.333333333333336</v>
      </c>
      <c r="Q435" s="5">
        <f t="shared" si="98"/>
        <v>-0.33333333333333326</v>
      </c>
      <c r="R435" s="4">
        <f>4*(('01_WHOQOL_Items'!K435 + '01_WHOQOL_Items'!L435 + '01_WHOQOL_Items'!O435 + '01_WHOQOL_Items'!P435 + '01_WHOQOL_Items'!Q435 + '01_WHOQOL_Items'!Z435 + '01_WHOQOL_Items'!AA435 + '01_WHOQOL_Items'!AB435)/8)</f>
        <v>13</v>
      </c>
      <c r="S435" s="4">
        <f>4*(('01_WHOQOL_Items'!AK435 + '01_WHOQOL_Items'!AL435 + '01_WHOQOL_Items'!AO435 + '01_WHOQOL_Items'!AP435 + '01_WHOQOL_Items'!AQ435 + '01_WHOQOL_Items'!AZ435 + '01_WHOQOL_Items'!BA435 + '01_WHOQOL_Items'!BB435)/8)</f>
        <v>11.5</v>
      </c>
      <c r="T435" s="4">
        <f t="shared" si="99"/>
        <v>56.25</v>
      </c>
      <c r="U435" s="4">
        <f t="shared" si="100"/>
        <v>46.875</v>
      </c>
      <c r="V435" s="5">
        <f t="shared" si="101"/>
        <v>-0.16666666666666666</v>
      </c>
      <c r="W435" s="4">
        <f t="shared" si="102"/>
        <v>51.5625</v>
      </c>
      <c r="X435" s="4">
        <f t="shared" si="103"/>
        <v>41.03422619047619</v>
      </c>
      <c r="Y435" s="5">
        <f t="shared" si="104"/>
        <v>-0.20418470418470419</v>
      </c>
      <c r="Z435" s="1">
        <f>'01_WHOQOL_Items'!D435</f>
        <v>2</v>
      </c>
      <c r="AA435" s="1">
        <f>'01_WHOQOL_Items'!AD435</f>
        <v>3</v>
      </c>
      <c r="AB435" s="1">
        <f>'01_WHOQOL_Items'!E435</f>
        <v>3</v>
      </c>
      <c r="AC435" s="1">
        <f>'01_WHOQOL_Items'!AE435</f>
        <v>4</v>
      </c>
    </row>
    <row r="436" spans="1:29">
      <c r="A436" s="1" t="str">
        <f>'01_WHOQOL_Items'!A436</f>
        <v>CON-154</v>
      </c>
      <c r="B436" s="1" t="str">
        <f>'01_WHOQOL_Items'!B436</f>
        <v>Control</v>
      </c>
      <c r="C436" s="4">
        <f>4*(((6-'01_WHOQOL_Items'!F436) + (6-'01_WHOQOL_Items'!G436) + '01_WHOQOL_Items'!M436 + '01_WHOQOL_Items'!R436 + '01_WHOQOL_Items'!S436 + '01_WHOQOL_Items'!T436 + '01_WHOQOL_Items'!U436)/7)</f>
        <v>14.285714285714286</v>
      </c>
      <c r="D436" s="4">
        <f>4*(((6-'01_WHOQOL_Items'!AF436) + (6-'01_WHOQOL_Items'!AG436) + '01_WHOQOL_Items'!AM436 + '01_WHOQOL_Items'!AR436 + '01_WHOQOL_Items'!AS436 + '01_WHOQOL_Items'!AT436 + '01_WHOQOL_Items'!AU436)/7)</f>
        <v>13.714285714285714</v>
      </c>
      <c r="E436" s="4">
        <f t="shared" si="90"/>
        <v>64.285714285714292</v>
      </c>
      <c r="F436" s="4">
        <f t="shared" si="91"/>
        <v>60.714285714285708</v>
      </c>
      <c r="G436" s="5">
        <f t="shared" si="92"/>
        <v>-5.555555555555574E-2</v>
      </c>
      <c r="H436" s="4">
        <f>4*(('01_WHOQOL_Items'!H436 + '01_WHOQOL_Items'!I436 + '01_WHOQOL_Items'!J436 + '01_WHOQOL_Items'!N436 + '01_WHOQOL_Items'!V436 + (6-'01_WHOQOL_Items'!AC436))/6)</f>
        <v>14.666666666666666</v>
      </c>
      <c r="I436" s="4">
        <f>4*(('01_WHOQOL_Items'!AH436 + '01_WHOQOL_Items'!AI436 + '01_WHOQOL_Items'!AJ436 + '01_WHOQOL_Items'!AN436 + '01_WHOQOL_Items'!AV436 + (6-'01_WHOQOL_Items'!BC436))/6)</f>
        <v>13.333333333333334</v>
      </c>
      <c r="J436" s="4">
        <f t="shared" si="93"/>
        <v>66.666666666666657</v>
      </c>
      <c r="K436" s="4">
        <f t="shared" si="94"/>
        <v>58.333333333333336</v>
      </c>
      <c r="L436" s="5">
        <f t="shared" si="95"/>
        <v>-0.12499999999999983</v>
      </c>
      <c r="M436" s="4">
        <f>4*(('01_WHOQOL_Items'!W436 + '01_WHOQOL_Items'!X436 + '01_WHOQOL_Items'!Y436)/3)</f>
        <v>12</v>
      </c>
      <c r="N436" s="4">
        <f>4*(('01_WHOQOL_Items'!AW436 + '01_WHOQOL_Items'!AX436 + '01_WHOQOL_Items'!AY436)/3)</f>
        <v>12</v>
      </c>
      <c r="O436" s="4">
        <f t="shared" si="96"/>
        <v>50</v>
      </c>
      <c r="P436" s="4">
        <f t="shared" si="97"/>
        <v>50</v>
      </c>
      <c r="Q436" s="5">
        <f t="shared" si="98"/>
        <v>0</v>
      </c>
      <c r="R436" s="4">
        <f>4*(('01_WHOQOL_Items'!K436 + '01_WHOQOL_Items'!L436 + '01_WHOQOL_Items'!O436 + '01_WHOQOL_Items'!P436 + '01_WHOQOL_Items'!Q436 + '01_WHOQOL_Items'!Z436 + '01_WHOQOL_Items'!AA436 + '01_WHOQOL_Items'!AB436)/8)</f>
        <v>10</v>
      </c>
      <c r="S436" s="4">
        <f>4*(('01_WHOQOL_Items'!AK436 + '01_WHOQOL_Items'!AL436 + '01_WHOQOL_Items'!AO436 + '01_WHOQOL_Items'!AP436 + '01_WHOQOL_Items'!AQ436 + '01_WHOQOL_Items'!AZ436 + '01_WHOQOL_Items'!BA436 + '01_WHOQOL_Items'!BB436)/8)</f>
        <v>11.5</v>
      </c>
      <c r="T436" s="4">
        <f t="shared" si="99"/>
        <v>37.5</v>
      </c>
      <c r="U436" s="4">
        <f t="shared" si="100"/>
        <v>46.875</v>
      </c>
      <c r="V436" s="5">
        <f t="shared" si="101"/>
        <v>0.25</v>
      </c>
      <c r="W436" s="4">
        <f t="shared" si="102"/>
        <v>54.613095238095241</v>
      </c>
      <c r="X436" s="4">
        <f t="shared" si="103"/>
        <v>53.980654761904759</v>
      </c>
      <c r="Y436" s="5">
        <f t="shared" si="104"/>
        <v>-1.1580381471389744E-2</v>
      </c>
      <c r="Z436" s="1">
        <f>'01_WHOQOL_Items'!D436</f>
        <v>3</v>
      </c>
      <c r="AA436" s="1">
        <f>'01_WHOQOL_Items'!AD436</f>
        <v>3</v>
      </c>
      <c r="AB436" s="1">
        <f>'01_WHOQOL_Items'!E436</f>
        <v>3</v>
      </c>
      <c r="AC436" s="1">
        <f>'01_WHOQOL_Items'!AE436</f>
        <v>3</v>
      </c>
    </row>
    <row r="437" spans="1:29">
      <c r="A437" s="1" t="str">
        <f>'01_WHOQOL_Items'!A437</f>
        <v>CON-155</v>
      </c>
      <c r="B437" s="1" t="str">
        <f>'01_WHOQOL_Items'!B437</f>
        <v>Control</v>
      </c>
      <c r="C437" s="4">
        <f>4*(((6-'01_WHOQOL_Items'!F437) + (6-'01_WHOQOL_Items'!G437) + '01_WHOQOL_Items'!M437 + '01_WHOQOL_Items'!R437 + '01_WHOQOL_Items'!S437 + '01_WHOQOL_Items'!T437 + '01_WHOQOL_Items'!U437)/7)</f>
        <v>16.571428571428573</v>
      </c>
      <c r="D437" s="4">
        <f>4*(((6-'01_WHOQOL_Items'!AF437) + (6-'01_WHOQOL_Items'!AG437) + '01_WHOQOL_Items'!AM437 + '01_WHOQOL_Items'!AR437 + '01_WHOQOL_Items'!AS437 + '01_WHOQOL_Items'!AT437 + '01_WHOQOL_Items'!AU437)/7)</f>
        <v>17.142857142857142</v>
      </c>
      <c r="E437" s="4">
        <f t="shared" si="90"/>
        <v>78.571428571428584</v>
      </c>
      <c r="F437" s="4">
        <f t="shared" si="91"/>
        <v>82.142857142857139</v>
      </c>
      <c r="G437" s="5">
        <f t="shared" si="92"/>
        <v>4.5454545454545241E-2</v>
      </c>
      <c r="H437" s="4">
        <f>4*(('01_WHOQOL_Items'!H437 + '01_WHOQOL_Items'!I437 + '01_WHOQOL_Items'!J437 + '01_WHOQOL_Items'!N437 + '01_WHOQOL_Items'!V437 + (6-'01_WHOQOL_Items'!AC437))/6)</f>
        <v>10.666666666666666</v>
      </c>
      <c r="I437" s="4">
        <f>4*(('01_WHOQOL_Items'!AH437 + '01_WHOQOL_Items'!AI437 + '01_WHOQOL_Items'!AJ437 + '01_WHOQOL_Items'!AN437 + '01_WHOQOL_Items'!AV437 + (6-'01_WHOQOL_Items'!BC437))/6)</f>
        <v>8.6666666666666661</v>
      </c>
      <c r="J437" s="4">
        <f t="shared" si="93"/>
        <v>41.666666666666664</v>
      </c>
      <c r="K437" s="4">
        <f t="shared" si="94"/>
        <v>29.166666666666664</v>
      </c>
      <c r="L437" s="5">
        <f t="shared" si="95"/>
        <v>-0.30000000000000004</v>
      </c>
      <c r="M437" s="4">
        <f>4*(('01_WHOQOL_Items'!W437 + '01_WHOQOL_Items'!X437 + '01_WHOQOL_Items'!Y437)/3)</f>
        <v>13.333333333333334</v>
      </c>
      <c r="N437" s="4">
        <f>4*(('01_WHOQOL_Items'!AW437 + '01_WHOQOL_Items'!AX437 + '01_WHOQOL_Items'!AY437)/3)</f>
        <v>13.333333333333334</v>
      </c>
      <c r="O437" s="4">
        <f t="shared" si="96"/>
        <v>58.333333333333336</v>
      </c>
      <c r="P437" s="4">
        <f t="shared" si="97"/>
        <v>58.333333333333336</v>
      </c>
      <c r="Q437" s="5">
        <f t="shared" si="98"/>
        <v>0</v>
      </c>
      <c r="R437" s="4">
        <f>4*(('01_WHOQOL_Items'!K437 + '01_WHOQOL_Items'!L437 + '01_WHOQOL_Items'!O437 + '01_WHOQOL_Items'!P437 + '01_WHOQOL_Items'!Q437 + '01_WHOQOL_Items'!Z437 + '01_WHOQOL_Items'!AA437 + '01_WHOQOL_Items'!AB437)/8)</f>
        <v>12</v>
      </c>
      <c r="S437" s="4">
        <f>4*(('01_WHOQOL_Items'!AK437 + '01_WHOQOL_Items'!AL437 + '01_WHOQOL_Items'!AO437 + '01_WHOQOL_Items'!AP437 + '01_WHOQOL_Items'!AQ437 + '01_WHOQOL_Items'!AZ437 + '01_WHOQOL_Items'!BA437 + '01_WHOQOL_Items'!BB437)/8)</f>
        <v>12</v>
      </c>
      <c r="T437" s="4">
        <f t="shared" si="99"/>
        <v>50</v>
      </c>
      <c r="U437" s="4">
        <f t="shared" si="100"/>
        <v>50</v>
      </c>
      <c r="V437" s="5">
        <f t="shared" si="101"/>
        <v>0</v>
      </c>
      <c r="W437" s="4">
        <f t="shared" si="102"/>
        <v>57.142857142857146</v>
      </c>
      <c r="X437" s="4">
        <f t="shared" si="103"/>
        <v>54.910714285714285</v>
      </c>
      <c r="Y437" s="5">
        <f t="shared" si="104"/>
        <v>-3.9062500000000069E-2</v>
      </c>
      <c r="Z437" s="1">
        <f>'01_WHOQOL_Items'!D437</f>
        <v>4</v>
      </c>
      <c r="AA437" s="1">
        <f>'01_WHOQOL_Items'!AD437</f>
        <v>3</v>
      </c>
      <c r="AB437" s="1">
        <f>'01_WHOQOL_Items'!E437</f>
        <v>4</v>
      </c>
      <c r="AC437" s="1">
        <f>'01_WHOQOL_Items'!AE437</f>
        <v>4</v>
      </c>
    </row>
    <row r="438" spans="1:29">
      <c r="A438" s="1" t="str">
        <f>'01_WHOQOL_Items'!A438</f>
        <v>CON-156</v>
      </c>
      <c r="B438" s="1" t="str">
        <f>'01_WHOQOL_Items'!B438</f>
        <v>Control</v>
      </c>
      <c r="C438" s="4">
        <f>4*(((6-'01_WHOQOL_Items'!F438) + (6-'01_WHOQOL_Items'!G438) + '01_WHOQOL_Items'!M438 + '01_WHOQOL_Items'!R438 + '01_WHOQOL_Items'!S438 + '01_WHOQOL_Items'!T438 + '01_WHOQOL_Items'!U438)/7)</f>
        <v>13.714285714285714</v>
      </c>
      <c r="D438" s="4">
        <f>4*(((6-'01_WHOQOL_Items'!AF438) + (6-'01_WHOQOL_Items'!AG438) + '01_WHOQOL_Items'!AM438 + '01_WHOQOL_Items'!AR438 + '01_WHOQOL_Items'!AS438 + '01_WHOQOL_Items'!AT438 + '01_WHOQOL_Items'!AU438)/7)</f>
        <v>12.571428571428571</v>
      </c>
      <c r="E438" s="4">
        <f t="shared" si="90"/>
        <v>60.714285714285708</v>
      </c>
      <c r="F438" s="4">
        <f t="shared" si="91"/>
        <v>53.571428571428569</v>
      </c>
      <c r="G438" s="5">
        <f t="shared" si="92"/>
        <v>-0.11764705882352935</v>
      </c>
      <c r="H438" s="4">
        <f>4*(('01_WHOQOL_Items'!H438 + '01_WHOQOL_Items'!I438 + '01_WHOQOL_Items'!J438 + '01_WHOQOL_Items'!N438 + '01_WHOQOL_Items'!V438 + (6-'01_WHOQOL_Items'!AC438))/6)</f>
        <v>15.333333333333334</v>
      </c>
      <c r="I438" s="4">
        <f>4*(('01_WHOQOL_Items'!AH438 + '01_WHOQOL_Items'!AI438 + '01_WHOQOL_Items'!AJ438 + '01_WHOQOL_Items'!AN438 + '01_WHOQOL_Items'!AV438 + (6-'01_WHOQOL_Items'!BC438))/6)</f>
        <v>14</v>
      </c>
      <c r="J438" s="4">
        <f t="shared" si="93"/>
        <v>70.833333333333343</v>
      </c>
      <c r="K438" s="4">
        <f t="shared" si="94"/>
        <v>62.5</v>
      </c>
      <c r="L438" s="5">
        <f t="shared" si="95"/>
        <v>-0.11764705882352954</v>
      </c>
      <c r="M438" s="4">
        <f>4*(('01_WHOQOL_Items'!W438 + '01_WHOQOL_Items'!X438 + '01_WHOQOL_Items'!Y438)/3)</f>
        <v>12</v>
      </c>
      <c r="N438" s="4">
        <f>4*(('01_WHOQOL_Items'!AW438 + '01_WHOQOL_Items'!AX438 + '01_WHOQOL_Items'!AY438)/3)</f>
        <v>14.666666666666666</v>
      </c>
      <c r="O438" s="4">
        <f t="shared" si="96"/>
        <v>50</v>
      </c>
      <c r="P438" s="4">
        <f t="shared" si="97"/>
        <v>66.666666666666657</v>
      </c>
      <c r="Q438" s="5">
        <f t="shared" si="98"/>
        <v>0.33333333333333315</v>
      </c>
      <c r="R438" s="4">
        <f>4*(('01_WHOQOL_Items'!K438 + '01_WHOQOL_Items'!L438 + '01_WHOQOL_Items'!O438 + '01_WHOQOL_Items'!P438 + '01_WHOQOL_Items'!Q438 + '01_WHOQOL_Items'!Z438 + '01_WHOQOL_Items'!AA438 + '01_WHOQOL_Items'!AB438)/8)</f>
        <v>11.5</v>
      </c>
      <c r="S438" s="4">
        <f>4*(('01_WHOQOL_Items'!AK438 + '01_WHOQOL_Items'!AL438 + '01_WHOQOL_Items'!AO438 + '01_WHOQOL_Items'!AP438 + '01_WHOQOL_Items'!AQ438 + '01_WHOQOL_Items'!AZ438 + '01_WHOQOL_Items'!BA438 + '01_WHOQOL_Items'!BB438)/8)</f>
        <v>13</v>
      </c>
      <c r="T438" s="4">
        <f t="shared" si="99"/>
        <v>46.875</v>
      </c>
      <c r="U438" s="4">
        <f t="shared" si="100"/>
        <v>56.25</v>
      </c>
      <c r="V438" s="5">
        <f t="shared" si="101"/>
        <v>0.2</v>
      </c>
      <c r="W438" s="4">
        <f t="shared" si="102"/>
        <v>57.105654761904759</v>
      </c>
      <c r="X438" s="4">
        <f t="shared" si="103"/>
        <v>59.74702380952381</v>
      </c>
      <c r="Y438" s="5">
        <f t="shared" si="104"/>
        <v>4.6254071661237843E-2</v>
      </c>
      <c r="Z438" s="1">
        <f>'01_WHOQOL_Items'!D438</f>
        <v>4</v>
      </c>
      <c r="AA438" s="1">
        <f>'01_WHOQOL_Items'!AD438</f>
        <v>4</v>
      </c>
      <c r="AB438" s="1">
        <f>'01_WHOQOL_Items'!E438</f>
        <v>3</v>
      </c>
      <c r="AC438" s="1">
        <f>'01_WHOQOL_Items'!AE438</f>
        <v>3</v>
      </c>
    </row>
    <row r="439" spans="1:29">
      <c r="A439" s="1" t="str">
        <f>'01_WHOQOL_Items'!A439</f>
        <v>CON-157</v>
      </c>
      <c r="B439" s="1" t="str">
        <f>'01_WHOQOL_Items'!B439</f>
        <v>Control</v>
      </c>
      <c r="C439" s="4">
        <f>4*(((6-'01_WHOQOL_Items'!F439) + (6-'01_WHOQOL_Items'!G439) + '01_WHOQOL_Items'!M439 + '01_WHOQOL_Items'!R439 + '01_WHOQOL_Items'!S439 + '01_WHOQOL_Items'!T439 + '01_WHOQOL_Items'!U439)/7)</f>
        <v>12.571428571428571</v>
      </c>
      <c r="D439" s="4">
        <f>4*(((6-'01_WHOQOL_Items'!AF439) + (6-'01_WHOQOL_Items'!AG439) + '01_WHOQOL_Items'!AM439 + '01_WHOQOL_Items'!AR439 + '01_WHOQOL_Items'!AS439 + '01_WHOQOL_Items'!AT439 + '01_WHOQOL_Items'!AU439)/7)</f>
        <v>13.714285714285714</v>
      </c>
      <c r="E439" s="4">
        <f t="shared" si="90"/>
        <v>53.571428571428569</v>
      </c>
      <c r="F439" s="4">
        <f t="shared" si="91"/>
        <v>60.714285714285708</v>
      </c>
      <c r="G439" s="5">
        <f t="shared" si="92"/>
        <v>0.13333333333333328</v>
      </c>
      <c r="H439" s="4">
        <f>4*(('01_WHOQOL_Items'!H439 + '01_WHOQOL_Items'!I439 + '01_WHOQOL_Items'!J439 + '01_WHOQOL_Items'!N439 + '01_WHOQOL_Items'!V439 + (6-'01_WHOQOL_Items'!AC439))/6)</f>
        <v>10.666666666666666</v>
      </c>
      <c r="I439" s="4">
        <f>4*(('01_WHOQOL_Items'!AH439 + '01_WHOQOL_Items'!AI439 + '01_WHOQOL_Items'!AJ439 + '01_WHOQOL_Items'!AN439 + '01_WHOQOL_Items'!AV439 + (6-'01_WHOQOL_Items'!BC439))/6)</f>
        <v>11.333333333333334</v>
      </c>
      <c r="J439" s="4">
        <f t="shared" si="93"/>
        <v>41.666666666666664</v>
      </c>
      <c r="K439" s="4">
        <f t="shared" si="94"/>
        <v>45.833333333333336</v>
      </c>
      <c r="L439" s="5">
        <f t="shared" si="95"/>
        <v>0.10000000000000012</v>
      </c>
      <c r="M439" s="4">
        <f>4*(('01_WHOQOL_Items'!W439 + '01_WHOQOL_Items'!X439 + '01_WHOQOL_Items'!Y439)/3)</f>
        <v>9.3333333333333339</v>
      </c>
      <c r="N439" s="4">
        <f>4*(('01_WHOQOL_Items'!AW439 + '01_WHOQOL_Items'!AX439 + '01_WHOQOL_Items'!AY439)/3)</f>
        <v>8</v>
      </c>
      <c r="O439" s="4">
        <f t="shared" si="96"/>
        <v>33.333333333333336</v>
      </c>
      <c r="P439" s="4">
        <f t="shared" si="97"/>
        <v>25</v>
      </c>
      <c r="Q439" s="5">
        <f t="shared" si="98"/>
        <v>-0.25000000000000006</v>
      </c>
      <c r="R439" s="4">
        <f>4*(('01_WHOQOL_Items'!K439 + '01_WHOQOL_Items'!L439 + '01_WHOQOL_Items'!O439 + '01_WHOQOL_Items'!P439 + '01_WHOQOL_Items'!Q439 + '01_WHOQOL_Items'!Z439 + '01_WHOQOL_Items'!AA439 + '01_WHOQOL_Items'!AB439)/8)</f>
        <v>13</v>
      </c>
      <c r="S439" s="4">
        <f>4*(('01_WHOQOL_Items'!AK439 + '01_WHOQOL_Items'!AL439 + '01_WHOQOL_Items'!AO439 + '01_WHOQOL_Items'!AP439 + '01_WHOQOL_Items'!AQ439 + '01_WHOQOL_Items'!AZ439 + '01_WHOQOL_Items'!BA439 + '01_WHOQOL_Items'!BB439)/8)</f>
        <v>13</v>
      </c>
      <c r="T439" s="4">
        <f t="shared" si="99"/>
        <v>56.25</v>
      </c>
      <c r="U439" s="4">
        <f t="shared" si="100"/>
        <v>56.25</v>
      </c>
      <c r="V439" s="5">
        <f t="shared" si="101"/>
        <v>0</v>
      </c>
      <c r="W439" s="4">
        <f t="shared" si="102"/>
        <v>46.205357142857146</v>
      </c>
      <c r="X439" s="4">
        <f t="shared" si="103"/>
        <v>46.949404761904759</v>
      </c>
      <c r="Y439" s="5">
        <f t="shared" si="104"/>
        <v>1.6103059581320325E-2</v>
      </c>
      <c r="Z439" s="1">
        <f>'01_WHOQOL_Items'!D439</f>
        <v>2</v>
      </c>
      <c r="AA439" s="1">
        <f>'01_WHOQOL_Items'!AD439</f>
        <v>3</v>
      </c>
      <c r="AB439" s="1">
        <f>'01_WHOQOL_Items'!E439</f>
        <v>3</v>
      </c>
      <c r="AC439" s="1">
        <f>'01_WHOQOL_Items'!AE439</f>
        <v>3</v>
      </c>
    </row>
    <row r="440" spans="1:29">
      <c r="A440" s="1" t="str">
        <f>'01_WHOQOL_Items'!A440</f>
        <v>CON-158</v>
      </c>
      <c r="B440" s="1" t="str">
        <f>'01_WHOQOL_Items'!B440</f>
        <v>Control</v>
      </c>
      <c r="C440" s="4">
        <f>4*(((6-'01_WHOQOL_Items'!F440) + (6-'01_WHOQOL_Items'!G440) + '01_WHOQOL_Items'!M440 + '01_WHOQOL_Items'!R440 + '01_WHOQOL_Items'!S440 + '01_WHOQOL_Items'!T440 + '01_WHOQOL_Items'!U440)/7)</f>
        <v>13.142857142857142</v>
      </c>
      <c r="D440" s="4">
        <f>4*(((6-'01_WHOQOL_Items'!AF440) + (6-'01_WHOQOL_Items'!AG440) + '01_WHOQOL_Items'!AM440 + '01_WHOQOL_Items'!AR440 + '01_WHOQOL_Items'!AS440 + '01_WHOQOL_Items'!AT440 + '01_WHOQOL_Items'!AU440)/7)</f>
        <v>13.714285714285714</v>
      </c>
      <c r="E440" s="4">
        <f t="shared" si="90"/>
        <v>57.142857142857139</v>
      </c>
      <c r="F440" s="4">
        <f t="shared" si="91"/>
        <v>60.714285714285708</v>
      </c>
      <c r="G440" s="5">
        <f t="shared" si="92"/>
        <v>6.2499999999999972E-2</v>
      </c>
      <c r="H440" s="4">
        <f>4*(('01_WHOQOL_Items'!H440 + '01_WHOQOL_Items'!I440 + '01_WHOQOL_Items'!J440 + '01_WHOQOL_Items'!N440 + '01_WHOQOL_Items'!V440 + (6-'01_WHOQOL_Items'!AC440))/6)</f>
        <v>12.666666666666666</v>
      </c>
      <c r="I440" s="4">
        <f>4*(('01_WHOQOL_Items'!AH440 + '01_WHOQOL_Items'!AI440 + '01_WHOQOL_Items'!AJ440 + '01_WHOQOL_Items'!AN440 + '01_WHOQOL_Items'!AV440 + (6-'01_WHOQOL_Items'!BC440))/6)</f>
        <v>12</v>
      </c>
      <c r="J440" s="4">
        <f t="shared" si="93"/>
        <v>54.166666666666664</v>
      </c>
      <c r="K440" s="4">
        <f t="shared" si="94"/>
        <v>50</v>
      </c>
      <c r="L440" s="5">
        <f t="shared" si="95"/>
        <v>-7.6923076923076886E-2</v>
      </c>
      <c r="M440" s="4">
        <f>4*(('01_WHOQOL_Items'!W440 + '01_WHOQOL_Items'!X440 + '01_WHOQOL_Items'!Y440)/3)</f>
        <v>13.333333333333334</v>
      </c>
      <c r="N440" s="4">
        <f>4*(('01_WHOQOL_Items'!AW440 + '01_WHOQOL_Items'!AX440 + '01_WHOQOL_Items'!AY440)/3)</f>
        <v>13.333333333333334</v>
      </c>
      <c r="O440" s="4">
        <f t="shared" si="96"/>
        <v>58.333333333333336</v>
      </c>
      <c r="P440" s="4">
        <f t="shared" si="97"/>
        <v>58.333333333333336</v>
      </c>
      <c r="Q440" s="5">
        <f t="shared" si="98"/>
        <v>0</v>
      </c>
      <c r="R440" s="4">
        <f>4*(('01_WHOQOL_Items'!K440 + '01_WHOQOL_Items'!L440 + '01_WHOQOL_Items'!O440 + '01_WHOQOL_Items'!P440 + '01_WHOQOL_Items'!Q440 + '01_WHOQOL_Items'!Z440 + '01_WHOQOL_Items'!AA440 + '01_WHOQOL_Items'!AB440)/8)</f>
        <v>12.5</v>
      </c>
      <c r="S440" s="4">
        <f>4*(('01_WHOQOL_Items'!AK440 + '01_WHOQOL_Items'!AL440 + '01_WHOQOL_Items'!AO440 + '01_WHOQOL_Items'!AP440 + '01_WHOQOL_Items'!AQ440 + '01_WHOQOL_Items'!AZ440 + '01_WHOQOL_Items'!BA440 + '01_WHOQOL_Items'!BB440)/8)</f>
        <v>13</v>
      </c>
      <c r="T440" s="4">
        <f t="shared" si="99"/>
        <v>53.125</v>
      </c>
      <c r="U440" s="4">
        <f t="shared" si="100"/>
        <v>56.25</v>
      </c>
      <c r="V440" s="5">
        <f t="shared" si="101"/>
        <v>5.8823529411764705E-2</v>
      </c>
      <c r="W440" s="4">
        <f t="shared" si="102"/>
        <v>55.691964285714285</v>
      </c>
      <c r="X440" s="4">
        <f t="shared" si="103"/>
        <v>56.324404761904759</v>
      </c>
      <c r="Y440" s="5">
        <f t="shared" si="104"/>
        <v>1.1356045424181666E-2</v>
      </c>
      <c r="Z440" s="1">
        <f>'01_WHOQOL_Items'!D440</f>
        <v>3</v>
      </c>
      <c r="AA440" s="1">
        <f>'01_WHOQOL_Items'!AD440</f>
        <v>3</v>
      </c>
      <c r="AB440" s="1">
        <f>'01_WHOQOL_Items'!E440</f>
        <v>3</v>
      </c>
      <c r="AC440" s="1">
        <f>'01_WHOQOL_Items'!AE440</f>
        <v>3</v>
      </c>
    </row>
    <row r="441" spans="1:29">
      <c r="A441" s="1" t="str">
        <f>'01_WHOQOL_Items'!A441</f>
        <v>CON-159</v>
      </c>
      <c r="B441" s="1" t="str">
        <f>'01_WHOQOL_Items'!B441</f>
        <v>Control</v>
      </c>
      <c r="C441" s="4">
        <f>4*(((6-'01_WHOQOL_Items'!F441) + (6-'01_WHOQOL_Items'!G441) + '01_WHOQOL_Items'!M441 + '01_WHOQOL_Items'!R441 + '01_WHOQOL_Items'!S441 + '01_WHOQOL_Items'!T441 + '01_WHOQOL_Items'!U441)/7)</f>
        <v>14.857142857142858</v>
      </c>
      <c r="D441" s="4">
        <f>4*(((6-'01_WHOQOL_Items'!AF441) + (6-'01_WHOQOL_Items'!AG441) + '01_WHOQOL_Items'!AM441 + '01_WHOQOL_Items'!AR441 + '01_WHOQOL_Items'!AS441 + '01_WHOQOL_Items'!AT441 + '01_WHOQOL_Items'!AU441)/7)</f>
        <v>12.571428571428571</v>
      </c>
      <c r="E441" s="4">
        <f t="shared" si="90"/>
        <v>67.857142857142861</v>
      </c>
      <c r="F441" s="4">
        <f t="shared" si="91"/>
        <v>53.571428571428569</v>
      </c>
      <c r="G441" s="5">
        <f t="shared" si="92"/>
        <v>-0.21052631578947376</v>
      </c>
      <c r="H441" s="4">
        <f>4*(('01_WHOQOL_Items'!H441 + '01_WHOQOL_Items'!I441 + '01_WHOQOL_Items'!J441 + '01_WHOQOL_Items'!N441 + '01_WHOQOL_Items'!V441 + (6-'01_WHOQOL_Items'!AC441))/6)</f>
        <v>10.666666666666666</v>
      </c>
      <c r="I441" s="4">
        <f>4*(('01_WHOQOL_Items'!AH441 + '01_WHOQOL_Items'!AI441 + '01_WHOQOL_Items'!AJ441 + '01_WHOQOL_Items'!AN441 + '01_WHOQOL_Items'!AV441 + (6-'01_WHOQOL_Items'!BC441))/6)</f>
        <v>10.666666666666666</v>
      </c>
      <c r="J441" s="4">
        <f t="shared" si="93"/>
        <v>41.666666666666664</v>
      </c>
      <c r="K441" s="4">
        <f t="shared" si="94"/>
        <v>41.666666666666664</v>
      </c>
      <c r="L441" s="5">
        <f t="shared" si="95"/>
        <v>0</v>
      </c>
      <c r="M441" s="4">
        <f>4*(('01_WHOQOL_Items'!W441 + '01_WHOQOL_Items'!X441 + '01_WHOQOL_Items'!Y441)/3)</f>
        <v>9.3333333333333339</v>
      </c>
      <c r="N441" s="4">
        <f>4*(('01_WHOQOL_Items'!AW441 + '01_WHOQOL_Items'!AX441 + '01_WHOQOL_Items'!AY441)/3)</f>
        <v>9.3333333333333339</v>
      </c>
      <c r="O441" s="4">
        <f t="shared" si="96"/>
        <v>33.333333333333336</v>
      </c>
      <c r="P441" s="4">
        <f t="shared" si="97"/>
        <v>33.333333333333336</v>
      </c>
      <c r="Q441" s="5">
        <f t="shared" si="98"/>
        <v>0</v>
      </c>
      <c r="R441" s="4">
        <f>4*(('01_WHOQOL_Items'!K441 + '01_WHOQOL_Items'!L441 + '01_WHOQOL_Items'!O441 + '01_WHOQOL_Items'!P441 + '01_WHOQOL_Items'!Q441 + '01_WHOQOL_Items'!Z441 + '01_WHOQOL_Items'!AA441 + '01_WHOQOL_Items'!AB441)/8)</f>
        <v>10</v>
      </c>
      <c r="S441" s="4">
        <f>4*(('01_WHOQOL_Items'!AK441 + '01_WHOQOL_Items'!AL441 + '01_WHOQOL_Items'!AO441 + '01_WHOQOL_Items'!AP441 + '01_WHOQOL_Items'!AQ441 + '01_WHOQOL_Items'!AZ441 + '01_WHOQOL_Items'!BA441 + '01_WHOQOL_Items'!BB441)/8)</f>
        <v>11.5</v>
      </c>
      <c r="T441" s="4">
        <f t="shared" si="99"/>
        <v>37.5</v>
      </c>
      <c r="U441" s="4">
        <f t="shared" si="100"/>
        <v>46.875</v>
      </c>
      <c r="V441" s="5">
        <f t="shared" si="101"/>
        <v>0.25</v>
      </c>
      <c r="W441" s="4">
        <f t="shared" si="102"/>
        <v>45.089285714285715</v>
      </c>
      <c r="X441" s="4">
        <f t="shared" si="103"/>
        <v>43.861607142857146</v>
      </c>
      <c r="Y441" s="5">
        <f t="shared" si="104"/>
        <v>-2.7227722772277183E-2</v>
      </c>
      <c r="Z441" s="1">
        <f>'01_WHOQOL_Items'!D441</f>
        <v>3</v>
      </c>
      <c r="AA441" s="1">
        <f>'01_WHOQOL_Items'!AD441</f>
        <v>3</v>
      </c>
      <c r="AB441" s="1">
        <f>'01_WHOQOL_Items'!E441</f>
        <v>3</v>
      </c>
      <c r="AC441" s="1">
        <f>'01_WHOQOL_Items'!AE441</f>
        <v>4</v>
      </c>
    </row>
    <row r="442" spans="1:29">
      <c r="A442" s="1" t="str">
        <f>'01_WHOQOL_Items'!A442</f>
        <v>CON-160</v>
      </c>
      <c r="B442" s="1" t="str">
        <f>'01_WHOQOL_Items'!B442</f>
        <v>Control</v>
      </c>
      <c r="C442" s="4">
        <f>4*(((6-'01_WHOQOL_Items'!F442) + (6-'01_WHOQOL_Items'!G442) + '01_WHOQOL_Items'!M442 + '01_WHOQOL_Items'!R442 + '01_WHOQOL_Items'!S442 + '01_WHOQOL_Items'!T442 + '01_WHOQOL_Items'!U442)/7)</f>
        <v>13.142857142857142</v>
      </c>
      <c r="D442" s="4">
        <f>4*(((6-'01_WHOQOL_Items'!AF442) + (6-'01_WHOQOL_Items'!AG442) + '01_WHOQOL_Items'!AM442 + '01_WHOQOL_Items'!AR442 + '01_WHOQOL_Items'!AS442 + '01_WHOQOL_Items'!AT442 + '01_WHOQOL_Items'!AU442)/7)</f>
        <v>11.428571428571429</v>
      </c>
      <c r="E442" s="4">
        <f t="shared" si="90"/>
        <v>57.142857142857139</v>
      </c>
      <c r="F442" s="4">
        <f t="shared" si="91"/>
        <v>46.428571428571431</v>
      </c>
      <c r="G442" s="5">
        <f t="shared" si="92"/>
        <v>-0.18749999999999992</v>
      </c>
      <c r="H442" s="4">
        <f>4*(('01_WHOQOL_Items'!H442 + '01_WHOQOL_Items'!I442 + '01_WHOQOL_Items'!J442 + '01_WHOQOL_Items'!N442 + '01_WHOQOL_Items'!V442 + (6-'01_WHOQOL_Items'!AC442))/6)</f>
        <v>12</v>
      </c>
      <c r="I442" s="4">
        <f>4*(('01_WHOQOL_Items'!AH442 + '01_WHOQOL_Items'!AI442 + '01_WHOQOL_Items'!AJ442 + '01_WHOQOL_Items'!AN442 + '01_WHOQOL_Items'!AV442 + (6-'01_WHOQOL_Items'!BC442))/6)</f>
        <v>11.333333333333334</v>
      </c>
      <c r="J442" s="4">
        <f t="shared" si="93"/>
        <v>50</v>
      </c>
      <c r="K442" s="4">
        <f t="shared" si="94"/>
        <v>45.833333333333336</v>
      </c>
      <c r="L442" s="5">
        <f t="shared" si="95"/>
        <v>-8.3333333333333287E-2</v>
      </c>
      <c r="M442" s="4">
        <f>4*(('01_WHOQOL_Items'!W442 + '01_WHOQOL_Items'!X442 + '01_WHOQOL_Items'!Y442)/3)</f>
        <v>9.3333333333333339</v>
      </c>
      <c r="N442" s="4">
        <f>4*(('01_WHOQOL_Items'!AW442 + '01_WHOQOL_Items'!AX442 + '01_WHOQOL_Items'!AY442)/3)</f>
        <v>10.666666666666666</v>
      </c>
      <c r="O442" s="4">
        <f t="shared" si="96"/>
        <v>33.333333333333336</v>
      </c>
      <c r="P442" s="4">
        <f t="shared" si="97"/>
        <v>41.666666666666664</v>
      </c>
      <c r="Q442" s="5">
        <f t="shared" si="98"/>
        <v>0.24999999999999983</v>
      </c>
      <c r="R442" s="4">
        <f>4*(('01_WHOQOL_Items'!K442 + '01_WHOQOL_Items'!L442 + '01_WHOQOL_Items'!O442 + '01_WHOQOL_Items'!P442 + '01_WHOQOL_Items'!Q442 + '01_WHOQOL_Items'!Z442 + '01_WHOQOL_Items'!AA442 + '01_WHOQOL_Items'!AB442)/8)</f>
        <v>12.5</v>
      </c>
      <c r="S442" s="4">
        <f>4*(('01_WHOQOL_Items'!AK442 + '01_WHOQOL_Items'!AL442 + '01_WHOQOL_Items'!AO442 + '01_WHOQOL_Items'!AP442 + '01_WHOQOL_Items'!AQ442 + '01_WHOQOL_Items'!AZ442 + '01_WHOQOL_Items'!BA442 + '01_WHOQOL_Items'!BB442)/8)</f>
        <v>14.5</v>
      </c>
      <c r="T442" s="4">
        <f t="shared" si="99"/>
        <v>53.125</v>
      </c>
      <c r="U442" s="4">
        <f t="shared" si="100"/>
        <v>65.625</v>
      </c>
      <c r="V442" s="5">
        <f t="shared" si="101"/>
        <v>0.23529411764705882</v>
      </c>
      <c r="W442" s="4">
        <f t="shared" si="102"/>
        <v>48.40029761904762</v>
      </c>
      <c r="X442" s="4">
        <f t="shared" si="103"/>
        <v>49.888392857142854</v>
      </c>
      <c r="Y442" s="5">
        <f t="shared" si="104"/>
        <v>3.0745580322828502E-2</v>
      </c>
      <c r="Z442" s="1">
        <f>'01_WHOQOL_Items'!D442</f>
        <v>2</v>
      </c>
      <c r="AA442" s="1">
        <f>'01_WHOQOL_Items'!AD442</f>
        <v>3</v>
      </c>
      <c r="AB442" s="1">
        <f>'01_WHOQOL_Items'!E442</f>
        <v>3</v>
      </c>
      <c r="AC442" s="1">
        <f>'01_WHOQOL_Items'!AE442</f>
        <v>2</v>
      </c>
    </row>
    <row r="443" spans="1:29">
      <c r="A443" s="1" t="str">
        <f>'01_WHOQOL_Items'!A443</f>
        <v>CON-161</v>
      </c>
      <c r="B443" s="1" t="str">
        <f>'01_WHOQOL_Items'!B443</f>
        <v>Control</v>
      </c>
      <c r="C443" s="4">
        <f>4*(((6-'01_WHOQOL_Items'!F443) + (6-'01_WHOQOL_Items'!G443) + '01_WHOQOL_Items'!M443 + '01_WHOQOL_Items'!R443 + '01_WHOQOL_Items'!S443 + '01_WHOQOL_Items'!T443 + '01_WHOQOL_Items'!U443)/7)</f>
        <v>10.857142857142858</v>
      </c>
      <c r="D443" s="4">
        <f>4*(((6-'01_WHOQOL_Items'!AF443) + (6-'01_WHOQOL_Items'!AG443) + '01_WHOQOL_Items'!AM443 + '01_WHOQOL_Items'!AR443 + '01_WHOQOL_Items'!AS443 + '01_WHOQOL_Items'!AT443 + '01_WHOQOL_Items'!AU443)/7)</f>
        <v>11.428571428571429</v>
      </c>
      <c r="E443" s="4">
        <f t="shared" si="90"/>
        <v>42.857142857142861</v>
      </c>
      <c r="F443" s="4">
        <f t="shared" si="91"/>
        <v>46.428571428571431</v>
      </c>
      <c r="G443" s="5">
        <f t="shared" si="92"/>
        <v>8.3333333333333273E-2</v>
      </c>
      <c r="H443" s="4">
        <f>4*(('01_WHOQOL_Items'!H443 + '01_WHOQOL_Items'!I443 + '01_WHOQOL_Items'!J443 + '01_WHOQOL_Items'!N443 + '01_WHOQOL_Items'!V443 + (6-'01_WHOQOL_Items'!AC443))/6)</f>
        <v>10</v>
      </c>
      <c r="I443" s="4">
        <f>4*(('01_WHOQOL_Items'!AH443 + '01_WHOQOL_Items'!AI443 + '01_WHOQOL_Items'!AJ443 + '01_WHOQOL_Items'!AN443 + '01_WHOQOL_Items'!AV443 + (6-'01_WHOQOL_Items'!BC443))/6)</f>
        <v>10.666666666666666</v>
      </c>
      <c r="J443" s="4">
        <f t="shared" si="93"/>
        <v>37.5</v>
      </c>
      <c r="K443" s="4">
        <f t="shared" si="94"/>
        <v>41.666666666666664</v>
      </c>
      <c r="L443" s="5">
        <f t="shared" si="95"/>
        <v>0.11111111111111105</v>
      </c>
      <c r="M443" s="4">
        <f>4*(('01_WHOQOL_Items'!W443 + '01_WHOQOL_Items'!X443 + '01_WHOQOL_Items'!Y443)/3)</f>
        <v>13.333333333333334</v>
      </c>
      <c r="N443" s="4">
        <f>4*(('01_WHOQOL_Items'!AW443 + '01_WHOQOL_Items'!AX443 + '01_WHOQOL_Items'!AY443)/3)</f>
        <v>13.333333333333334</v>
      </c>
      <c r="O443" s="4">
        <f t="shared" si="96"/>
        <v>58.333333333333336</v>
      </c>
      <c r="P443" s="4">
        <f t="shared" si="97"/>
        <v>58.333333333333336</v>
      </c>
      <c r="Q443" s="5">
        <f t="shared" si="98"/>
        <v>0</v>
      </c>
      <c r="R443" s="4">
        <f>4*(('01_WHOQOL_Items'!K443 + '01_WHOQOL_Items'!L443 + '01_WHOQOL_Items'!O443 + '01_WHOQOL_Items'!P443 + '01_WHOQOL_Items'!Q443 + '01_WHOQOL_Items'!Z443 + '01_WHOQOL_Items'!AA443 + '01_WHOQOL_Items'!AB443)/8)</f>
        <v>11</v>
      </c>
      <c r="S443" s="4">
        <f>4*(('01_WHOQOL_Items'!AK443 + '01_WHOQOL_Items'!AL443 + '01_WHOQOL_Items'!AO443 + '01_WHOQOL_Items'!AP443 + '01_WHOQOL_Items'!AQ443 + '01_WHOQOL_Items'!AZ443 + '01_WHOQOL_Items'!BA443 + '01_WHOQOL_Items'!BB443)/8)</f>
        <v>13</v>
      </c>
      <c r="T443" s="4">
        <f t="shared" si="99"/>
        <v>43.75</v>
      </c>
      <c r="U443" s="4">
        <f t="shared" si="100"/>
        <v>56.25</v>
      </c>
      <c r="V443" s="5">
        <f t="shared" si="101"/>
        <v>0.2857142857142857</v>
      </c>
      <c r="W443" s="4">
        <f t="shared" si="102"/>
        <v>45.610119047619051</v>
      </c>
      <c r="X443" s="4">
        <f t="shared" si="103"/>
        <v>50.669642857142861</v>
      </c>
      <c r="Y443" s="5">
        <f t="shared" si="104"/>
        <v>0.11092985318107668</v>
      </c>
      <c r="Z443" s="1">
        <f>'01_WHOQOL_Items'!D443</f>
        <v>3</v>
      </c>
      <c r="AA443" s="1">
        <f>'01_WHOQOL_Items'!AD443</f>
        <v>3</v>
      </c>
      <c r="AB443" s="1">
        <f>'01_WHOQOL_Items'!E443</f>
        <v>2</v>
      </c>
      <c r="AC443" s="1">
        <f>'01_WHOQOL_Items'!AE443</f>
        <v>3</v>
      </c>
    </row>
    <row r="444" spans="1:29">
      <c r="A444" s="1" t="str">
        <f>'01_WHOQOL_Items'!A444</f>
        <v>CON-162</v>
      </c>
      <c r="B444" s="1" t="str">
        <f>'01_WHOQOL_Items'!B444</f>
        <v>Control</v>
      </c>
      <c r="C444" s="4">
        <f>4*(((6-'01_WHOQOL_Items'!F444) + (6-'01_WHOQOL_Items'!G444) + '01_WHOQOL_Items'!M444 + '01_WHOQOL_Items'!R444 + '01_WHOQOL_Items'!S444 + '01_WHOQOL_Items'!T444 + '01_WHOQOL_Items'!U444)/7)</f>
        <v>9.1428571428571423</v>
      </c>
      <c r="D444" s="4">
        <f>4*(((6-'01_WHOQOL_Items'!AF444) + (6-'01_WHOQOL_Items'!AG444) + '01_WHOQOL_Items'!AM444 + '01_WHOQOL_Items'!AR444 + '01_WHOQOL_Items'!AS444 + '01_WHOQOL_Items'!AT444 + '01_WHOQOL_Items'!AU444)/7)</f>
        <v>9.1428571428571423</v>
      </c>
      <c r="E444" s="4">
        <f t="shared" si="90"/>
        <v>32.142857142857139</v>
      </c>
      <c r="F444" s="4">
        <f t="shared" si="91"/>
        <v>32.142857142857139</v>
      </c>
      <c r="G444" s="5">
        <f t="shared" si="92"/>
        <v>0</v>
      </c>
      <c r="H444" s="4">
        <f>4*(('01_WHOQOL_Items'!H444 + '01_WHOQOL_Items'!I444 + '01_WHOQOL_Items'!J444 + '01_WHOQOL_Items'!N444 + '01_WHOQOL_Items'!V444 + (6-'01_WHOQOL_Items'!AC444))/6)</f>
        <v>9.3333333333333339</v>
      </c>
      <c r="I444" s="4">
        <f>4*(('01_WHOQOL_Items'!AH444 + '01_WHOQOL_Items'!AI444 + '01_WHOQOL_Items'!AJ444 + '01_WHOQOL_Items'!AN444 + '01_WHOQOL_Items'!AV444 + (6-'01_WHOQOL_Items'!BC444))/6)</f>
        <v>11.333333333333334</v>
      </c>
      <c r="J444" s="4">
        <f t="shared" si="93"/>
        <v>33.333333333333336</v>
      </c>
      <c r="K444" s="4">
        <f t="shared" si="94"/>
        <v>45.833333333333336</v>
      </c>
      <c r="L444" s="5">
        <f t="shared" si="95"/>
        <v>0.375</v>
      </c>
      <c r="M444" s="4">
        <f>4*(('01_WHOQOL_Items'!W444 + '01_WHOQOL_Items'!X444 + '01_WHOQOL_Items'!Y444)/3)</f>
        <v>12</v>
      </c>
      <c r="N444" s="4">
        <f>4*(('01_WHOQOL_Items'!AW444 + '01_WHOQOL_Items'!AX444 + '01_WHOQOL_Items'!AY444)/3)</f>
        <v>13.333333333333334</v>
      </c>
      <c r="O444" s="4">
        <f t="shared" si="96"/>
        <v>50</v>
      </c>
      <c r="P444" s="4">
        <f t="shared" si="97"/>
        <v>58.333333333333336</v>
      </c>
      <c r="Q444" s="5">
        <f t="shared" si="98"/>
        <v>0.16666666666666671</v>
      </c>
      <c r="R444" s="4">
        <f>4*(('01_WHOQOL_Items'!K444 + '01_WHOQOL_Items'!L444 + '01_WHOQOL_Items'!O444 + '01_WHOQOL_Items'!P444 + '01_WHOQOL_Items'!Q444 + '01_WHOQOL_Items'!Z444 + '01_WHOQOL_Items'!AA444 + '01_WHOQOL_Items'!AB444)/8)</f>
        <v>11.5</v>
      </c>
      <c r="S444" s="4">
        <f>4*(('01_WHOQOL_Items'!AK444 + '01_WHOQOL_Items'!AL444 + '01_WHOQOL_Items'!AO444 + '01_WHOQOL_Items'!AP444 + '01_WHOQOL_Items'!AQ444 + '01_WHOQOL_Items'!AZ444 + '01_WHOQOL_Items'!BA444 + '01_WHOQOL_Items'!BB444)/8)</f>
        <v>12.5</v>
      </c>
      <c r="T444" s="4">
        <f t="shared" si="99"/>
        <v>46.875</v>
      </c>
      <c r="U444" s="4">
        <f t="shared" si="100"/>
        <v>53.125</v>
      </c>
      <c r="V444" s="5">
        <f t="shared" si="101"/>
        <v>0.13333333333333333</v>
      </c>
      <c r="W444" s="4">
        <f t="shared" si="102"/>
        <v>40.58779761904762</v>
      </c>
      <c r="X444" s="4">
        <f t="shared" si="103"/>
        <v>47.358630952380956</v>
      </c>
      <c r="Y444" s="5">
        <f t="shared" si="104"/>
        <v>0.16681943171402389</v>
      </c>
      <c r="Z444" s="1">
        <f>'01_WHOQOL_Items'!D444</f>
        <v>3</v>
      </c>
      <c r="AA444" s="1">
        <f>'01_WHOQOL_Items'!AD444</f>
        <v>2</v>
      </c>
      <c r="AB444" s="1">
        <f>'01_WHOQOL_Items'!E444</f>
        <v>3</v>
      </c>
      <c r="AC444" s="1">
        <f>'01_WHOQOL_Items'!AE444</f>
        <v>2</v>
      </c>
    </row>
    <row r="445" spans="1:29">
      <c r="A445" s="1" t="str">
        <f>'01_WHOQOL_Items'!A445</f>
        <v>CON-163</v>
      </c>
      <c r="B445" s="1" t="str">
        <f>'01_WHOQOL_Items'!B445</f>
        <v>Control</v>
      </c>
      <c r="C445" s="4">
        <f>4*(((6-'01_WHOQOL_Items'!F445) + (6-'01_WHOQOL_Items'!G445) + '01_WHOQOL_Items'!M445 + '01_WHOQOL_Items'!R445 + '01_WHOQOL_Items'!S445 + '01_WHOQOL_Items'!T445 + '01_WHOQOL_Items'!U445)/7)</f>
        <v>14.285714285714286</v>
      </c>
      <c r="D445" s="4">
        <f>4*(((6-'01_WHOQOL_Items'!AF445) + (6-'01_WHOQOL_Items'!AG445) + '01_WHOQOL_Items'!AM445 + '01_WHOQOL_Items'!AR445 + '01_WHOQOL_Items'!AS445 + '01_WHOQOL_Items'!AT445 + '01_WHOQOL_Items'!AU445)/7)</f>
        <v>12.571428571428571</v>
      </c>
      <c r="E445" s="4">
        <f t="shared" si="90"/>
        <v>64.285714285714292</v>
      </c>
      <c r="F445" s="4">
        <f t="shared" si="91"/>
        <v>53.571428571428569</v>
      </c>
      <c r="G445" s="5">
        <f t="shared" si="92"/>
        <v>-0.16666666666666677</v>
      </c>
      <c r="H445" s="4">
        <f>4*(('01_WHOQOL_Items'!H445 + '01_WHOQOL_Items'!I445 + '01_WHOQOL_Items'!J445 + '01_WHOQOL_Items'!N445 + '01_WHOQOL_Items'!V445 + (6-'01_WHOQOL_Items'!AC445))/6)</f>
        <v>14</v>
      </c>
      <c r="I445" s="4">
        <f>4*(('01_WHOQOL_Items'!AH445 + '01_WHOQOL_Items'!AI445 + '01_WHOQOL_Items'!AJ445 + '01_WHOQOL_Items'!AN445 + '01_WHOQOL_Items'!AV445 + (6-'01_WHOQOL_Items'!BC445))/6)</f>
        <v>14</v>
      </c>
      <c r="J445" s="4">
        <f t="shared" si="93"/>
        <v>62.5</v>
      </c>
      <c r="K445" s="4">
        <f t="shared" si="94"/>
        <v>62.5</v>
      </c>
      <c r="L445" s="5">
        <f t="shared" si="95"/>
        <v>0</v>
      </c>
      <c r="M445" s="4">
        <f>4*(('01_WHOQOL_Items'!W445 + '01_WHOQOL_Items'!X445 + '01_WHOQOL_Items'!Y445)/3)</f>
        <v>16</v>
      </c>
      <c r="N445" s="4">
        <f>4*(('01_WHOQOL_Items'!AW445 + '01_WHOQOL_Items'!AX445 + '01_WHOQOL_Items'!AY445)/3)</f>
        <v>14.666666666666666</v>
      </c>
      <c r="O445" s="4">
        <f t="shared" si="96"/>
        <v>75</v>
      </c>
      <c r="P445" s="4">
        <f t="shared" si="97"/>
        <v>66.666666666666657</v>
      </c>
      <c r="Q445" s="5">
        <f t="shared" si="98"/>
        <v>-0.11111111111111124</v>
      </c>
      <c r="R445" s="4">
        <f>4*(('01_WHOQOL_Items'!K445 + '01_WHOQOL_Items'!L445 + '01_WHOQOL_Items'!O445 + '01_WHOQOL_Items'!P445 + '01_WHOQOL_Items'!Q445 + '01_WHOQOL_Items'!Z445 + '01_WHOQOL_Items'!AA445 + '01_WHOQOL_Items'!AB445)/8)</f>
        <v>15.5</v>
      </c>
      <c r="S445" s="4">
        <f>4*(('01_WHOQOL_Items'!AK445 + '01_WHOQOL_Items'!AL445 + '01_WHOQOL_Items'!AO445 + '01_WHOQOL_Items'!AP445 + '01_WHOQOL_Items'!AQ445 + '01_WHOQOL_Items'!AZ445 + '01_WHOQOL_Items'!BA445 + '01_WHOQOL_Items'!BB445)/8)</f>
        <v>17</v>
      </c>
      <c r="T445" s="4">
        <f t="shared" si="99"/>
        <v>71.875</v>
      </c>
      <c r="U445" s="4">
        <f t="shared" si="100"/>
        <v>81.25</v>
      </c>
      <c r="V445" s="5">
        <f t="shared" si="101"/>
        <v>0.13043478260869565</v>
      </c>
      <c r="W445" s="4">
        <f t="shared" si="102"/>
        <v>68.415178571428569</v>
      </c>
      <c r="X445" s="4">
        <f t="shared" si="103"/>
        <v>65.99702380952381</v>
      </c>
      <c r="Y445" s="5">
        <f t="shared" si="104"/>
        <v>-3.5345296356715565E-2</v>
      </c>
      <c r="Z445" s="1">
        <f>'01_WHOQOL_Items'!D445</f>
        <v>4</v>
      </c>
      <c r="AA445" s="1">
        <f>'01_WHOQOL_Items'!AD445</f>
        <v>4</v>
      </c>
      <c r="AB445" s="1">
        <f>'01_WHOQOL_Items'!E445</f>
        <v>4</v>
      </c>
      <c r="AC445" s="1">
        <f>'01_WHOQOL_Items'!AE445</f>
        <v>3</v>
      </c>
    </row>
    <row r="446" spans="1:29">
      <c r="A446" s="1" t="str">
        <f>'01_WHOQOL_Items'!A446</f>
        <v>CON-164</v>
      </c>
      <c r="B446" s="1" t="str">
        <f>'01_WHOQOL_Items'!B446</f>
        <v>Control</v>
      </c>
      <c r="C446" s="4">
        <f>4*(((6-'01_WHOQOL_Items'!F446) + (6-'01_WHOQOL_Items'!G446) + '01_WHOQOL_Items'!M446 + '01_WHOQOL_Items'!R446 + '01_WHOQOL_Items'!S446 + '01_WHOQOL_Items'!T446 + '01_WHOQOL_Items'!U446)/7)</f>
        <v>10.857142857142858</v>
      </c>
      <c r="D446" s="4">
        <f>4*(((6-'01_WHOQOL_Items'!AF446) + (6-'01_WHOQOL_Items'!AG446) + '01_WHOQOL_Items'!AM446 + '01_WHOQOL_Items'!AR446 + '01_WHOQOL_Items'!AS446 + '01_WHOQOL_Items'!AT446 + '01_WHOQOL_Items'!AU446)/7)</f>
        <v>12</v>
      </c>
      <c r="E446" s="4">
        <f t="shared" si="90"/>
        <v>42.857142857142861</v>
      </c>
      <c r="F446" s="4">
        <f t="shared" si="91"/>
        <v>50</v>
      </c>
      <c r="G446" s="5">
        <f t="shared" si="92"/>
        <v>0.16666666666666655</v>
      </c>
      <c r="H446" s="4">
        <f>4*(('01_WHOQOL_Items'!H446 + '01_WHOQOL_Items'!I446 + '01_WHOQOL_Items'!J446 + '01_WHOQOL_Items'!N446 + '01_WHOQOL_Items'!V446 + (6-'01_WHOQOL_Items'!AC446))/6)</f>
        <v>12</v>
      </c>
      <c r="I446" s="4">
        <f>4*(('01_WHOQOL_Items'!AH446 + '01_WHOQOL_Items'!AI446 + '01_WHOQOL_Items'!AJ446 + '01_WHOQOL_Items'!AN446 + '01_WHOQOL_Items'!AV446 + (6-'01_WHOQOL_Items'!BC446))/6)</f>
        <v>12.666666666666666</v>
      </c>
      <c r="J446" s="4">
        <f t="shared" si="93"/>
        <v>50</v>
      </c>
      <c r="K446" s="4">
        <f t="shared" si="94"/>
        <v>54.166666666666664</v>
      </c>
      <c r="L446" s="5">
        <f t="shared" si="95"/>
        <v>8.3333333333333287E-2</v>
      </c>
      <c r="M446" s="4">
        <f>4*(('01_WHOQOL_Items'!W446 + '01_WHOQOL_Items'!X446 + '01_WHOQOL_Items'!Y446)/3)</f>
        <v>12</v>
      </c>
      <c r="N446" s="4">
        <f>4*(('01_WHOQOL_Items'!AW446 + '01_WHOQOL_Items'!AX446 + '01_WHOQOL_Items'!AY446)/3)</f>
        <v>14.666666666666666</v>
      </c>
      <c r="O446" s="4">
        <f t="shared" si="96"/>
        <v>50</v>
      </c>
      <c r="P446" s="4">
        <f t="shared" si="97"/>
        <v>66.666666666666657</v>
      </c>
      <c r="Q446" s="5">
        <f t="shared" si="98"/>
        <v>0.33333333333333315</v>
      </c>
      <c r="R446" s="4">
        <f>4*(('01_WHOQOL_Items'!K446 + '01_WHOQOL_Items'!L446 + '01_WHOQOL_Items'!O446 + '01_WHOQOL_Items'!P446 + '01_WHOQOL_Items'!Q446 + '01_WHOQOL_Items'!Z446 + '01_WHOQOL_Items'!AA446 + '01_WHOQOL_Items'!AB446)/8)</f>
        <v>13.5</v>
      </c>
      <c r="S446" s="4">
        <f>4*(('01_WHOQOL_Items'!AK446 + '01_WHOQOL_Items'!AL446 + '01_WHOQOL_Items'!AO446 + '01_WHOQOL_Items'!AP446 + '01_WHOQOL_Items'!AQ446 + '01_WHOQOL_Items'!AZ446 + '01_WHOQOL_Items'!BA446 + '01_WHOQOL_Items'!BB446)/8)</f>
        <v>12.5</v>
      </c>
      <c r="T446" s="4">
        <f t="shared" si="99"/>
        <v>59.375</v>
      </c>
      <c r="U446" s="4">
        <f t="shared" si="100"/>
        <v>53.125</v>
      </c>
      <c r="V446" s="5">
        <f t="shared" si="101"/>
        <v>-0.10526315789473684</v>
      </c>
      <c r="W446" s="4">
        <f t="shared" si="102"/>
        <v>50.558035714285715</v>
      </c>
      <c r="X446" s="4">
        <f t="shared" si="103"/>
        <v>55.989583333333329</v>
      </c>
      <c r="Y446" s="5">
        <f t="shared" si="104"/>
        <v>0.10743193524650467</v>
      </c>
      <c r="Z446" s="1">
        <f>'01_WHOQOL_Items'!D446</f>
        <v>3</v>
      </c>
      <c r="AA446" s="1">
        <f>'01_WHOQOL_Items'!AD446</f>
        <v>3</v>
      </c>
      <c r="AB446" s="1">
        <f>'01_WHOQOL_Items'!E446</f>
        <v>2</v>
      </c>
      <c r="AC446" s="1">
        <f>'01_WHOQOL_Items'!AE446</f>
        <v>3</v>
      </c>
    </row>
    <row r="447" spans="1:29">
      <c r="A447" s="1" t="str">
        <f>'01_WHOQOL_Items'!A447</f>
        <v>CON-165</v>
      </c>
      <c r="B447" s="1" t="str">
        <f>'01_WHOQOL_Items'!B447</f>
        <v>Control</v>
      </c>
      <c r="C447" s="4">
        <f>4*(((6-'01_WHOQOL_Items'!F447) + (6-'01_WHOQOL_Items'!G447) + '01_WHOQOL_Items'!M447 + '01_WHOQOL_Items'!R447 + '01_WHOQOL_Items'!S447 + '01_WHOQOL_Items'!T447 + '01_WHOQOL_Items'!U447)/7)</f>
        <v>14.285714285714286</v>
      </c>
      <c r="D447" s="4">
        <f>4*(((6-'01_WHOQOL_Items'!AF447) + (6-'01_WHOQOL_Items'!AG447) + '01_WHOQOL_Items'!AM447 + '01_WHOQOL_Items'!AR447 + '01_WHOQOL_Items'!AS447 + '01_WHOQOL_Items'!AT447 + '01_WHOQOL_Items'!AU447)/7)</f>
        <v>14.857142857142858</v>
      </c>
      <c r="E447" s="4">
        <f t="shared" si="90"/>
        <v>64.285714285714292</v>
      </c>
      <c r="F447" s="4">
        <f t="shared" si="91"/>
        <v>67.857142857142861</v>
      </c>
      <c r="G447" s="5">
        <f t="shared" si="92"/>
        <v>5.5555555555555518E-2</v>
      </c>
      <c r="H447" s="4">
        <f>4*(('01_WHOQOL_Items'!H447 + '01_WHOQOL_Items'!I447 + '01_WHOQOL_Items'!J447 + '01_WHOQOL_Items'!N447 + '01_WHOQOL_Items'!V447 + (6-'01_WHOQOL_Items'!AC447))/6)</f>
        <v>11.333333333333334</v>
      </c>
      <c r="I447" s="4">
        <f>4*(('01_WHOQOL_Items'!AH447 + '01_WHOQOL_Items'!AI447 + '01_WHOQOL_Items'!AJ447 + '01_WHOQOL_Items'!AN447 + '01_WHOQOL_Items'!AV447 + (6-'01_WHOQOL_Items'!BC447))/6)</f>
        <v>14</v>
      </c>
      <c r="J447" s="4">
        <f t="shared" si="93"/>
        <v>45.833333333333336</v>
      </c>
      <c r="K447" s="4">
        <f t="shared" si="94"/>
        <v>62.5</v>
      </c>
      <c r="L447" s="5">
        <f t="shared" si="95"/>
        <v>0.36363636363636359</v>
      </c>
      <c r="M447" s="4">
        <f>4*(('01_WHOQOL_Items'!W447 + '01_WHOQOL_Items'!X447 + '01_WHOQOL_Items'!Y447)/3)</f>
        <v>12</v>
      </c>
      <c r="N447" s="4">
        <f>4*(('01_WHOQOL_Items'!AW447 + '01_WHOQOL_Items'!AX447 + '01_WHOQOL_Items'!AY447)/3)</f>
        <v>16</v>
      </c>
      <c r="O447" s="4">
        <f t="shared" si="96"/>
        <v>50</v>
      </c>
      <c r="P447" s="4">
        <f t="shared" si="97"/>
        <v>75</v>
      </c>
      <c r="Q447" s="5">
        <f t="shared" si="98"/>
        <v>0.5</v>
      </c>
      <c r="R447" s="4">
        <f>4*(('01_WHOQOL_Items'!K447 + '01_WHOQOL_Items'!L447 + '01_WHOQOL_Items'!O447 + '01_WHOQOL_Items'!P447 + '01_WHOQOL_Items'!Q447 + '01_WHOQOL_Items'!Z447 + '01_WHOQOL_Items'!AA447 + '01_WHOQOL_Items'!AB447)/8)</f>
        <v>15</v>
      </c>
      <c r="S447" s="4">
        <f>4*(('01_WHOQOL_Items'!AK447 + '01_WHOQOL_Items'!AL447 + '01_WHOQOL_Items'!AO447 + '01_WHOQOL_Items'!AP447 + '01_WHOQOL_Items'!AQ447 + '01_WHOQOL_Items'!AZ447 + '01_WHOQOL_Items'!BA447 + '01_WHOQOL_Items'!BB447)/8)</f>
        <v>15</v>
      </c>
      <c r="T447" s="4">
        <f t="shared" si="99"/>
        <v>68.75</v>
      </c>
      <c r="U447" s="4">
        <f t="shared" si="100"/>
        <v>68.75</v>
      </c>
      <c r="V447" s="5">
        <f t="shared" si="101"/>
        <v>0</v>
      </c>
      <c r="W447" s="4">
        <f t="shared" si="102"/>
        <v>57.217261904761905</v>
      </c>
      <c r="X447" s="4">
        <f t="shared" si="103"/>
        <v>68.526785714285722</v>
      </c>
      <c r="Y447" s="5">
        <f t="shared" si="104"/>
        <v>0.19765929778933694</v>
      </c>
      <c r="Z447" s="1">
        <f>'01_WHOQOL_Items'!D447</f>
        <v>3</v>
      </c>
      <c r="AA447" s="1">
        <f>'01_WHOQOL_Items'!AD447</f>
        <v>4</v>
      </c>
      <c r="AB447" s="1">
        <f>'01_WHOQOL_Items'!E447</f>
        <v>3</v>
      </c>
      <c r="AC447" s="1">
        <f>'01_WHOQOL_Items'!AE447</f>
        <v>3</v>
      </c>
    </row>
    <row r="448" spans="1:29">
      <c r="A448" s="1" t="str">
        <f>'01_WHOQOL_Items'!A448</f>
        <v>CON-166</v>
      </c>
      <c r="B448" s="1" t="str">
        <f>'01_WHOQOL_Items'!B448</f>
        <v>Control</v>
      </c>
      <c r="C448" s="4">
        <f>4*(((6-'01_WHOQOL_Items'!F448) + (6-'01_WHOQOL_Items'!G448) + '01_WHOQOL_Items'!M448 + '01_WHOQOL_Items'!R448 + '01_WHOQOL_Items'!S448 + '01_WHOQOL_Items'!T448 + '01_WHOQOL_Items'!U448)/7)</f>
        <v>12</v>
      </c>
      <c r="D448" s="4">
        <f>4*(((6-'01_WHOQOL_Items'!AF448) + (6-'01_WHOQOL_Items'!AG448) + '01_WHOQOL_Items'!AM448 + '01_WHOQOL_Items'!AR448 + '01_WHOQOL_Items'!AS448 + '01_WHOQOL_Items'!AT448 + '01_WHOQOL_Items'!AU448)/7)</f>
        <v>11.428571428571429</v>
      </c>
      <c r="E448" s="4">
        <f t="shared" si="90"/>
        <v>50</v>
      </c>
      <c r="F448" s="4">
        <f t="shared" si="91"/>
        <v>46.428571428571431</v>
      </c>
      <c r="G448" s="5">
        <f t="shared" si="92"/>
        <v>-7.1428571428571383E-2</v>
      </c>
      <c r="H448" s="4">
        <f>4*(('01_WHOQOL_Items'!H448 + '01_WHOQOL_Items'!I448 + '01_WHOQOL_Items'!J448 + '01_WHOQOL_Items'!N448 + '01_WHOQOL_Items'!V448 + (6-'01_WHOQOL_Items'!AC448))/6)</f>
        <v>14.666666666666666</v>
      </c>
      <c r="I448" s="4">
        <f>4*(('01_WHOQOL_Items'!AH448 + '01_WHOQOL_Items'!AI448 + '01_WHOQOL_Items'!AJ448 + '01_WHOQOL_Items'!AN448 + '01_WHOQOL_Items'!AV448 + (6-'01_WHOQOL_Items'!BC448))/6)</f>
        <v>14.666666666666666</v>
      </c>
      <c r="J448" s="4">
        <f t="shared" si="93"/>
        <v>66.666666666666657</v>
      </c>
      <c r="K448" s="4">
        <f t="shared" si="94"/>
        <v>66.666666666666657</v>
      </c>
      <c r="L448" s="5">
        <f t="shared" si="95"/>
        <v>0</v>
      </c>
      <c r="M448" s="4">
        <f>4*(('01_WHOQOL_Items'!W448 + '01_WHOQOL_Items'!X448 + '01_WHOQOL_Items'!Y448)/3)</f>
        <v>10.666666666666666</v>
      </c>
      <c r="N448" s="4">
        <f>4*(('01_WHOQOL_Items'!AW448 + '01_WHOQOL_Items'!AX448 + '01_WHOQOL_Items'!AY448)/3)</f>
        <v>10.666666666666666</v>
      </c>
      <c r="O448" s="4">
        <f t="shared" si="96"/>
        <v>41.666666666666664</v>
      </c>
      <c r="P448" s="4">
        <f t="shared" si="97"/>
        <v>41.666666666666664</v>
      </c>
      <c r="Q448" s="5">
        <f t="shared" si="98"/>
        <v>0</v>
      </c>
      <c r="R448" s="4">
        <f>4*(('01_WHOQOL_Items'!K448 + '01_WHOQOL_Items'!L448 + '01_WHOQOL_Items'!O448 + '01_WHOQOL_Items'!P448 + '01_WHOQOL_Items'!Q448 + '01_WHOQOL_Items'!Z448 + '01_WHOQOL_Items'!AA448 + '01_WHOQOL_Items'!AB448)/8)</f>
        <v>14.5</v>
      </c>
      <c r="S448" s="4">
        <f>4*(('01_WHOQOL_Items'!AK448 + '01_WHOQOL_Items'!AL448 + '01_WHOQOL_Items'!AO448 + '01_WHOQOL_Items'!AP448 + '01_WHOQOL_Items'!AQ448 + '01_WHOQOL_Items'!AZ448 + '01_WHOQOL_Items'!BA448 + '01_WHOQOL_Items'!BB448)/8)</f>
        <v>15.5</v>
      </c>
      <c r="T448" s="4">
        <f t="shared" si="99"/>
        <v>65.625</v>
      </c>
      <c r="U448" s="4">
        <f t="shared" si="100"/>
        <v>71.875</v>
      </c>
      <c r="V448" s="5">
        <f t="shared" si="101"/>
        <v>9.5238095238095233E-2</v>
      </c>
      <c r="W448" s="4">
        <f t="shared" si="102"/>
        <v>55.989583333333329</v>
      </c>
      <c r="X448" s="4">
        <f t="shared" si="103"/>
        <v>56.65922619047619</v>
      </c>
      <c r="Y448" s="5">
        <f t="shared" si="104"/>
        <v>1.1960132890365523E-2</v>
      </c>
      <c r="Z448" s="1">
        <f>'01_WHOQOL_Items'!D448</f>
        <v>4</v>
      </c>
      <c r="AA448" s="1">
        <f>'01_WHOQOL_Items'!AD448</f>
        <v>4</v>
      </c>
      <c r="AB448" s="1">
        <f>'01_WHOQOL_Items'!E448</f>
        <v>3</v>
      </c>
      <c r="AC448" s="1">
        <f>'01_WHOQOL_Items'!AE448</f>
        <v>4</v>
      </c>
    </row>
    <row r="449" spans="1:29">
      <c r="A449" s="1" t="str">
        <f>'01_WHOQOL_Items'!A449</f>
        <v>CON-167</v>
      </c>
      <c r="B449" s="1" t="str">
        <f>'01_WHOQOL_Items'!B449</f>
        <v>Control</v>
      </c>
      <c r="C449" s="4">
        <f>4*(((6-'01_WHOQOL_Items'!F449) + (6-'01_WHOQOL_Items'!G449) + '01_WHOQOL_Items'!M449 + '01_WHOQOL_Items'!R449 + '01_WHOQOL_Items'!S449 + '01_WHOQOL_Items'!T449 + '01_WHOQOL_Items'!U449)/7)</f>
        <v>13.714285714285714</v>
      </c>
      <c r="D449" s="4">
        <f>4*(((6-'01_WHOQOL_Items'!AF449) + (6-'01_WHOQOL_Items'!AG449) + '01_WHOQOL_Items'!AM449 + '01_WHOQOL_Items'!AR449 + '01_WHOQOL_Items'!AS449 + '01_WHOQOL_Items'!AT449 + '01_WHOQOL_Items'!AU449)/7)</f>
        <v>13.714285714285714</v>
      </c>
      <c r="E449" s="4">
        <f t="shared" si="90"/>
        <v>60.714285714285708</v>
      </c>
      <c r="F449" s="4">
        <f t="shared" si="91"/>
        <v>60.714285714285708</v>
      </c>
      <c r="G449" s="5">
        <f t="shared" si="92"/>
        <v>0</v>
      </c>
      <c r="H449" s="4">
        <f>4*(('01_WHOQOL_Items'!H449 + '01_WHOQOL_Items'!I449 + '01_WHOQOL_Items'!J449 + '01_WHOQOL_Items'!N449 + '01_WHOQOL_Items'!V449 + (6-'01_WHOQOL_Items'!AC449))/6)</f>
        <v>12</v>
      </c>
      <c r="I449" s="4">
        <f>4*(('01_WHOQOL_Items'!AH449 + '01_WHOQOL_Items'!AI449 + '01_WHOQOL_Items'!AJ449 + '01_WHOQOL_Items'!AN449 + '01_WHOQOL_Items'!AV449 + (6-'01_WHOQOL_Items'!BC449))/6)</f>
        <v>11.333333333333334</v>
      </c>
      <c r="J449" s="4">
        <f t="shared" si="93"/>
        <v>50</v>
      </c>
      <c r="K449" s="4">
        <f t="shared" si="94"/>
        <v>45.833333333333336</v>
      </c>
      <c r="L449" s="5">
        <f t="shared" si="95"/>
        <v>-8.3333333333333287E-2</v>
      </c>
      <c r="M449" s="4">
        <f>4*(('01_WHOQOL_Items'!W449 + '01_WHOQOL_Items'!X449 + '01_WHOQOL_Items'!Y449)/3)</f>
        <v>9.3333333333333339</v>
      </c>
      <c r="N449" s="4">
        <f>4*(('01_WHOQOL_Items'!AW449 + '01_WHOQOL_Items'!AX449 + '01_WHOQOL_Items'!AY449)/3)</f>
        <v>5.333333333333333</v>
      </c>
      <c r="O449" s="4">
        <f t="shared" si="96"/>
        <v>33.333333333333336</v>
      </c>
      <c r="P449" s="4">
        <f t="shared" si="97"/>
        <v>8.3333333333333321</v>
      </c>
      <c r="Q449" s="5">
        <f t="shared" si="98"/>
        <v>-0.75</v>
      </c>
      <c r="R449" s="4">
        <f>4*(('01_WHOQOL_Items'!K449 + '01_WHOQOL_Items'!L449 + '01_WHOQOL_Items'!O449 + '01_WHOQOL_Items'!P449 + '01_WHOQOL_Items'!Q449 + '01_WHOQOL_Items'!Z449 + '01_WHOQOL_Items'!AA449 + '01_WHOQOL_Items'!AB449)/8)</f>
        <v>12.5</v>
      </c>
      <c r="S449" s="4">
        <f>4*(('01_WHOQOL_Items'!AK449 + '01_WHOQOL_Items'!AL449 + '01_WHOQOL_Items'!AO449 + '01_WHOQOL_Items'!AP449 + '01_WHOQOL_Items'!AQ449 + '01_WHOQOL_Items'!AZ449 + '01_WHOQOL_Items'!BA449 + '01_WHOQOL_Items'!BB449)/8)</f>
        <v>13.5</v>
      </c>
      <c r="T449" s="4">
        <f t="shared" si="99"/>
        <v>53.125</v>
      </c>
      <c r="U449" s="4">
        <f t="shared" si="100"/>
        <v>59.375</v>
      </c>
      <c r="V449" s="5">
        <f t="shared" si="101"/>
        <v>0.11764705882352941</v>
      </c>
      <c r="W449" s="4">
        <f t="shared" si="102"/>
        <v>49.293154761904759</v>
      </c>
      <c r="X449" s="4">
        <f t="shared" si="103"/>
        <v>43.563988095238088</v>
      </c>
      <c r="Y449" s="5">
        <f t="shared" si="104"/>
        <v>-0.11622641509433973</v>
      </c>
      <c r="Z449" s="1">
        <f>'01_WHOQOL_Items'!D449</f>
        <v>3</v>
      </c>
      <c r="AA449" s="1">
        <f>'01_WHOQOL_Items'!AD449</f>
        <v>3</v>
      </c>
      <c r="AB449" s="1">
        <f>'01_WHOQOL_Items'!E449</f>
        <v>4</v>
      </c>
      <c r="AC449" s="1">
        <f>'01_WHOQOL_Items'!AE449</f>
        <v>3</v>
      </c>
    </row>
    <row r="450" spans="1:29">
      <c r="A450" s="1" t="str">
        <f>'01_WHOQOL_Items'!A450</f>
        <v>CON-168</v>
      </c>
      <c r="B450" s="1" t="str">
        <f>'01_WHOQOL_Items'!B450</f>
        <v>Control</v>
      </c>
      <c r="C450" s="4">
        <f>4*(((6-'01_WHOQOL_Items'!F450) + (6-'01_WHOQOL_Items'!G450) + '01_WHOQOL_Items'!M450 + '01_WHOQOL_Items'!R450 + '01_WHOQOL_Items'!S450 + '01_WHOQOL_Items'!T450 + '01_WHOQOL_Items'!U450)/7)</f>
        <v>12.571428571428571</v>
      </c>
      <c r="D450" s="4">
        <f>4*(((6-'01_WHOQOL_Items'!AF450) + (6-'01_WHOQOL_Items'!AG450) + '01_WHOQOL_Items'!AM450 + '01_WHOQOL_Items'!AR450 + '01_WHOQOL_Items'!AS450 + '01_WHOQOL_Items'!AT450 + '01_WHOQOL_Items'!AU450)/7)</f>
        <v>12.571428571428571</v>
      </c>
      <c r="E450" s="4">
        <f t="shared" ref="E450:E513" si="105">(C450-4)*100/16</f>
        <v>53.571428571428569</v>
      </c>
      <c r="F450" s="4">
        <f t="shared" ref="F450:F513" si="106">(D450-4)*100/16</f>
        <v>53.571428571428569</v>
      </c>
      <c r="G450" s="5">
        <f t="shared" ref="G450:G513" si="107">IFERROR((F450-E450)/E450,"")</f>
        <v>0</v>
      </c>
      <c r="H450" s="4">
        <f>4*(('01_WHOQOL_Items'!H450 + '01_WHOQOL_Items'!I450 + '01_WHOQOL_Items'!J450 + '01_WHOQOL_Items'!N450 + '01_WHOQOL_Items'!V450 + (6-'01_WHOQOL_Items'!AC450))/6)</f>
        <v>16</v>
      </c>
      <c r="I450" s="4">
        <f>4*(('01_WHOQOL_Items'!AH450 + '01_WHOQOL_Items'!AI450 + '01_WHOQOL_Items'!AJ450 + '01_WHOQOL_Items'!AN450 + '01_WHOQOL_Items'!AV450 + (6-'01_WHOQOL_Items'!BC450))/6)</f>
        <v>14.666666666666666</v>
      </c>
      <c r="J450" s="4">
        <f t="shared" ref="J450:J513" si="108">(H450-4)*100/16</f>
        <v>75</v>
      </c>
      <c r="K450" s="4">
        <f t="shared" ref="K450:K513" si="109">(I450-4)*100/16</f>
        <v>66.666666666666657</v>
      </c>
      <c r="L450" s="5">
        <f t="shared" ref="L450:L513" si="110">IFERROR((K450-J450)/J450,"")</f>
        <v>-0.11111111111111124</v>
      </c>
      <c r="M450" s="4">
        <f>4*(('01_WHOQOL_Items'!W450 + '01_WHOQOL_Items'!X450 + '01_WHOQOL_Items'!Y450)/3)</f>
        <v>13.333333333333334</v>
      </c>
      <c r="N450" s="4">
        <f>4*(('01_WHOQOL_Items'!AW450 + '01_WHOQOL_Items'!AX450 + '01_WHOQOL_Items'!AY450)/3)</f>
        <v>13.333333333333334</v>
      </c>
      <c r="O450" s="4">
        <f t="shared" ref="O450:O513" si="111">(M450-4)*100/16</f>
        <v>58.333333333333336</v>
      </c>
      <c r="P450" s="4">
        <f t="shared" ref="P450:P513" si="112">(N450-4)*100/16</f>
        <v>58.333333333333336</v>
      </c>
      <c r="Q450" s="5">
        <f t="shared" ref="Q450:Q513" si="113">IFERROR((P450-O450)/O450,"")</f>
        <v>0</v>
      </c>
      <c r="R450" s="4">
        <f>4*(('01_WHOQOL_Items'!K450 + '01_WHOQOL_Items'!L450 + '01_WHOQOL_Items'!O450 + '01_WHOQOL_Items'!P450 + '01_WHOQOL_Items'!Q450 + '01_WHOQOL_Items'!Z450 + '01_WHOQOL_Items'!AA450 + '01_WHOQOL_Items'!AB450)/8)</f>
        <v>12</v>
      </c>
      <c r="S450" s="4">
        <f>4*(('01_WHOQOL_Items'!AK450 + '01_WHOQOL_Items'!AL450 + '01_WHOQOL_Items'!AO450 + '01_WHOQOL_Items'!AP450 + '01_WHOQOL_Items'!AQ450 + '01_WHOQOL_Items'!AZ450 + '01_WHOQOL_Items'!BA450 + '01_WHOQOL_Items'!BB450)/8)</f>
        <v>13.5</v>
      </c>
      <c r="T450" s="4">
        <f t="shared" ref="T450:T513" si="114">(R450-4)*100/16</f>
        <v>50</v>
      </c>
      <c r="U450" s="4">
        <f t="shared" ref="U450:U513" si="115">(S450-4)*100/16</f>
        <v>59.375</v>
      </c>
      <c r="V450" s="5">
        <f t="shared" ref="V450:V513" si="116">IFERROR((U450-T450)/T450,"")</f>
        <v>0.1875</v>
      </c>
      <c r="W450" s="4">
        <f t="shared" ref="W450:W513" si="117">AVERAGE(E450,J450,O450,T450)</f>
        <v>59.226190476190474</v>
      </c>
      <c r="X450" s="4">
        <f t="shared" ref="X450:X513" si="118">AVERAGE(F450,K450,P450,U450)</f>
        <v>59.486607142857139</v>
      </c>
      <c r="Y450" s="5">
        <f t="shared" ref="Y450:Y513" si="119">IFERROR((X450-W450)/W450,"")</f>
        <v>4.3969849246230756E-3</v>
      </c>
      <c r="Z450" s="1">
        <f>'01_WHOQOL_Items'!D450</f>
        <v>4</v>
      </c>
      <c r="AA450" s="1">
        <f>'01_WHOQOL_Items'!AD450</f>
        <v>2</v>
      </c>
      <c r="AB450" s="1">
        <f>'01_WHOQOL_Items'!E450</f>
        <v>4</v>
      </c>
      <c r="AC450" s="1">
        <f>'01_WHOQOL_Items'!AE450</f>
        <v>2</v>
      </c>
    </row>
    <row r="451" spans="1:29">
      <c r="A451" s="1" t="str">
        <f>'01_WHOQOL_Items'!A451</f>
        <v>CON-169</v>
      </c>
      <c r="B451" s="1" t="str">
        <f>'01_WHOQOL_Items'!B451</f>
        <v>Control</v>
      </c>
      <c r="C451" s="4">
        <f>4*(((6-'01_WHOQOL_Items'!F451) + (6-'01_WHOQOL_Items'!G451) + '01_WHOQOL_Items'!M451 + '01_WHOQOL_Items'!R451 + '01_WHOQOL_Items'!S451 + '01_WHOQOL_Items'!T451 + '01_WHOQOL_Items'!U451)/7)</f>
        <v>17.142857142857142</v>
      </c>
      <c r="D451" s="4">
        <f>4*(((6-'01_WHOQOL_Items'!AF451) + (6-'01_WHOQOL_Items'!AG451) + '01_WHOQOL_Items'!AM451 + '01_WHOQOL_Items'!AR451 + '01_WHOQOL_Items'!AS451 + '01_WHOQOL_Items'!AT451 + '01_WHOQOL_Items'!AU451)/7)</f>
        <v>16.571428571428573</v>
      </c>
      <c r="E451" s="4">
        <f t="shared" si="105"/>
        <v>82.142857142857139</v>
      </c>
      <c r="F451" s="4">
        <f t="shared" si="106"/>
        <v>78.571428571428584</v>
      </c>
      <c r="G451" s="5">
        <f t="shared" si="107"/>
        <v>-4.3478260869565022E-2</v>
      </c>
      <c r="H451" s="4">
        <f>4*(('01_WHOQOL_Items'!H451 + '01_WHOQOL_Items'!I451 + '01_WHOQOL_Items'!J451 + '01_WHOQOL_Items'!N451 + '01_WHOQOL_Items'!V451 + (6-'01_WHOQOL_Items'!AC451))/6)</f>
        <v>13.333333333333334</v>
      </c>
      <c r="I451" s="4">
        <f>4*(('01_WHOQOL_Items'!AH451 + '01_WHOQOL_Items'!AI451 + '01_WHOQOL_Items'!AJ451 + '01_WHOQOL_Items'!AN451 + '01_WHOQOL_Items'!AV451 + (6-'01_WHOQOL_Items'!BC451))/6)</f>
        <v>12.666666666666666</v>
      </c>
      <c r="J451" s="4">
        <f t="shared" si="108"/>
        <v>58.333333333333336</v>
      </c>
      <c r="K451" s="4">
        <f t="shared" si="109"/>
        <v>54.166666666666664</v>
      </c>
      <c r="L451" s="5">
        <f t="shared" si="110"/>
        <v>-7.1428571428571508E-2</v>
      </c>
      <c r="M451" s="4">
        <f>4*(('01_WHOQOL_Items'!W451 + '01_WHOQOL_Items'!X451 + '01_WHOQOL_Items'!Y451)/3)</f>
        <v>10.666666666666666</v>
      </c>
      <c r="N451" s="4">
        <f>4*(('01_WHOQOL_Items'!AW451 + '01_WHOQOL_Items'!AX451 + '01_WHOQOL_Items'!AY451)/3)</f>
        <v>10.666666666666666</v>
      </c>
      <c r="O451" s="4">
        <f t="shared" si="111"/>
        <v>41.666666666666664</v>
      </c>
      <c r="P451" s="4">
        <f t="shared" si="112"/>
        <v>41.666666666666664</v>
      </c>
      <c r="Q451" s="5">
        <f t="shared" si="113"/>
        <v>0</v>
      </c>
      <c r="R451" s="4">
        <f>4*(('01_WHOQOL_Items'!K451 + '01_WHOQOL_Items'!L451 + '01_WHOQOL_Items'!O451 + '01_WHOQOL_Items'!P451 + '01_WHOQOL_Items'!Q451 + '01_WHOQOL_Items'!Z451 + '01_WHOQOL_Items'!AA451 + '01_WHOQOL_Items'!AB451)/8)</f>
        <v>15</v>
      </c>
      <c r="S451" s="4">
        <f>4*(('01_WHOQOL_Items'!AK451 + '01_WHOQOL_Items'!AL451 + '01_WHOQOL_Items'!AO451 + '01_WHOQOL_Items'!AP451 + '01_WHOQOL_Items'!AQ451 + '01_WHOQOL_Items'!AZ451 + '01_WHOQOL_Items'!BA451 + '01_WHOQOL_Items'!BB451)/8)</f>
        <v>15</v>
      </c>
      <c r="T451" s="4">
        <f t="shared" si="114"/>
        <v>68.75</v>
      </c>
      <c r="U451" s="4">
        <f t="shared" si="115"/>
        <v>68.75</v>
      </c>
      <c r="V451" s="5">
        <f t="shared" si="116"/>
        <v>0</v>
      </c>
      <c r="W451" s="4">
        <f t="shared" si="117"/>
        <v>62.723214285714285</v>
      </c>
      <c r="X451" s="4">
        <f t="shared" si="118"/>
        <v>60.788690476190474</v>
      </c>
      <c r="Y451" s="5">
        <f t="shared" si="119"/>
        <v>-3.084223013048637E-2</v>
      </c>
      <c r="Z451" s="1">
        <f>'01_WHOQOL_Items'!D451</f>
        <v>3</v>
      </c>
      <c r="AA451" s="1">
        <f>'01_WHOQOL_Items'!AD451</f>
        <v>4</v>
      </c>
      <c r="AB451" s="1">
        <f>'01_WHOQOL_Items'!E451</f>
        <v>4</v>
      </c>
      <c r="AC451" s="1">
        <f>'01_WHOQOL_Items'!AE451</f>
        <v>4</v>
      </c>
    </row>
    <row r="452" spans="1:29">
      <c r="A452" s="1" t="str">
        <f>'01_WHOQOL_Items'!A452</f>
        <v>CON-170</v>
      </c>
      <c r="B452" s="1" t="str">
        <f>'01_WHOQOL_Items'!B452</f>
        <v>Control</v>
      </c>
      <c r="C452" s="4">
        <f>4*(((6-'01_WHOQOL_Items'!F452) + (6-'01_WHOQOL_Items'!G452) + '01_WHOQOL_Items'!M452 + '01_WHOQOL_Items'!R452 + '01_WHOQOL_Items'!S452 + '01_WHOQOL_Items'!T452 + '01_WHOQOL_Items'!U452)/7)</f>
        <v>11.428571428571429</v>
      </c>
      <c r="D452" s="4">
        <f>4*(((6-'01_WHOQOL_Items'!AF452) + (6-'01_WHOQOL_Items'!AG452) + '01_WHOQOL_Items'!AM452 + '01_WHOQOL_Items'!AR452 + '01_WHOQOL_Items'!AS452 + '01_WHOQOL_Items'!AT452 + '01_WHOQOL_Items'!AU452)/7)</f>
        <v>12.571428571428571</v>
      </c>
      <c r="E452" s="4">
        <f t="shared" si="105"/>
        <v>46.428571428571431</v>
      </c>
      <c r="F452" s="4">
        <f t="shared" si="106"/>
        <v>53.571428571428569</v>
      </c>
      <c r="G452" s="5">
        <f t="shared" si="107"/>
        <v>0.15384615384615374</v>
      </c>
      <c r="H452" s="4">
        <f>4*(('01_WHOQOL_Items'!H452 + '01_WHOQOL_Items'!I452 + '01_WHOQOL_Items'!J452 + '01_WHOQOL_Items'!N452 + '01_WHOQOL_Items'!V452 + (6-'01_WHOQOL_Items'!AC452))/6)</f>
        <v>14.666666666666666</v>
      </c>
      <c r="I452" s="4">
        <f>4*(('01_WHOQOL_Items'!AH452 + '01_WHOQOL_Items'!AI452 + '01_WHOQOL_Items'!AJ452 + '01_WHOQOL_Items'!AN452 + '01_WHOQOL_Items'!AV452 + (6-'01_WHOQOL_Items'!BC452))/6)</f>
        <v>15.333333333333334</v>
      </c>
      <c r="J452" s="4">
        <f t="shared" si="108"/>
        <v>66.666666666666657</v>
      </c>
      <c r="K452" s="4">
        <f t="shared" si="109"/>
        <v>70.833333333333343</v>
      </c>
      <c r="L452" s="5">
        <f t="shared" si="110"/>
        <v>6.2500000000000291E-2</v>
      </c>
      <c r="M452" s="4">
        <f>4*(('01_WHOQOL_Items'!W452 + '01_WHOQOL_Items'!X452 + '01_WHOQOL_Items'!Y452)/3)</f>
        <v>9.3333333333333339</v>
      </c>
      <c r="N452" s="4">
        <f>4*(('01_WHOQOL_Items'!AW452 + '01_WHOQOL_Items'!AX452 + '01_WHOQOL_Items'!AY452)/3)</f>
        <v>10.666666666666666</v>
      </c>
      <c r="O452" s="4">
        <f t="shared" si="111"/>
        <v>33.333333333333336</v>
      </c>
      <c r="P452" s="4">
        <f t="shared" si="112"/>
        <v>41.666666666666664</v>
      </c>
      <c r="Q452" s="5">
        <f t="shared" si="113"/>
        <v>0.24999999999999983</v>
      </c>
      <c r="R452" s="4">
        <f>4*(('01_WHOQOL_Items'!K452 + '01_WHOQOL_Items'!L452 + '01_WHOQOL_Items'!O452 + '01_WHOQOL_Items'!P452 + '01_WHOQOL_Items'!Q452 + '01_WHOQOL_Items'!Z452 + '01_WHOQOL_Items'!AA452 + '01_WHOQOL_Items'!AB452)/8)</f>
        <v>13</v>
      </c>
      <c r="S452" s="4">
        <f>4*(('01_WHOQOL_Items'!AK452 + '01_WHOQOL_Items'!AL452 + '01_WHOQOL_Items'!AO452 + '01_WHOQOL_Items'!AP452 + '01_WHOQOL_Items'!AQ452 + '01_WHOQOL_Items'!AZ452 + '01_WHOQOL_Items'!BA452 + '01_WHOQOL_Items'!BB452)/8)</f>
        <v>14.5</v>
      </c>
      <c r="T452" s="4">
        <f t="shared" si="114"/>
        <v>56.25</v>
      </c>
      <c r="U452" s="4">
        <f t="shared" si="115"/>
        <v>65.625</v>
      </c>
      <c r="V452" s="5">
        <f t="shared" si="116"/>
        <v>0.16666666666666666</v>
      </c>
      <c r="W452" s="4">
        <f t="shared" si="117"/>
        <v>50.669642857142854</v>
      </c>
      <c r="X452" s="4">
        <f t="shared" si="118"/>
        <v>57.924107142857146</v>
      </c>
      <c r="Y452" s="5">
        <f t="shared" si="119"/>
        <v>0.14317180616740102</v>
      </c>
      <c r="Z452" s="1">
        <f>'01_WHOQOL_Items'!D452</f>
        <v>3</v>
      </c>
      <c r="AA452" s="1">
        <f>'01_WHOQOL_Items'!AD452</f>
        <v>3</v>
      </c>
      <c r="AB452" s="1">
        <f>'01_WHOQOL_Items'!E452</f>
        <v>3</v>
      </c>
      <c r="AC452" s="1">
        <f>'01_WHOQOL_Items'!AE452</f>
        <v>3</v>
      </c>
    </row>
    <row r="453" spans="1:29">
      <c r="A453" s="1" t="str">
        <f>'01_WHOQOL_Items'!A453</f>
        <v>CON-171</v>
      </c>
      <c r="B453" s="1" t="str">
        <f>'01_WHOQOL_Items'!B453</f>
        <v>Control</v>
      </c>
      <c r="C453" s="4">
        <f>4*(((6-'01_WHOQOL_Items'!F453) + (6-'01_WHOQOL_Items'!G453) + '01_WHOQOL_Items'!M453 + '01_WHOQOL_Items'!R453 + '01_WHOQOL_Items'!S453 + '01_WHOQOL_Items'!T453 + '01_WHOQOL_Items'!U453)/7)</f>
        <v>12</v>
      </c>
      <c r="D453" s="4">
        <f>4*(((6-'01_WHOQOL_Items'!AF453) + (6-'01_WHOQOL_Items'!AG453) + '01_WHOQOL_Items'!AM453 + '01_WHOQOL_Items'!AR453 + '01_WHOQOL_Items'!AS453 + '01_WHOQOL_Items'!AT453 + '01_WHOQOL_Items'!AU453)/7)</f>
        <v>11.428571428571429</v>
      </c>
      <c r="E453" s="4">
        <f t="shared" si="105"/>
        <v>50</v>
      </c>
      <c r="F453" s="4">
        <f t="shared" si="106"/>
        <v>46.428571428571431</v>
      </c>
      <c r="G453" s="5">
        <f t="shared" si="107"/>
        <v>-7.1428571428571383E-2</v>
      </c>
      <c r="H453" s="4">
        <f>4*(('01_WHOQOL_Items'!H453 + '01_WHOQOL_Items'!I453 + '01_WHOQOL_Items'!J453 + '01_WHOQOL_Items'!N453 + '01_WHOQOL_Items'!V453 + (6-'01_WHOQOL_Items'!AC453))/6)</f>
        <v>16</v>
      </c>
      <c r="I453" s="4">
        <f>4*(('01_WHOQOL_Items'!AH453 + '01_WHOQOL_Items'!AI453 + '01_WHOQOL_Items'!AJ453 + '01_WHOQOL_Items'!AN453 + '01_WHOQOL_Items'!AV453 + (6-'01_WHOQOL_Items'!BC453))/6)</f>
        <v>14.666666666666666</v>
      </c>
      <c r="J453" s="4">
        <f t="shared" si="108"/>
        <v>75</v>
      </c>
      <c r="K453" s="4">
        <f t="shared" si="109"/>
        <v>66.666666666666657</v>
      </c>
      <c r="L453" s="5">
        <f t="shared" si="110"/>
        <v>-0.11111111111111124</v>
      </c>
      <c r="M453" s="4">
        <f>4*(('01_WHOQOL_Items'!W453 + '01_WHOQOL_Items'!X453 + '01_WHOQOL_Items'!Y453)/3)</f>
        <v>14.666666666666666</v>
      </c>
      <c r="N453" s="4">
        <f>4*(('01_WHOQOL_Items'!AW453 + '01_WHOQOL_Items'!AX453 + '01_WHOQOL_Items'!AY453)/3)</f>
        <v>10.666666666666666</v>
      </c>
      <c r="O453" s="4">
        <f t="shared" si="111"/>
        <v>66.666666666666657</v>
      </c>
      <c r="P453" s="4">
        <f t="shared" si="112"/>
        <v>41.666666666666664</v>
      </c>
      <c r="Q453" s="5">
        <f t="shared" si="113"/>
        <v>-0.37499999999999994</v>
      </c>
      <c r="R453" s="4">
        <f>4*(('01_WHOQOL_Items'!K453 + '01_WHOQOL_Items'!L453 + '01_WHOQOL_Items'!O453 + '01_WHOQOL_Items'!P453 + '01_WHOQOL_Items'!Q453 + '01_WHOQOL_Items'!Z453 + '01_WHOQOL_Items'!AA453 + '01_WHOQOL_Items'!AB453)/8)</f>
        <v>16</v>
      </c>
      <c r="S453" s="4">
        <f>4*(('01_WHOQOL_Items'!AK453 + '01_WHOQOL_Items'!AL453 + '01_WHOQOL_Items'!AO453 + '01_WHOQOL_Items'!AP453 + '01_WHOQOL_Items'!AQ453 + '01_WHOQOL_Items'!AZ453 + '01_WHOQOL_Items'!BA453 + '01_WHOQOL_Items'!BB453)/8)</f>
        <v>16.5</v>
      </c>
      <c r="T453" s="4">
        <f t="shared" si="114"/>
        <v>75</v>
      </c>
      <c r="U453" s="4">
        <f t="shared" si="115"/>
        <v>78.125</v>
      </c>
      <c r="V453" s="5">
        <f t="shared" si="116"/>
        <v>4.1666666666666664E-2</v>
      </c>
      <c r="W453" s="4">
        <f t="shared" si="117"/>
        <v>66.666666666666657</v>
      </c>
      <c r="X453" s="4">
        <f t="shared" si="118"/>
        <v>58.22172619047619</v>
      </c>
      <c r="Y453" s="5">
        <f t="shared" si="119"/>
        <v>-0.12667410714285704</v>
      </c>
      <c r="Z453" s="1">
        <f>'01_WHOQOL_Items'!D453</f>
        <v>4</v>
      </c>
      <c r="AA453" s="1">
        <f>'01_WHOQOL_Items'!AD453</f>
        <v>3</v>
      </c>
      <c r="AB453" s="1">
        <f>'01_WHOQOL_Items'!E453</f>
        <v>3</v>
      </c>
      <c r="AC453" s="1">
        <f>'01_WHOQOL_Items'!AE453</f>
        <v>3</v>
      </c>
    </row>
    <row r="454" spans="1:29">
      <c r="A454" s="1" t="str">
        <f>'01_WHOQOL_Items'!A454</f>
        <v>CON-172</v>
      </c>
      <c r="B454" s="1" t="str">
        <f>'01_WHOQOL_Items'!B454</f>
        <v>Control</v>
      </c>
      <c r="C454" s="4">
        <f>4*(((6-'01_WHOQOL_Items'!F454) + (6-'01_WHOQOL_Items'!G454) + '01_WHOQOL_Items'!M454 + '01_WHOQOL_Items'!R454 + '01_WHOQOL_Items'!S454 + '01_WHOQOL_Items'!T454 + '01_WHOQOL_Items'!U454)/7)</f>
        <v>13.142857142857142</v>
      </c>
      <c r="D454" s="4">
        <f>4*(((6-'01_WHOQOL_Items'!AF454) + (6-'01_WHOQOL_Items'!AG454) + '01_WHOQOL_Items'!AM454 + '01_WHOQOL_Items'!AR454 + '01_WHOQOL_Items'!AS454 + '01_WHOQOL_Items'!AT454 + '01_WHOQOL_Items'!AU454)/7)</f>
        <v>12</v>
      </c>
      <c r="E454" s="4">
        <f t="shared" si="105"/>
        <v>57.142857142857139</v>
      </c>
      <c r="F454" s="4">
        <f t="shared" si="106"/>
        <v>50</v>
      </c>
      <c r="G454" s="5">
        <f t="shared" si="107"/>
        <v>-0.12499999999999994</v>
      </c>
      <c r="H454" s="4">
        <f>4*(('01_WHOQOL_Items'!H454 + '01_WHOQOL_Items'!I454 + '01_WHOQOL_Items'!J454 + '01_WHOQOL_Items'!N454 + '01_WHOQOL_Items'!V454 + (6-'01_WHOQOL_Items'!AC454))/6)</f>
        <v>11.333333333333334</v>
      </c>
      <c r="I454" s="4">
        <f>4*(('01_WHOQOL_Items'!AH454 + '01_WHOQOL_Items'!AI454 + '01_WHOQOL_Items'!AJ454 + '01_WHOQOL_Items'!AN454 + '01_WHOQOL_Items'!AV454 + (6-'01_WHOQOL_Items'!BC454))/6)</f>
        <v>11.333333333333334</v>
      </c>
      <c r="J454" s="4">
        <f t="shared" si="108"/>
        <v>45.833333333333336</v>
      </c>
      <c r="K454" s="4">
        <f t="shared" si="109"/>
        <v>45.833333333333336</v>
      </c>
      <c r="L454" s="5">
        <f t="shared" si="110"/>
        <v>0</v>
      </c>
      <c r="M454" s="4">
        <f>4*(('01_WHOQOL_Items'!W454 + '01_WHOQOL_Items'!X454 + '01_WHOQOL_Items'!Y454)/3)</f>
        <v>13.333333333333334</v>
      </c>
      <c r="N454" s="4">
        <f>4*(('01_WHOQOL_Items'!AW454 + '01_WHOQOL_Items'!AX454 + '01_WHOQOL_Items'!AY454)/3)</f>
        <v>13.333333333333334</v>
      </c>
      <c r="O454" s="4">
        <f t="shared" si="111"/>
        <v>58.333333333333336</v>
      </c>
      <c r="P454" s="4">
        <f t="shared" si="112"/>
        <v>58.333333333333336</v>
      </c>
      <c r="Q454" s="5">
        <f t="shared" si="113"/>
        <v>0</v>
      </c>
      <c r="R454" s="4">
        <f>4*(('01_WHOQOL_Items'!K454 + '01_WHOQOL_Items'!L454 + '01_WHOQOL_Items'!O454 + '01_WHOQOL_Items'!P454 + '01_WHOQOL_Items'!Q454 + '01_WHOQOL_Items'!Z454 + '01_WHOQOL_Items'!AA454 + '01_WHOQOL_Items'!AB454)/8)</f>
        <v>12.5</v>
      </c>
      <c r="S454" s="4">
        <f>4*(('01_WHOQOL_Items'!AK454 + '01_WHOQOL_Items'!AL454 + '01_WHOQOL_Items'!AO454 + '01_WHOQOL_Items'!AP454 + '01_WHOQOL_Items'!AQ454 + '01_WHOQOL_Items'!AZ454 + '01_WHOQOL_Items'!BA454 + '01_WHOQOL_Items'!BB454)/8)</f>
        <v>11.5</v>
      </c>
      <c r="T454" s="4">
        <f t="shared" si="114"/>
        <v>53.125</v>
      </c>
      <c r="U454" s="4">
        <f t="shared" si="115"/>
        <v>46.875</v>
      </c>
      <c r="V454" s="5">
        <f t="shared" si="116"/>
        <v>-0.11764705882352941</v>
      </c>
      <c r="W454" s="4">
        <f t="shared" si="117"/>
        <v>53.608630952380956</v>
      </c>
      <c r="X454" s="4">
        <f t="shared" si="118"/>
        <v>50.260416666666671</v>
      </c>
      <c r="Y454" s="5">
        <f t="shared" si="119"/>
        <v>-6.2456627342123504E-2</v>
      </c>
      <c r="Z454" s="1">
        <f>'01_WHOQOL_Items'!D454</f>
        <v>3</v>
      </c>
      <c r="AA454" s="1">
        <f>'01_WHOQOL_Items'!AD454</f>
        <v>3</v>
      </c>
      <c r="AB454" s="1">
        <f>'01_WHOQOL_Items'!E454</f>
        <v>3</v>
      </c>
      <c r="AC454" s="1">
        <f>'01_WHOQOL_Items'!AE454</f>
        <v>3</v>
      </c>
    </row>
    <row r="455" spans="1:29">
      <c r="A455" s="1" t="str">
        <f>'01_WHOQOL_Items'!A455</f>
        <v>CON-173</v>
      </c>
      <c r="B455" s="1" t="str">
        <f>'01_WHOQOL_Items'!B455</f>
        <v>Control</v>
      </c>
      <c r="C455" s="4">
        <f>4*(((6-'01_WHOQOL_Items'!F455) + (6-'01_WHOQOL_Items'!G455) + '01_WHOQOL_Items'!M455 + '01_WHOQOL_Items'!R455 + '01_WHOQOL_Items'!S455 + '01_WHOQOL_Items'!T455 + '01_WHOQOL_Items'!U455)/7)</f>
        <v>16.571428571428573</v>
      </c>
      <c r="D455" s="4">
        <f>4*(((6-'01_WHOQOL_Items'!AF455) + (6-'01_WHOQOL_Items'!AG455) + '01_WHOQOL_Items'!AM455 + '01_WHOQOL_Items'!AR455 + '01_WHOQOL_Items'!AS455 + '01_WHOQOL_Items'!AT455 + '01_WHOQOL_Items'!AU455)/7)</f>
        <v>12</v>
      </c>
      <c r="E455" s="4">
        <f t="shared" si="105"/>
        <v>78.571428571428584</v>
      </c>
      <c r="F455" s="4">
        <f t="shared" si="106"/>
        <v>50</v>
      </c>
      <c r="G455" s="5">
        <f t="shared" si="107"/>
        <v>-0.36363636363636376</v>
      </c>
      <c r="H455" s="4">
        <f>4*(('01_WHOQOL_Items'!H455 + '01_WHOQOL_Items'!I455 + '01_WHOQOL_Items'!J455 + '01_WHOQOL_Items'!N455 + '01_WHOQOL_Items'!V455 + (6-'01_WHOQOL_Items'!AC455))/6)</f>
        <v>13.333333333333334</v>
      </c>
      <c r="I455" s="4">
        <f>4*(('01_WHOQOL_Items'!AH455 + '01_WHOQOL_Items'!AI455 + '01_WHOQOL_Items'!AJ455 + '01_WHOQOL_Items'!AN455 + '01_WHOQOL_Items'!AV455 + (6-'01_WHOQOL_Items'!BC455))/6)</f>
        <v>14</v>
      </c>
      <c r="J455" s="4">
        <f t="shared" si="108"/>
        <v>58.333333333333336</v>
      </c>
      <c r="K455" s="4">
        <f t="shared" si="109"/>
        <v>62.5</v>
      </c>
      <c r="L455" s="5">
        <f t="shared" si="110"/>
        <v>7.1428571428571383E-2</v>
      </c>
      <c r="M455" s="4">
        <f>4*(('01_WHOQOL_Items'!W455 + '01_WHOQOL_Items'!X455 + '01_WHOQOL_Items'!Y455)/3)</f>
        <v>8</v>
      </c>
      <c r="N455" s="4">
        <f>4*(('01_WHOQOL_Items'!AW455 + '01_WHOQOL_Items'!AX455 + '01_WHOQOL_Items'!AY455)/3)</f>
        <v>12</v>
      </c>
      <c r="O455" s="4">
        <f t="shared" si="111"/>
        <v>25</v>
      </c>
      <c r="P455" s="4">
        <f t="shared" si="112"/>
        <v>50</v>
      </c>
      <c r="Q455" s="5">
        <f t="shared" si="113"/>
        <v>1</v>
      </c>
      <c r="R455" s="4">
        <f>4*(('01_WHOQOL_Items'!K455 + '01_WHOQOL_Items'!L455 + '01_WHOQOL_Items'!O455 + '01_WHOQOL_Items'!P455 + '01_WHOQOL_Items'!Q455 + '01_WHOQOL_Items'!Z455 + '01_WHOQOL_Items'!AA455 + '01_WHOQOL_Items'!AB455)/8)</f>
        <v>12.5</v>
      </c>
      <c r="S455" s="4">
        <f>4*(('01_WHOQOL_Items'!AK455 + '01_WHOQOL_Items'!AL455 + '01_WHOQOL_Items'!AO455 + '01_WHOQOL_Items'!AP455 + '01_WHOQOL_Items'!AQ455 + '01_WHOQOL_Items'!AZ455 + '01_WHOQOL_Items'!BA455 + '01_WHOQOL_Items'!BB455)/8)</f>
        <v>12</v>
      </c>
      <c r="T455" s="4">
        <f t="shared" si="114"/>
        <v>53.125</v>
      </c>
      <c r="U455" s="4">
        <f t="shared" si="115"/>
        <v>50</v>
      </c>
      <c r="V455" s="5">
        <f t="shared" si="116"/>
        <v>-5.8823529411764705E-2</v>
      </c>
      <c r="W455" s="4">
        <f t="shared" si="117"/>
        <v>53.757440476190482</v>
      </c>
      <c r="X455" s="4">
        <f t="shared" si="118"/>
        <v>53.125</v>
      </c>
      <c r="Y455" s="5">
        <f t="shared" si="119"/>
        <v>-1.176470588235304E-2</v>
      </c>
      <c r="Z455" s="1">
        <f>'01_WHOQOL_Items'!D455</f>
        <v>4</v>
      </c>
      <c r="AA455" s="1">
        <f>'01_WHOQOL_Items'!AD455</f>
        <v>4</v>
      </c>
      <c r="AB455" s="1">
        <f>'01_WHOQOL_Items'!E455</f>
        <v>4</v>
      </c>
      <c r="AC455" s="1">
        <f>'01_WHOQOL_Items'!AE455</f>
        <v>4</v>
      </c>
    </row>
    <row r="456" spans="1:29">
      <c r="A456" s="1" t="str">
        <f>'01_WHOQOL_Items'!A456</f>
        <v>CON-174</v>
      </c>
      <c r="B456" s="1" t="str">
        <f>'01_WHOQOL_Items'!B456</f>
        <v>Control</v>
      </c>
      <c r="C456" s="4">
        <f>4*(((6-'01_WHOQOL_Items'!F456) + (6-'01_WHOQOL_Items'!G456) + '01_WHOQOL_Items'!M456 + '01_WHOQOL_Items'!R456 + '01_WHOQOL_Items'!S456 + '01_WHOQOL_Items'!T456 + '01_WHOQOL_Items'!U456)/7)</f>
        <v>10.857142857142858</v>
      </c>
      <c r="D456" s="4">
        <f>4*(((6-'01_WHOQOL_Items'!AF456) + (6-'01_WHOQOL_Items'!AG456) + '01_WHOQOL_Items'!AM456 + '01_WHOQOL_Items'!AR456 + '01_WHOQOL_Items'!AS456 + '01_WHOQOL_Items'!AT456 + '01_WHOQOL_Items'!AU456)/7)</f>
        <v>11.428571428571429</v>
      </c>
      <c r="E456" s="4">
        <f t="shared" si="105"/>
        <v>42.857142857142861</v>
      </c>
      <c r="F456" s="4">
        <f t="shared" si="106"/>
        <v>46.428571428571431</v>
      </c>
      <c r="G456" s="5">
        <f t="shared" si="107"/>
        <v>8.3333333333333273E-2</v>
      </c>
      <c r="H456" s="4">
        <f>4*(('01_WHOQOL_Items'!H456 + '01_WHOQOL_Items'!I456 + '01_WHOQOL_Items'!J456 + '01_WHOQOL_Items'!N456 + '01_WHOQOL_Items'!V456 + (6-'01_WHOQOL_Items'!AC456))/6)</f>
        <v>6.666666666666667</v>
      </c>
      <c r="I456" s="4">
        <f>4*(('01_WHOQOL_Items'!AH456 + '01_WHOQOL_Items'!AI456 + '01_WHOQOL_Items'!AJ456 + '01_WHOQOL_Items'!AN456 + '01_WHOQOL_Items'!AV456 + (6-'01_WHOQOL_Items'!BC456))/6)</f>
        <v>10.666666666666666</v>
      </c>
      <c r="J456" s="4">
        <f t="shared" si="108"/>
        <v>16.666666666666668</v>
      </c>
      <c r="K456" s="4">
        <f t="shared" si="109"/>
        <v>41.666666666666664</v>
      </c>
      <c r="L456" s="5">
        <f t="shared" si="110"/>
        <v>1.4999999999999998</v>
      </c>
      <c r="M456" s="4">
        <f>4*(('01_WHOQOL_Items'!W456 + '01_WHOQOL_Items'!X456 + '01_WHOQOL_Items'!Y456)/3)</f>
        <v>8</v>
      </c>
      <c r="N456" s="4">
        <f>4*(('01_WHOQOL_Items'!AW456 + '01_WHOQOL_Items'!AX456 + '01_WHOQOL_Items'!AY456)/3)</f>
        <v>9.3333333333333339</v>
      </c>
      <c r="O456" s="4">
        <f t="shared" si="111"/>
        <v>25</v>
      </c>
      <c r="P456" s="4">
        <f t="shared" si="112"/>
        <v>33.333333333333336</v>
      </c>
      <c r="Q456" s="5">
        <f t="shared" si="113"/>
        <v>0.33333333333333343</v>
      </c>
      <c r="R456" s="4">
        <f>4*(('01_WHOQOL_Items'!K456 + '01_WHOQOL_Items'!L456 + '01_WHOQOL_Items'!O456 + '01_WHOQOL_Items'!P456 + '01_WHOQOL_Items'!Q456 + '01_WHOQOL_Items'!Z456 + '01_WHOQOL_Items'!AA456 + '01_WHOQOL_Items'!AB456)/8)</f>
        <v>13</v>
      </c>
      <c r="S456" s="4">
        <f>4*(('01_WHOQOL_Items'!AK456 + '01_WHOQOL_Items'!AL456 + '01_WHOQOL_Items'!AO456 + '01_WHOQOL_Items'!AP456 + '01_WHOQOL_Items'!AQ456 + '01_WHOQOL_Items'!AZ456 + '01_WHOQOL_Items'!BA456 + '01_WHOQOL_Items'!BB456)/8)</f>
        <v>12</v>
      </c>
      <c r="T456" s="4">
        <f t="shared" si="114"/>
        <v>56.25</v>
      </c>
      <c r="U456" s="4">
        <f t="shared" si="115"/>
        <v>50</v>
      </c>
      <c r="V456" s="5">
        <f t="shared" si="116"/>
        <v>-0.1111111111111111</v>
      </c>
      <c r="W456" s="4">
        <f t="shared" si="117"/>
        <v>35.19345238095238</v>
      </c>
      <c r="X456" s="4">
        <f t="shared" si="118"/>
        <v>42.857142857142861</v>
      </c>
      <c r="Y456" s="5">
        <f t="shared" si="119"/>
        <v>0.21775898520084583</v>
      </c>
      <c r="Z456" s="1">
        <f>'01_WHOQOL_Items'!D456</f>
        <v>2</v>
      </c>
      <c r="AA456" s="1">
        <f>'01_WHOQOL_Items'!AD456</f>
        <v>2</v>
      </c>
      <c r="AB456" s="1">
        <f>'01_WHOQOL_Items'!E456</f>
        <v>3</v>
      </c>
      <c r="AC456" s="1">
        <f>'01_WHOQOL_Items'!AE456</f>
        <v>4</v>
      </c>
    </row>
    <row r="457" spans="1:29">
      <c r="A457" s="1" t="str">
        <f>'01_WHOQOL_Items'!A457</f>
        <v>CON-175</v>
      </c>
      <c r="B457" s="1" t="str">
        <f>'01_WHOQOL_Items'!B457</f>
        <v>Control</v>
      </c>
      <c r="C457" s="4">
        <f>4*(((6-'01_WHOQOL_Items'!F457) + (6-'01_WHOQOL_Items'!G457) + '01_WHOQOL_Items'!M457 + '01_WHOQOL_Items'!R457 + '01_WHOQOL_Items'!S457 + '01_WHOQOL_Items'!T457 + '01_WHOQOL_Items'!U457)/7)</f>
        <v>13.714285714285714</v>
      </c>
      <c r="D457" s="4">
        <f>4*(((6-'01_WHOQOL_Items'!AF457) + (6-'01_WHOQOL_Items'!AG457) + '01_WHOQOL_Items'!AM457 + '01_WHOQOL_Items'!AR457 + '01_WHOQOL_Items'!AS457 + '01_WHOQOL_Items'!AT457 + '01_WHOQOL_Items'!AU457)/7)</f>
        <v>14.285714285714286</v>
      </c>
      <c r="E457" s="4">
        <f t="shared" si="105"/>
        <v>60.714285714285708</v>
      </c>
      <c r="F457" s="4">
        <f t="shared" si="106"/>
        <v>64.285714285714292</v>
      </c>
      <c r="G457" s="5">
        <f t="shared" si="107"/>
        <v>5.8823529411764913E-2</v>
      </c>
      <c r="H457" s="4">
        <f>4*(('01_WHOQOL_Items'!H457 + '01_WHOQOL_Items'!I457 + '01_WHOQOL_Items'!J457 + '01_WHOQOL_Items'!N457 + '01_WHOQOL_Items'!V457 + (6-'01_WHOQOL_Items'!AC457))/6)</f>
        <v>12.666666666666666</v>
      </c>
      <c r="I457" s="4">
        <f>4*(('01_WHOQOL_Items'!AH457 + '01_WHOQOL_Items'!AI457 + '01_WHOQOL_Items'!AJ457 + '01_WHOQOL_Items'!AN457 + '01_WHOQOL_Items'!AV457 + (6-'01_WHOQOL_Items'!BC457))/6)</f>
        <v>12.666666666666666</v>
      </c>
      <c r="J457" s="4">
        <f t="shared" si="108"/>
        <v>54.166666666666664</v>
      </c>
      <c r="K457" s="4">
        <f t="shared" si="109"/>
        <v>54.166666666666664</v>
      </c>
      <c r="L457" s="5">
        <f t="shared" si="110"/>
        <v>0</v>
      </c>
      <c r="M457" s="4">
        <f>4*(('01_WHOQOL_Items'!W457 + '01_WHOQOL_Items'!X457 + '01_WHOQOL_Items'!Y457)/3)</f>
        <v>12</v>
      </c>
      <c r="N457" s="4">
        <f>4*(('01_WHOQOL_Items'!AW457 + '01_WHOQOL_Items'!AX457 + '01_WHOQOL_Items'!AY457)/3)</f>
        <v>10.666666666666666</v>
      </c>
      <c r="O457" s="4">
        <f t="shared" si="111"/>
        <v>50</v>
      </c>
      <c r="P457" s="4">
        <f t="shared" si="112"/>
        <v>41.666666666666664</v>
      </c>
      <c r="Q457" s="5">
        <f t="shared" si="113"/>
        <v>-0.16666666666666671</v>
      </c>
      <c r="R457" s="4">
        <f>4*(('01_WHOQOL_Items'!K457 + '01_WHOQOL_Items'!L457 + '01_WHOQOL_Items'!O457 + '01_WHOQOL_Items'!P457 + '01_WHOQOL_Items'!Q457 + '01_WHOQOL_Items'!Z457 + '01_WHOQOL_Items'!AA457 + '01_WHOQOL_Items'!AB457)/8)</f>
        <v>12</v>
      </c>
      <c r="S457" s="4">
        <f>4*(('01_WHOQOL_Items'!AK457 + '01_WHOQOL_Items'!AL457 + '01_WHOQOL_Items'!AO457 + '01_WHOQOL_Items'!AP457 + '01_WHOQOL_Items'!AQ457 + '01_WHOQOL_Items'!AZ457 + '01_WHOQOL_Items'!BA457 + '01_WHOQOL_Items'!BB457)/8)</f>
        <v>11</v>
      </c>
      <c r="T457" s="4">
        <f t="shared" si="114"/>
        <v>50</v>
      </c>
      <c r="U457" s="4">
        <f t="shared" si="115"/>
        <v>43.75</v>
      </c>
      <c r="V457" s="5">
        <f t="shared" si="116"/>
        <v>-0.125</v>
      </c>
      <c r="W457" s="4">
        <f t="shared" si="117"/>
        <v>53.720238095238095</v>
      </c>
      <c r="X457" s="4">
        <f t="shared" si="118"/>
        <v>50.967261904761905</v>
      </c>
      <c r="Y457" s="5">
        <f t="shared" si="119"/>
        <v>-5.1246537396121873E-2</v>
      </c>
      <c r="Z457" s="1">
        <f>'01_WHOQOL_Items'!D457</f>
        <v>3</v>
      </c>
      <c r="AA457" s="1">
        <f>'01_WHOQOL_Items'!AD457</f>
        <v>3</v>
      </c>
      <c r="AB457" s="1">
        <f>'01_WHOQOL_Items'!E457</f>
        <v>3</v>
      </c>
      <c r="AC457" s="1">
        <f>'01_WHOQOL_Items'!AE457</f>
        <v>4</v>
      </c>
    </row>
    <row r="458" spans="1:29">
      <c r="A458" s="1" t="str">
        <f>'01_WHOQOL_Items'!A458</f>
        <v>CON-176</v>
      </c>
      <c r="B458" s="1" t="str">
        <f>'01_WHOQOL_Items'!B458</f>
        <v>Control</v>
      </c>
      <c r="C458" s="4">
        <f>4*(((6-'01_WHOQOL_Items'!F458) + (6-'01_WHOQOL_Items'!G458) + '01_WHOQOL_Items'!M458 + '01_WHOQOL_Items'!R458 + '01_WHOQOL_Items'!S458 + '01_WHOQOL_Items'!T458 + '01_WHOQOL_Items'!U458)/7)</f>
        <v>10.857142857142858</v>
      </c>
      <c r="D458" s="4">
        <f>4*(((6-'01_WHOQOL_Items'!AF458) + (6-'01_WHOQOL_Items'!AG458) + '01_WHOQOL_Items'!AM458 + '01_WHOQOL_Items'!AR458 + '01_WHOQOL_Items'!AS458 + '01_WHOQOL_Items'!AT458 + '01_WHOQOL_Items'!AU458)/7)</f>
        <v>13.714285714285714</v>
      </c>
      <c r="E458" s="4">
        <f t="shared" si="105"/>
        <v>42.857142857142861</v>
      </c>
      <c r="F458" s="4">
        <f t="shared" si="106"/>
        <v>60.714285714285708</v>
      </c>
      <c r="G458" s="5">
        <f t="shared" si="107"/>
        <v>0.41666666666666641</v>
      </c>
      <c r="H458" s="4">
        <f>4*(('01_WHOQOL_Items'!H458 + '01_WHOQOL_Items'!I458 + '01_WHOQOL_Items'!J458 + '01_WHOQOL_Items'!N458 + '01_WHOQOL_Items'!V458 + (6-'01_WHOQOL_Items'!AC458))/6)</f>
        <v>14.666666666666666</v>
      </c>
      <c r="I458" s="4">
        <f>4*(('01_WHOQOL_Items'!AH458 + '01_WHOQOL_Items'!AI458 + '01_WHOQOL_Items'!AJ458 + '01_WHOQOL_Items'!AN458 + '01_WHOQOL_Items'!AV458 + (6-'01_WHOQOL_Items'!BC458))/6)</f>
        <v>12</v>
      </c>
      <c r="J458" s="4">
        <f t="shared" si="108"/>
        <v>66.666666666666657</v>
      </c>
      <c r="K458" s="4">
        <f t="shared" si="109"/>
        <v>50</v>
      </c>
      <c r="L458" s="5">
        <f t="shared" si="110"/>
        <v>-0.24999999999999989</v>
      </c>
      <c r="M458" s="4">
        <f>4*(('01_WHOQOL_Items'!W458 + '01_WHOQOL_Items'!X458 + '01_WHOQOL_Items'!Y458)/3)</f>
        <v>13.333333333333334</v>
      </c>
      <c r="N458" s="4">
        <f>4*(('01_WHOQOL_Items'!AW458 + '01_WHOQOL_Items'!AX458 + '01_WHOQOL_Items'!AY458)/3)</f>
        <v>13.333333333333334</v>
      </c>
      <c r="O458" s="4">
        <f t="shared" si="111"/>
        <v>58.333333333333336</v>
      </c>
      <c r="P458" s="4">
        <f t="shared" si="112"/>
        <v>58.333333333333336</v>
      </c>
      <c r="Q458" s="5">
        <f t="shared" si="113"/>
        <v>0</v>
      </c>
      <c r="R458" s="4">
        <f>4*(('01_WHOQOL_Items'!K458 + '01_WHOQOL_Items'!L458 + '01_WHOQOL_Items'!O458 + '01_WHOQOL_Items'!P458 + '01_WHOQOL_Items'!Q458 + '01_WHOQOL_Items'!Z458 + '01_WHOQOL_Items'!AA458 + '01_WHOQOL_Items'!AB458)/8)</f>
        <v>12</v>
      </c>
      <c r="S458" s="4">
        <f>4*(('01_WHOQOL_Items'!AK458 + '01_WHOQOL_Items'!AL458 + '01_WHOQOL_Items'!AO458 + '01_WHOQOL_Items'!AP458 + '01_WHOQOL_Items'!AQ458 + '01_WHOQOL_Items'!AZ458 + '01_WHOQOL_Items'!BA458 + '01_WHOQOL_Items'!BB458)/8)</f>
        <v>11</v>
      </c>
      <c r="T458" s="4">
        <f t="shared" si="114"/>
        <v>50</v>
      </c>
      <c r="U458" s="4">
        <f t="shared" si="115"/>
        <v>43.75</v>
      </c>
      <c r="V458" s="5">
        <f t="shared" si="116"/>
        <v>-0.125</v>
      </c>
      <c r="W458" s="4">
        <f t="shared" si="117"/>
        <v>54.464285714285715</v>
      </c>
      <c r="X458" s="4">
        <f t="shared" si="118"/>
        <v>53.199404761904759</v>
      </c>
      <c r="Y458" s="5">
        <f t="shared" si="119"/>
        <v>-2.3224043715847062E-2</v>
      </c>
      <c r="Z458" s="1">
        <f>'01_WHOQOL_Items'!D458</f>
        <v>2</v>
      </c>
      <c r="AA458" s="1">
        <f>'01_WHOQOL_Items'!AD458</f>
        <v>2</v>
      </c>
      <c r="AB458" s="1">
        <f>'01_WHOQOL_Items'!E458</f>
        <v>3</v>
      </c>
      <c r="AC458" s="1">
        <f>'01_WHOQOL_Items'!AE458</f>
        <v>3</v>
      </c>
    </row>
    <row r="459" spans="1:29">
      <c r="A459" s="1" t="str">
        <f>'01_WHOQOL_Items'!A459</f>
        <v>CON-177</v>
      </c>
      <c r="B459" s="1" t="str">
        <f>'01_WHOQOL_Items'!B459</f>
        <v>Control</v>
      </c>
      <c r="C459" s="4">
        <f>4*(((6-'01_WHOQOL_Items'!F459) + (6-'01_WHOQOL_Items'!G459) + '01_WHOQOL_Items'!M459 + '01_WHOQOL_Items'!R459 + '01_WHOQOL_Items'!S459 + '01_WHOQOL_Items'!T459 + '01_WHOQOL_Items'!U459)/7)</f>
        <v>14.857142857142858</v>
      </c>
      <c r="D459" s="4">
        <f>4*(((6-'01_WHOQOL_Items'!AF459) + (6-'01_WHOQOL_Items'!AG459) + '01_WHOQOL_Items'!AM459 + '01_WHOQOL_Items'!AR459 + '01_WHOQOL_Items'!AS459 + '01_WHOQOL_Items'!AT459 + '01_WHOQOL_Items'!AU459)/7)</f>
        <v>16</v>
      </c>
      <c r="E459" s="4">
        <f t="shared" si="105"/>
        <v>67.857142857142861</v>
      </c>
      <c r="F459" s="4">
        <f t="shared" si="106"/>
        <v>75</v>
      </c>
      <c r="G459" s="5">
        <f t="shared" si="107"/>
        <v>0.10526315789473678</v>
      </c>
      <c r="H459" s="4">
        <f>4*(('01_WHOQOL_Items'!H459 + '01_WHOQOL_Items'!I459 + '01_WHOQOL_Items'!J459 + '01_WHOQOL_Items'!N459 + '01_WHOQOL_Items'!V459 + (6-'01_WHOQOL_Items'!AC459))/6)</f>
        <v>11.333333333333334</v>
      </c>
      <c r="I459" s="4">
        <f>4*(('01_WHOQOL_Items'!AH459 + '01_WHOQOL_Items'!AI459 + '01_WHOQOL_Items'!AJ459 + '01_WHOQOL_Items'!AN459 + '01_WHOQOL_Items'!AV459 + (6-'01_WHOQOL_Items'!BC459))/6)</f>
        <v>13.333333333333334</v>
      </c>
      <c r="J459" s="4">
        <f t="shared" si="108"/>
        <v>45.833333333333336</v>
      </c>
      <c r="K459" s="4">
        <f t="shared" si="109"/>
        <v>58.333333333333336</v>
      </c>
      <c r="L459" s="5">
        <f t="shared" si="110"/>
        <v>0.27272727272727271</v>
      </c>
      <c r="M459" s="4">
        <f>4*(('01_WHOQOL_Items'!W459 + '01_WHOQOL_Items'!X459 + '01_WHOQOL_Items'!Y459)/3)</f>
        <v>10.666666666666666</v>
      </c>
      <c r="N459" s="4">
        <f>4*(('01_WHOQOL_Items'!AW459 + '01_WHOQOL_Items'!AX459 + '01_WHOQOL_Items'!AY459)/3)</f>
        <v>12</v>
      </c>
      <c r="O459" s="4">
        <f t="shared" si="111"/>
        <v>41.666666666666664</v>
      </c>
      <c r="P459" s="4">
        <f t="shared" si="112"/>
        <v>50</v>
      </c>
      <c r="Q459" s="5">
        <f t="shared" si="113"/>
        <v>0.20000000000000007</v>
      </c>
      <c r="R459" s="4">
        <f>4*(('01_WHOQOL_Items'!K459 + '01_WHOQOL_Items'!L459 + '01_WHOQOL_Items'!O459 + '01_WHOQOL_Items'!P459 + '01_WHOQOL_Items'!Q459 + '01_WHOQOL_Items'!Z459 + '01_WHOQOL_Items'!AA459 + '01_WHOQOL_Items'!AB459)/8)</f>
        <v>12</v>
      </c>
      <c r="S459" s="4">
        <f>4*(('01_WHOQOL_Items'!AK459 + '01_WHOQOL_Items'!AL459 + '01_WHOQOL_Items'!AO459 + '01_WHOQOL_Items'!AP459 + '01_WHOQOL_Items'!AQ459 + '01_WHOQOL_Items'!AZ459 + '01_WHOQOL_Items'!BA459 + '01_WHOQOL_Items'!BB459)/8)</f>
        <v>14</v>
      </c>
      <c r="T459" s="4">
        <f t="shared" si="114"/>
        <v>50</v>
      </c>
      <c r="U459" s="4">
        <f t="shared" si="115"/>
        <v>62.5</v>
      </c>
      <c r="V459" s="5">
        <f t="shared" si="116"/>
        <v>0.25</v>
      </c>
      <c r="W459" s="4">
        <f t="shared" si="117"/>
        <v>51.339285714285715</v>
      </c>
      <c r="X459" s="4">
        <f t="shared" si="118"/>
        <v>61.458333333333336</v>
      </c>
      <c r="Y459" s="5">
        <f t="shared" si="119"/>
        <v>0.19710144927536233</v>
      </c>
      <c r="Z459" s="1">
        <f>'01_WHOQOL_Items'!D459</f>
        <v>3</v>
      </c>
      <c r="AA459" s="1">
        <f>'01_WHOQOL_Items'!AD459</f>
        <v>4</v>
      </c>
      <c r="AB459" s="1">
        <f>'01_WHOQOL_Items'!E459</f>
        <v>3</v>
      </c>
      <c r="AC459" s="1">
        <f>'01_WHOQOL_Items'!AE459</f>
        <v>4</v>
      </c>
    </row>
    <row r="460" spans="1:29">
      <c r="A460" s="1" t="str">
        <f>'01_WHOQOL_Items'!A460</f>
        <v>CON-178</v>
      </c>
      <c r="B460" s="1" t="str">
        <f>'01_WHOQOL_Items'!B460</f>
        <v>Control</v>
      </c>
      <c r="C460" s="4">
        <f>4*(((6-'01_WHOQOL_Items'!F460) + (6-'01_WHOQOL_Items'!G460) + '01_WHOQOL_Items'!M460 + '01_WHOQOL_Items'!R460 + '01_WHOQOL_Items'!S460 + '01_WHOQOL_Items'!T460 + '01_WHOQOL_Items'!U460)/7)</f>
        <v>12.571428571428571</v>
      </c>
      <c r="D460" s="4">
        <f>4*(((6-'01_WHOQOL_Items'!AF460) + (6-'01_WHOQOL_Items'!AG460) + '01_WHOQOL_Items'!AM460 + '01_WHOQOL_Items'!AR460 + '01_WHOQOL_Items'!AS460 + '01_WHOQOL_Items'!AT460 + '01_WHOQOL_Items'!AU460)/7)</f>
        <v>10.857142857142858</v>
      </c>
      <c r="E460" s="4">
        <f t="shared" si="105"/>
        <v>53.571428571428569</v>
      </c>
      <c r="F460" s="4">
        <f t="shared" si="106"/>
        <v>42.857142857142861</v>
      </c>
      <c r="G460" s="5">
        <f t="shared" si="107"/>
        <v>-0.1999999999999999</v>
      </c>
      <c r="H460" s="4">
        <f>4*(('01_WHOQOL_Items'!H460 + '01_WHOQOL_Items'!I460 + '01_WHOQOL_Items'!J460 + '01_WHOQOL_Items'!N460 + '01_WHOQOL_Items'!V460 + (6-'01_WHOQOL_Items'!AC460))/6)</f>
        <v>16</v>
      </c>
      <c r="I460" s="4">
        <f>4*(('01_WHOQOL_Items'!AH460 + '01_WHOQOL_Items'!AI460 + '01_WHOQOL_Items'!AJ460 + '01_WHOQOL_Items'!AN460 + '01_WHOQOL_Items'!AV460 + (6-'01_WHOQOL_Items'!BC460))/6)</f>
        <v>16</v>
      </c>
      <c r="J460" s="4">
        <f t="shared" si="108"/>
        <v>75</v>
      </c>
      <c r="K460" s="4">
        <f t="shared" si="109"/>
        <v>75</v>
      </c>
      <c r="L460" s="5">
        <f t="shared" si="110"/>
        <v>0</v>
      </c>
      <c r="M460" s="4">
        <f>4*(('01_WHOQOL_Items'!W460 + '01_WHOQOL_Items'!X460 + '01_WHOQOL_Items'!Y460)/3)</f>
        <v>13.333333333333334</v>
      </c>
      <c r="N460" s="4">
        <f>4*(('01_WHOQOL_Items'!AW460 + '01_WHOQOL_Items'!AX460 + '01_WHOQOL_Items'!AY460)/3)</f>
        <v>14.666666666666666</v>
      </c>
      <c r="O460" s="4">
        <f t="shared" si="111"/>
        <v>58.333333333333336</v>
      </c>
      <c r="P460" s="4">
        <f t="shared" si="112"/>
        <v>66.666666666666657</v>
      </c>
      <c r="Q460" s="5">
        <f t="shared" si="113"/>
        <v>0.14285714285714265</v>
      </c>
      <c r="R460" s="4">
        <f>4*(('01_WHOQOL_Items'!K460 + '01_WHOQOL_Items'!L460 + '01_WHOQOL_Items'!O460 + '01_WHOQOL_Items'!P460 + '01_WHOQOL_Items'!Q460 + '01_WHOQOL_Items'!Z460 + '01_WHOQOL_Items'!AA460 + '01_WHOQOL_Items'!AB460)/8)</f>
        <v>9.5</v>
      </c>
      <c r="S460" s="4">
        <f>4*(('01_WHOQOL_Items'!AK460 + '01_WHOQOL_Items'!AL460 + '01_WHOQOL_Items'!AO460 + '01_WHOQOL_Items'!AP460 + '01_WHOQOL_Items'!AQ460 + '01_WHOQOL_Items'!AZ460 + '01_WHOQOL_Items'!BA460 + '01_WHOQOL_Items'!BB460)/8)</f>
        <v>10</v>
      </c>
      <c r="T460" s="4">
        <f t="shared" si="114"/>
        <v>34.375</v>
      </c>
      <c r="U460" s="4">
        <f t="shared" si="115"/>
        <v>37.5</v>
      </c>
      <c r="V460" s="5">
        <f t="shared" si="116"/>
        <v>9.0909090909090912E-2</v>
      </c>
      <c r="W460" s="4">
        <f t="shared" si="117"/>
        <v>55.319940476190474</v>
      </c>
      <c r="X460" s="4">
        <f t="shared" si="118"/>
        <v>55.50595238095238</v>
      </c>
      <c r="Y460" s="5">
        <f t="shared" si="119"/>
        <v>3.3624747814391454E-3</v>
      </c>
      <c r="Z460" s="1">
        <f>'01_WHOQOL_Items'!D460</f>
        <v>3</v>
      </c>
      <c r="AA460" s="1">
        <f>'01_WHOQOL_Items'!AD460</f>
        <v>2</v>
      </c>
      <c r="AB460" s="1">
        <f>'01_WHOQOL_Items'!E460</f>
        <v>3</v>
      </c>
      <c r="AC460" s="1">
        <f>'01_WHOQOL_Items'!AE460</f>
        <v>3</v>
      </c>
    </row>
    <row r="461" spans="1:29">
      <c r="A461" s="1" t="str">
        <f>'01_WHOQOL_Items'!A461</f>
        <v>CON-179</v>
      </c>
      <c r="B461" s="1" t="str">
        <f>'01_WHOQOL_Items'!B461</f>
        <v>Control</v>
      </c>
      <c r="C461" s="4">
        <f>4*(((6-'01_WHOQOL_Items'!F461) + (6-'01_WHOQOL_Items'!G461) + '01_WHOQOL_Items'!M461 + '01_WHOQOL_Items'!R461 + '01_WHOQOL_Items'!S461 + '01_WHOQOL_Items'!T461 + '01_WHOQOL_Items'!U461)/7)</f>
        <v>13.714285714285714</v>
      </c>
      <c r="D461" s="4">
        <f>4*(((6-'01_WHOQOL_Items'!AF461) + (6-'01_WHOQOL_Items'!AG461) + '01_WHOQOL_Items'!AM461 + '01_WHOQOL_Items'!AR461 + '01_WHOQOL_Items'!AS461 + '01_WHOQOL_Items'!AT461 + '01_WHOQOL_Items'!AU461)/7)</f>
        <v>14.857142857142858</v>
      </c>
      <c r="E461" s="4">
        <f t="shared" si="105"/>
        <v>60.714285714285708</v>
      </c>
      <c r="F461" s="4">
        <f t="shared" si="106"/>
        <v>67.857142857142861</v>
      </c>
      <c r="G461" s="5">
        <f t="shared" si="107"/>
        <v>0.11764705882352959</v>
      </c>
      <c r="H461" s="4">
        <f>4*(('01_WHOQOL_Items'!H461 + '01_WHOQOL_Items'!I461 + '01_WHOQOL_Items'!J461 + '01_WHOQOL_Items'!N461 + '01_WHOQOL_Items'!V461 + (6-'01_WHOQOL_Items'!AC461))/6)</f>
        <v>12.666666666666666</v>
      </c>
      <c r="I461" s="4">
        <f>4*(('01_WHOQOL_Items'!AH461 + '01_WHOQOL_Items'!AI461 + '01_WHOQOL_Items'!AJ461 + '01_WHOQOL_Items'!AN461 + '01_WHOQOL_Items'!AV461 + (6-'01_WHOQOL_Items'!BC461))/6)</f>
        <v>12.666666666666666</v>
      </c>
      <c r="J461" s="4">
        <f t="shared" si="108"/>
        <v>54.166666666666664</v>
      </c>
      <c r="K461" s="4">
        <f t="shared" si="109"/>
        <v>54.166666666666664</v>
      </c>
      <c r="L461" s="5">
        <f t="shared" si="110"/>
        <v>0</v>
      </c>
      <c r="M461" s="4">
        <f>4*(('01_WHOQOL_Items'!W461 + '01_WHOQOL_Items'!X461 + '01_WHOQOL_Items'!Y461)/3)</f>
        <v>13.333333333333334</v>
      </c>
      <c r="N461" s="4">
        <f>4*(('01_WHOQOL_Items'!AW461 + '01_WHOQOL_Items'!AX461 + '01_WHOQOL_Items'!AY461)/3)</f>
        <v>12</v>
      </c>
      <c r="O461" s="4">
        <f t="shared" si="111"/>
        <v>58.333333333333336</v>
      </c>
      <c r="P461" s="4">
        <f t="shared" si="112"/>
        <v>50</v>
      </c>
      <c r="Q461" s="5">
        <f t="shared" si="113"/>
        <v>-0.1428571428571429</v>
      </c>
      <c r="R461" s="4">
        <f>4*(('01_WHOQOL_Items'!K461 + '01_WHOQOL_Items'!L461 + '01_WHOQOL_Items'!O461 + '01_WHOQOL_Items'!P461 + '01_WHOQOL_Items'!Q461 + '01_WHOQOL_Items'!Z461 + '01_WHOQOL_Items'!AA461 + '01_WHOQOL_Items'!AB461)/8)</f>
        <v>11</v>
      </c>
      <c r="S461" s="4">
        <f>4*(('01_WHOQOL_Items'!AK461 + '01_WHOQOL_Items'!AL461 + '01_WHOQOL_Items'!AO461 + '01_WHOQOL_Items'!AP461 + '01_WHOQOL_Items'!AQ461 + '01_WHOQOL_Items'!AZ461 + '01_WHOQOL_Items'!BA461 + '01_WHOQOL_Items'!BB461)/8)</f>
        <v>10.5</v>
      </c>
      <c r="T461" s="4">
        <f t="shared" si="114"/>
        <v>43.75</v>
      </c>
      <c r="U461" s="4">
        <f t="shared" si="115"/>
        <v>40.625</v>
      </c>
      <c r="V461" s="5">
        <f t="shared" si="116"/>
        <v>-7.1428571428571425E-2</v>
      </c>
      <c r="W461" s="4">
        <f t="shared" si="117"/>
        <v>54.241071428571431</v>
      </c>
      <c r="X461" s="4">
        <f t="shared" si="118"/>
        <v>53.16220238095238</v>
      </c>
      <c r="Y461" s="5">
        <f t="shared" si="119"/>
        <v>-1.9890260631001435E-2</v>
      </c>
      <c r="Z461" s="1">
        <f>'01_WHOQOL_Items'!D461</f>
        <v>3</v>
      </c>
      <c r="AA461" s="1">
        <f>'01_WHOQOL_Items'!AD461</f>
        <v>3</v>
      </c>
      <c r="AB461" s="1">
        <f>'01_WHOQOL_Items'!E461</f>
        <v>4</v>
      </c>
      <c r="AC461" s="1">
        <f>'01_WHOQOL_Items'!AE461</f>
        <v>3</v>
      </c>
    </row>
    <row r="462" spans="1:29">
      <c r="A462" s="1" t="str">
        <f>'01_WHOQOL_Items'!A462</f>
        <v>CON-180</v>
      </c>
      <c r="B462" s="1" t="str">
        <f>'01_WHOQOL_Items'!B462</f>
        <v>Control</v>
      </c>
      <c r="C462" s="4">
        <f>4*(((6-'01_WHOQOL_Items'!F462) + (6-'01_WHOQOL_Items'!G462) + '01_WHOQOL_Items'!M462 + '01_WHOQOL_Items'!R462 + '01_WHOQOL_Items'!S462 + '01_WHOQOL_Items'!T462 + '01_WHOQOL_Items'!U462)/7)</f>
        <v>8.5714285714285712</v>
      </c>
      <c r="D462" s="4">
        <f>4*(((6-'01_WHOQOL_Items'!AF462) + (6-'01_WHOQOL_Items'!AG462) + '01_WHOQOL_Items'!AM462 + '01_WHOQOL_Items'!AR462 + '01_WHOQOL_Items'!AS462 + '01_WHOQOL_Items'!AT462 + '01_WHOQOL_Items'!AU462)/7)</f>
        <v>6.8571428571428568</v>
      </c>
      <c r="E462" s="4">
        <f t="shared" si="105"/>
        <v>28.571428571428569</v>
      </c>
      <c r="F462" s="4">
        <f t="shared" si="106"/>
        <v>17.857142857142854</v>
      </c>
      <c r="G462" s="5">
        <f t="shared" si="107"/>
        <v>-0.37500000000000006</v>
      </c>
      <c r="H462" s="4">
        <f>4*(('01_WHOQOL_Items'!H462 + '01_WHOQOL_Items'!I462 + '01_WHOQOL_Items'!J462 + '01_WHOQOL_Items'!N462 + '01_WHOQOL_Items'!V462 + (6-'01_WHOQOL_Items'!AC462))/6)</f>
        <v>7.333333333333333</v>
      </c>
      <c r="I462" s="4">
        <f>4*(('01_WHOQOL_Items'!AH462 + '01_WHOQOL_Items'!AI462 + '01_WHOQOL_Items'!AJ462 + '01_WHOQOL_Items'!AN462 + '01_WHOQOL_Items'!AV462 + (6-'01_WHOQOL_Items'!BC462))/6)</f>
        <v>7.333333333333333</v>
      </c>
      <c r="J462" s="4">
        <f t="shared" si="108"/>
        <v>20.833333333333332</v>
      </c>
      <c r="K462" s="4">
        <f t="shared" si="109"/>
        <v>20.833333333333332</v>
      </c>
      <c r="L462" s="5">
        <f t="shared" si="110"/>
        <v>0</v>
      </c>
      <c r="M462" s="4">
        <f>4*(('01_WHOQOL_Items'!W462 + '01_WHOQOL_Items'!X462 + '01_WHOQOL_Items'!Y462)/3)</f>
        <v>14.666666666666666</v>
      </c>
      <c r="N462" s="4">
        <f>4*(('01_WHOQOL_Items'!AW462 + '01_WHOQOL_Items'!AX462 + '01_WHOQOL_Items'!AY462)/3)</f>
        <v>9.3333333333333339</v>
      </c>
      <c r="O462" s="4">
        <f t="shared" si="111"/>
        <v>66.666666666666657</v>
      </c>
      <c r="P462" s="4">
        <f t="shared" si="112"/>
        <v>33.333333333333336</v>
      </c>
      <c r="Q462" s="5">
        <f t="shared" si="113"/>
        <v>-0.49999999999999989</v>
      </c>
      <c r="R462" s="4">
        <f>4*(('01_WHOQOL_Items'!K462 + '01_WHOQOL_Items'!L462 + '01_WHOQOL_Items'!O462 + '01_WHOQOL_Items'!P462 + '01_WHOQOL_Items'!Q462 + '01_WHOQOL_Items'!Z462 + '01_WHOQOL_Items'!AA462 + '01_WHOQOL_Items'!AB462)/8)</f>
        <v>12.5</v>
      </c>
      <c r="S462" s="4">
        <f>4*(('01_WHOQOL_Items'!AK462 + '01_WHOQOL_Items'!AL462 + '01_WHOQOL_Items'!AO462 + '01_WHOQOL_Items'!AP462 + '01_WHOQOL_Items'!AQ462 + '01_WHOQOL_Items'!AZ462 + '01_WHOQOL_Items'!BA462 + '01_WHOQOL_Items'!BB462)/8)</f>
        <v>14.5</v>
      </c>
      <c r="T462" s="4">
        <f t="shared" si="114"/>
        <v>53.125</v>
      </c>
      <c r="U462" s="4">
        <f t="shared" si="115"/>
        <v>65.625</v>
      </c>
      <c r="V462" s="5">
        <f t="shared" si="116"/>
        <v>0.23529411764705882</v>
      </c>
      <c r="W462" s="4">
        <f t="shared" si="117"/>
        <v>42.299107142857139</v>
      </c>
      <c r="X462" s="4">
        <f t="shared" si="118"/>
        <v>34.41220238095238</v>
      </c>
      <c r="Y462" s="5">
        <f t="shared" si="119"/>
        <v>-0.18645558487247138</v>
      </c>
      <c r="Z462" s="1">
        <f>'01_WHOQOL_Items'!D462</f>
        <v>3</v>
      </c>
      <c r="AA462" s="1">
        <f>'01_WHOQOL_Items'!AD462</f>
        <v>3</v>
      </c>
      <c r="AB462" s="1">
        <f>'01_WHOQOL_Items'!E462</f>
        <v>1</v>
      </c>
      <c r="AC462" s="1">
        <f>'01_WHOQOL_Items'!AE462</f>
        <v>2</v>
      </c>
    </row>
    <row r="463" spans="1:29">
      <c r="A463" s="1" t="str">
        <f>'01_WHOQOL_Items'!A463</f>
        <v>CON-181</v>
      </c>
      <c r="B463" s="1" t="str">
        <f>'01_WHOQOL_Items'!B463</f>
        <v>Control</v>
      </c>
      <c r="C463" s="4">
        <f>4*(((6-'01_WHOQOL_Items'!F463) + (6-'01_WHOQOL_Items'!G463) + '01_WHOQOL_Items'!M463 + '01_WHOQOL_Items'!R463 + '01_WHOQOL_Items'!S463 + '01_WHOQOL_Items'!T463 + '01_WHOQOL_Items'!U463)/7)</f>
        <v>12.571428571428571</v>
      </c>
      <c r="D463" s="4">
        <f>4*(((6-'01_WHOQOL_Items'!AF463) + (6-'01_WHOQOL_Items'!AG463) + '01_WHOQOL_Items'!AM463 + '01_WHOQOL_Items'!AR463 + '01_WHOQOL_Items'!AS463 + '01_WHOQOL_Items'!AT463 + '01_WHOQOL_Items'!AU463)/7)</f>
        <v>11.428571428571429</v>
      </c>
      <c r="E463" s="4">
        <f t="shared" si="105"/>
        <v>53.571428571428569</v>
      </c>
      <c r="F463" s="4">
        <f t="shared" si="106"/>
        <v>46.428571428571431</v>
      </c>
      <c r="G463" s="5">
        <f t="shared" si="107"/>
        <v>-0.13333333333333328</v>
      </c>
      <c r="H463" s="4">
        <f>4*(('01_WHOQOL_Items'!H463 + '01_WHOQOL_Items'!I463 + '01_WHOQOL_Items'!J463 + '01_WHOQOL_Items'!N463 + '01_WHOQOL_Items'!V463 + (6-'01_WHOQOL_Items'!AC463))/6)</f>
        <v>13.333333333333334</v>
      </c>
      <c r="I463" s="4">
        <f>4*(('01_WHOQOL_Items'!AH463 + '01_WHOQOL_Items'!AI463 + '01_WHOQOL_Items'!AJ463 + '01_WHOQOL_Items'!AN463 + '01_WHOQOL_Items'!AV463 + (6-'01_WHOQOL_Items'!BC463))/6)</f>
        <v>13.333333333333334</v>
      </c>
      <c r="J463" s="4">
        <f t="shared" si="108"/>
        <v>58.333333333333336</v>
      </c>
      <c r="K463" s="4">
        <f t="shared" si="109"/>
        <v>58.333333333333336</v>
      </c>
      <c r="L463" s="5">
        <f t="shared" si="110"/>
        <v>0</v>
      </c>
      <c r="M463" s="4">
        <f>4*(('01_WHOQOL_Items'!W463 + '01_WHOQOL_Items'!X463 + '01_WHOQOL_Items'!Y463)/3)</f>
        <v>10.666666666666666</v>
      </c>
      <c r="N463" s="4">
        <f>4*(('01_WHOQOL_Items'!AW463 + '01_WHOQOL_Items'!AX463 + '01_WHOQOL_Items'!AY463)/3)</f>
        <v>12</v>
      </c>
      <c r="O463" s="4">
        <f t="shared" si="111"/>
        <v>41.666666666666664</v>
      </c>
      <c r="P463" s="4">
        <f t="shared" si="112"/>
        <v>50</v>
      </c>
      <c r="Q463" s="5">
        <f t="shared" si="113"/>
        <v>0.20000000000000007</v>
      </c>
      <c r="R463" s="4">
        <f>4*(('01_WHOQOL_Items'!K463 + '01_WHOQOL_Items'!L463 + '01_WHOQOL_Items'!O463 + '01_WHOQOL_Items'!P463 + '01_WHOQOL_Items'!Q463 + '01_WHOQOL_Items'!Z463 + '01_WHOQOL_Items'!AA463 + '01_WHOQOL_Items'!AB463)/8)</f>
        <v>11.5</v>
      </c>
      <c r="S463" s="4">
        <f>4*(('01_WHOQOL_Items'!AK463 + '01_WHOQOL_Items'!AL463 + '01_WHOQOL_Items'!AO463 + '01_WHOQOL_Items'!AP463 + '01_WHOQOL_Items'!AQ463 + '01_WHOQOL_Items'!AZ463 + '01_WHOQOL_Items'!BA463 + '01_WHOQOL_Items'!BB463)/8)</f>
        <v>10.5</v>
      </c>
      <c r="T463" s="4">
        <f t="shared" si="114"/>
        <v>46.875</v>
      </c>
      <c r="U463" s="4">
        <f t="shared" si="115"/>
        <v>40.625</v>
      </c>
      <c r="V463" s="5">
        <f t="shared" si="116"/>
        <v>-0.13333333333333333</v>
      </c>
      <c r="W463" s="4">
        <f t="shared" si="117"/>
        <v>50.111607142857139</v>
      </c>
      <c r="X463" s="4">
        <f t="shared" si="118"/>
        <v>48.84672619047619</v>
      </c>
      <c r="Y463" s="5">
        <f t="shared" si="119"/>
        <v>-2.5241276911655466E-2</v>
      </c>
      <c r="Z463" s="1">
        <f>'01_WHOQOL_Items'!D463</f>
        <v>3</v>
      </c>
      <c r="AA463" s="1">
        <f>'01_WHOQOL_Items'!AD463</f>
        <v>3</v>
      </c>
      <c r="AB463" s="1">
        <f>'01_WHOQOL_Items'!E463</f>
        <v>3</v>
      </c>
      <c r="AC463" s="1">
        <f>'01_WHOQOL_Items'!AE463</f>
        <v>4</v>
      </c>
    </row>
    <row r="464" spans="1:29">
      <c r="A464" s="1" t="str">
        <f>'01_WHOQOL_Items'!A464</f>
        <v>CON-182</v>
      </c>
      <c r="B464" s="1" t="str">
        <f>'01_WHOQOL_Items'!B464</f>
        <v>Control</v>
      </c>
      <c r="C464" s="4">
        <f>4*(((6-'01_WHOQOL_Items'!F464) + (6-'01_WHOQOL_Items'!G464) + '01_WHOQOL_Items'!M464 + '01_WHOQOL_Items'!R464 + '01_WHOQOL_Items'!S464 + '01_WHOQOL_Items'!T464 + '01_WHOQOL_Items'!U464)/7)</f>
        <v>14.285714285714286</v>
      </c>
      <c r="D464" s="4">
        <f>4*(((6-'01_WHOQOL_Items'!AF464) + (6-'01_WHOQOL_Items'!AG464) + '01_WHOQOL_Items'!AM464 + '01_WHOQOL_Items'!AR464 + '01_WHOQOL_Items'!AS464 + '01_WHOQOL_Items'!AT464 + '01_WHOQOL_Items'!AU464)/7)</f>
        <v>13.714285714285714</v>
      </c>
      <c r="E464" s="4">
        <f t="shared" si="105"/>
        <v>64.285714285714292</v>
      </c>
      <c r="F464" s="4">
        <f t="shared" si="106"/>
        <v>60.714285714285708</v>
      </c>
      <c r="G464" s="5">
        <f t="shared" si="107"/>
        <v>-5.555555555555574E-2</v>
      </c>
      <c r="H464" s="4">
        <f>4*(('01_WHOQOL_Items'!H464 + '01_WHOQOL_Items'!I464 + '01_WHOQOL_Items'!J464 + '01_WHOQOL_Items'!N464 + '01_WHOQOL_Items'!V464 + (6-'01_WHOQOL_Items'!AC464))/6)</f>
        <v>11.333333333333334</v>
      </c>
      <c r="I464" s="4">
        <f>4*(('01_WHOQOL_Items'!AH464 + '01_WHOQOL_Items'!AI464 + '01_WHOQOL_Items'!AJ464 + '01_WHOQOL_Items'!AN464 + '01_WHOQOL_Items'!AV464 + (6-'01_WHOQOL_Items'!BC464))/6)</f>
        <v>11.333333333333334</v>
      </c>
      <c r="J464" s="4">
        <f t="shared" si="108"/>
        <v>45.833333333333336</v>
      </c>
      <c r="K464" s="4">
        <f t="shared" si="109"/>
        <v>45.833333333333336</v>
      </c>
      <c r="L464" s="5">
        <f t="shared" si="110"/>
        <v>0</v>
      </c>
      <c r="M464" s="4">
        <f>4*(('01_WHOQOL_Items'!W464 + '01_WHOQOL_Items'!X464 + '01_WHOQOL_Items'!Y464)/3)</f>
        <v>13.333333333333334</v>
      </c>
      <c r="N464" s="4">
        <f>4*(('01_WHOQOL_Items'!AW464 + '01_WHOQOL_Items'!AX464 + '01_WHOQOL_Items'!AY464)/3)</f>
        <v>12</v>
      </c>
      <c r="O464" s="4">
        <f t="shared" si="111"/>
        <v>58.333333333333336</v>
      </c>
      <c r="P464" s="4">
        <f t="shared" si="112"/>
        <v>50</v>
      </c>
      <c r="Q464" s="5">
        <f t="shared" si="113"/>
        <v>-0.1428571428571429</v>
      </c>
      <c r="R464" s="4">
        <f>4*(('01_WHOQOL_Items'!K464 + '01_WHOQOL_Items'!L464 + '01_WHOQOL_Items'!O464 + '01_WHOQOL_Items'!P464 + '01_WHOQOL_Items'!Q464 + '01_WHOQOL_Items'!Z464 + '01_WHOQOL_Items'!AA464 + '01_WHOQOL_Items'!AB464)/8)</f>
        <v>11.5</v>
      </c>
      <c r="S464" s="4">
        <f>4*(('01_WHOQOL_Items'!AK464 + '01_WHOQOL_Items'!AL464 + '01_WHOQOL_Items'!AO464 + '01_WHOQOL_Items'!AP464 + '01_WHOQOL_Items'!AQ464 + '01_WHOQOL_Items'!AZ464 + '01_WHOQOL_Items'!BA464 + '01_WHOQOL_Items'!BB464)/8)</f>
        <v>12.5</v>
      </c>
      <c r="T464" s="4">
        <f t="shared" si="114"/>
        <v>46.875</v>
      </c>
      <c r="U464" s="4">
        <f t="shared" si="115"/>
        <v>53.125</v>
      </c>
      <c r="V464" s="5">
        <f t="shared" si="116"/>
        <v>0.13333333333333333</v>
      </c>
      <c r="W464" s="4">
        <f t="shared" si="117"/>
        <v>53.831845238095241</v>
      </c>
      <c r="X464" s="4">
        <f t="shared" si="118"/>
        <v>52.418154761904759</v>
      </c>
      <c r="Y464" s="5">
        <f t="shared" si="119"/>
        <v>-2.6261230131306251E-2</v>
      </c>
      <c r="Z464" s="1">
        <f>'01_WHOQOL_Items'!D464</f>
        <v>3</v>
      </c>
      <c r="AA464" s="1">
        <f>'01_WHOQOL_Items'!AD464</f>
        <v>3</v>
      </c>
      <c r="AB464" s="1">
        <f>'01_WHOQOL_Items'!E464</f>
        <v>4</v>
      </c>
      <c r="AC464" s="1">
        <f>'01_WHOQOL_Items'!AE464</f>
        <v>4</v>
      </c>
    </row>
    <row r="465" spans="1:29">
      <c r="A465" s="1" t="str">
        <f>'01_WHOQOL_Items'!A465</f>
        <v>CON-183</v>
      </c>
      <c r="B465" s="1" t="str">
        <f>'01_WHOQOL_Items'!B465</f>
        <v>Control</v>
      </c>
      <c r="C465" s="4">
        <f>4*(((6-'01_WHOQOL_Items'!F465) + (6-'01_WHOQOL_Items'!G465) + '01_WHOQOL_Items'!M465 + '01_WHOQOL_Items'!R465 + '01_WHOQOL_Items'!S465 + '01_WHOQOL_Items'!T465 + '01_WHOQOL_Items'!U465)/7)</f>
        <v>14.285714285714286</v>
      </c>
      <c r="D465" s="4">
        <f>4*(((6-'01_WHOQOL_Items'!AF465) + (6-'01_WHOQOL_Items'!AG465) + '01_WHOQOL_Items'!AM465 + '01_WHOQOL_Items'!AR465 + '01_WHOQOL_Items'!AS465 + '01_WHOQOL_Items'!AT465 + '01_WHOQOL_Items'!AU465)/7)</f>
        <v>14.285714285714286</v>
      </c>
      <c r="E465" s="4">
        <f t="shared" si="105"/>
        <v>64.285714285714292</v>
      </c>
      <c r="F465" s="4">
        <f t="shared" si="106"/>
        <v>64.285714285714292</v>
      </c>
      <c r="G465" s="5">
        <f t="shared" si="107"/>
        <v>0</v>
      </c>
      <c r="H465" s="4">
        <f>4*(('01_WHOQOL_Items'!H465 + '01_WHOQOL_Items'!I465 + '01_WHOQOL_Items'!J465 + '01_WHOQOL_Items'!N465 + '01_WHOQOL_Items'!V465 + (6-'01_WHOQOL_Items'!AC465))/6)</f>
        <v>11.333333333333334</v>
      </c>
      <c r="I465" s="4">
        <f>4*(('01_WHOQOL_Items'!AH465 + '01_WHOQOL_Items'!AI465 + '01_WHOQOL_Items'!AJ465 + '01_WHOQOL_Items'!AN465 + '01_WHOQOL_Items'!AV465 + (6-'01_WHOQOL_Items'!BC465))/6)</f>
        <v>12</v>
      </c>
      <c r="J465" s="4">
        <f t="shared" si="108"/>
        <v>45.833333333333336</v>
      </c>
      <c r="K465" s="4">
        <f t="shared" si="109"/>
        <v>50</v>
      </c>
      <c r="L465" s="5">
        <f t="shared" si="110"/>
        <v>9.0909090909090856E-2</v>
      </c>
      <c r="M465" s="4">
        <f>4*(('01_WHOQOL_Items'!W465 + '01_WHOQOL_Items'!X465 + '01_WHOQOL_Items'!Y465)/3)</f>
        <v>6.666666666666667</v>
      </c>
      <c r="N465" s="4">
        <f>4*(('01_WHOQOL_Items'!AW465 + '01_WHOQOL_Items'!AX465 + '01_WHOQOL_Items'!AY465)/3)</f>
        <v>4</v>
      </c>
      <c r="O465" s="4">
        <f t="shared" si="111"/>
        <v>16.666666666666668</v>
      </c>
      <c r="P465" s="4">
        <f t="shared" si="112"/>
        <v>0</v>
      </c>
      <c r="Q465" s="5">
        <f t="shared" si="113"/>
        <v>-1</v>
      </c>
      <c r="R465" s="4">
        <f>4*(('01_WHOQOL_Items'!K465 + '01_WHOQOL_Items'!L465 + '01_WHOQOL_Items'!O465 + '01_WHOQOL_Items'!P465 + '01_WHOQOL_Items'!Q465 + '01_WHOQOL_Items'!Z465 + '01_WHOQOL_Items'!AA465 + '01_WHOQOL_Items'!AB465)/8)</f>
        <v>12</v>
      </c>
      <c r="S465" s="4">
        <f>4*(('01_WHOQOL_Items'!AK465 + '01_WHOQOL_Items'!AL465 + '01_WHOQOL_Items'!AO465 + '01_WHOQOL_Items'!AP465 + '01_WHOQOL_Items'!AQ465 + '01_WHOQOL_Items'!AZ465 + '01_WHOQOL_Items'!BA465 + '01_WHOQOL_Items'!BB465)/8)</f>
        <v>13</v>
      </c>
      <c r="T465" s="4">
        <f t="shared" si="114"/>
        <v>50</v>
      </c>
      <c r="U465" s="4">
        <f t="shared" si="115"/>
        <v>56.25</v>
      </c>
      <c r="V465" s="5">
        <f t="shared" si="116"/>
        <v>0.125</v>
      </c>
      <c r="W465" s="4">
        <f t="shared" si="117"/>
        <v>44.196428571428569</v>
      </c>
      <c r="X465" s="4">
        <f t="shared" si="118"/>
        <v>42.633928571428569</v>
      </c>
      <c r="Y465" s="5">
        <f t="shared" si="119"/>
        <v>-3.5353535353535352E-2</v>
      </c>
      <c r="Z465" s="1">
        <f>'01_WHOQOL_Items'!D465</f>
        <v>3</v>
      </c>
      <c r="AA465" s="1">
        <f>'01_WHOQOL_Items'!AD465</f>
        <v>2</v>
      </c>
      <c r="AB465" s="1">
        <f>'01_WHOQOL_Items'!E465</f>
        <v>4</v>
      </c>
      <c r="AC465" s="1">
        <f>'01_WHOQOL_Items'!AE465</f>
        <v>3</v>
      </c>
    </row>
    <row r="466" spans="1:29">
      <c r="A466" s="1" t="str">
        <f>'01_WHOQOL_Items'!A466</f>
        <v>CON-184</v>
      </c>
      <c r="B466" s="1" t="str">
        <f>'01_WHOQOL_Items'!B466</f>
        <v>Control</v>
      </c>
      <c r="C466" s="4">
        <f>4*(((6-'01_WHOQOL_Items'!F466) + (6-'01_WHOQOL_Items'!G466) + '01_WHOQOL_Items'!M466 + '01_WHOQOL_Items'!R466 + '01_WHOQOL_Items'!S466 + '01_WHOQOL_Items'!T466 + '01_WHOQOL_Items'!U466)/7)</f>
        <v>9.7142857142857135</v>
      </c>
      <c r="D466" s="4">
        <f>4*(((6-'01_WHOQOL_Items'!AF466) + (6-'01_WHOQOL_Items'!AG466) + '01_WHOQOL_Items'!AM466 + '01_WHOQOL_Items'!AR466 + '01_WHOQOL_Items'!AS466 + '01_WHOQOL_Items'!AT466 + '01_WHOQOL_Items'!AU466)/7)</f>
        <v>10.285714285714286</v>
      </c>
      <c r="E466" s="4">
        <f t="shared" si="105"/>
        <v>35.714285714285708</v>
      </c>
      <c r="F466" s="4">
        <f t="shared" si="106"/>
        <v>39.285714285714292</v>
      </c>
      <c r="G466" s="5">
        <f t="shared" si="107"/>
        <v>0.10000000000000035</v>
      </c>
      <c r="H466" s="4">
        <f>4*(('01_WHOQOL_Items'!H466 + '01_WHOQOL_Items'!I466 + '01_WHOQOL_Items'!J466 + '01_WHOQOL_Items'!N466 + '01_WHOQOL_Items'!V466 + (6-'01_WHOQOL_Items'!AC466))/6)</f>
        <v>16.666666666666668</v>
      </c>
      <c r="I466" s="4">
        <f>4*(('01_WHOQOL_Items'!AH466 + '01_WHOQOL_Items'!AI466 + '01_WHOQOL_Items'!AJ466 + '01_WHOQOL_Items'!AN466 + '01_WHOQOL_Items'!AV466 + (6-'01_WHOQOL_Items'!BC466))/6)</f>
        <v>14.666666666666666</v>
      </c>
      <c r="J466" s="4">
        <f t="shared" si="108"/>
        <v>79.166666666666671</v>
      </c>
      <c r="K466" s="4">
        <f t="shared" si="109"/>
        <v>66.666666666666657</v>
      </c>
      <c r="L466" s="5">
        <f t="shared" si="110"/>
        <v>-0.15789473684210542</v>
      </c>
      <c r="M466" s="4">
        <f>4*(('01_WHOQOL_Items'!W466 + '01_WHOQOL_Items'!X466 + '01_WHOQOL_Items'!Y466)/3)</f>
        <v>9.3333333333333339</v>
      </c>
      <c r="N466" s="4">
        <f>4*(('01_WHOQOL_Items'!AW466 + '01_WHOQOL_Items'!AX466 + '01_WHOQOL_Items'!AY466)/3)</f>
        <v>10.666666666666666</v>
      </c>
      <c r="O466" s="4">
        <f t="shared" si="111"/>
        <v>33.333333333333336</v>
      </c>
      <c r="P466" s="4">
        <f t="shared" si="112"/>
        <v>41.666666666666664</v>
      </c>
      <c r="Q466" s="5">
        <f t="shared" si="113"/>
        <v>0.24999999999999983</v>
      </c>
      <c r="R466" s="4">
        <f>4*(('01_WHOQOL_Items'!K466 + '01_WHOQOL_Items'!L466 + '01_WHOQOL_Items'!O466 + '01_WHOQOL_Items'!P466 + '01_WHOQOL_Items'!Q466 + '01_WHOQOL_Items'!Z466 + '01_WHOQOL_Items'!AA466 + '01_WHOQOL_Items'!AB466)/8)</f>
        <v>13</v>
      </c>
      <c r="S466" s="4">
        <f>4*(('01_WHOQOL_Items'!AK466 + '01_WHOQOL_Items'!AL466 + '01_WHOQOL_Items'!AO466 + '01_WHOQOL_Items'!AP466 + '01_WHOQOL_Items'!AQ466 + '01_WHOQOL_Items'!AZ466 + '01_WHOQOL_Items'!BA466 + '01_WHOQOL_Items'!BB466)/8)</f>
        <v>13</v>
      </c>
      <c r="T466" s="4">
        <f t="shared" si="114"/>
        <v>56.25</v>
      </c>
      <c r="U466" s="4">
        <f t="shared" si="115"/>
        <v>56.25</v>
      </c>
      <c r="V466" s="5">
        <f t="shared" si="116"/>
        <v>0</v>
      </c>
      <c r="W466" s="4">
        <f t="shared" si="117"/>
        <v>51.116071428571431</v>
      </c>
      <c r="X466" s="4">
        <f t="shared" si="118"/>
        <v>50.967261904761905</v>
      </c>
      <c r="Y466" s="5">
        <f t="shared" si="119"/>
        <v>-2.911208151382857E-3</v>
      </c>
      <c r="Z466" s="1">
        <f>'01_WHOQOL_Items'!D466</f>
        <v>4</v>
      </c>
      <c r="AA466" s="1">
        <f>'01_WHOQOL_Items'!AD466</f>
        <v>4</v>
      </c>
      <c r="AB466" s="1">
        <f>'01_WHOQOL_Items'!E466</f>
        <v>3</v>
      </c>
      <c r="AC466" s="1">
        <f>'01_WHOQOL_Items'!AE466</f>
        <v>2</v>
      </c>
    </row>
    <row r="467" spans="1:29">
      <c r="A467" s="1" t="str">
        <f>'01_WHOQOL_Items'!A467</f>
        <v>CON-185</v>
      </c>
      <c r="B467" s="1" t="str">
        <f>'01_WHOQOL_Items'!B467</f>
        <v>Control</v>
      </c>
      <c r="C467" s="4">
        <f>4*(((6-'01_WHOQOL_Items'!F467) + (6-'01_WHOQOL_Items'!G467) + '01_WHOQOL_Items'!M467 + '01_WHOQOL_Items'!R467 + '01_WHOQOL_Items'!S467 + '01_WHOQOL_Items'!T467 + '01_WHOQOL_Items'!U467)/7)</f>
        <v>16.571428571428573</v>
      </c>
      <c r="D467" s="4">
        <f>4*(((6-'01_WHOQOL_Items'!AF467) + (6-'01_WHOQOL_Items'!AG467) + '01_WHOQOL_Items'!AM467 + '01_WHOQOL_Items'!AR467 + '01_WHOQOL_Items'!AS467 + '01_WHOQOL_Items'!AT467 + '01_WHOQOL_Items'!AU467)/7)</f>
        <v>16.571428571428573</v>
      </c>
      <c r="E467" s="4">
        <f t="shared" si="105"/>
        <v>78.571428571428584</v>
      </c>
      <c r="F467" s="4">
        <f t="shared" si="106"/>
        <v>78.571428571428584</v>
      </c>
      <c r="G467" s="5">
        <f t="shared" si="107"/>
        <v>0</v>
      </c>
      <c r="H467" s="4">
        <f>4*(('01_WHOQOL_Items'!H467 + '01_WHOQOL_Items'!I467 + '01_WHOQOL_Items'!J467 + '01_WHOQOL_Items'!N467 + '01_WHOQOL_Items'!V467 + (6-'01_WHOQOL_Items'!AC467))/6)</f>
        <v>10</v>
      </c>
      <c r="I467" s="4">
        <f>4*(('01_WHOQOL_Items'!AH467 + '01_WHOQOL_Items'!AI467 + '01_WHOQOL_Items'!AJ467 + '01_WHOQOL_Items'!AN467 + '01_WHOQOL_Items'!AV467 + (6-'01_WHOQOL_Items'!BC467))/6)</f>
        <v>10</v>
      </c>
      <c r="J467" s="4">
        <f t="shared" si="108"/>
        <v>37.5</v>
      </c>
      <c r="K467" s="4">
        <f t="shared" si="109"/>
        <v>37.5</v>
      </c>
      <c r="L467" s="5">
        <f t="shared" si="110"/>
        <v>0</v>
      </c>
      <c r="M467" s="4">
        <f>4*(('01_WHOQOL_Items'!W467 + '01_WHOQOL_Items'!X467 + '01_WHOQOL_Items'!Y467)/3)</f>
        <v>16</v>
      </c>
      <c r="N467" s="4">
        <f>4*(('01_WHOQOL_Items'!AW467 + '01_WHOQOL_Items'!AX467 + '01_WHOQOL_Items'!AY467)/3)</f>
        <v>14.666666666666666</v>
      </c>
      <c r="O467" s="4">
        <f t="shared" si="111"/>
        <v>75</v>
      </c>
      <c r="P467" s="4">
        <f t="shared" si="112"/>
        <v>66.666666666666657</v>
      </c>
      <c r="Q467" s="5">
        <f t="shared" si="113"/>
        <v>-0.11111111111111124</v>
      </c>
      <c r="R467" s="4">
        <f>4*(('01_WHOQOL_Items'!K467 + '01_WHOQOL_Items'!L467 + '01_WHOQOL_Items'!O467 + '01_WHOQOL_Items'!P467 + '01_WHOQOL_Items'!Q467 + '01_WHOQOL_Items'!Z467 + '01_WHOQOL_Items'!AA467 + '01_WHOQOL_Items'!AB467)/8)</f>
        <v>9.5</v>
      </c>
      <c r="S467" s="4">
        <f>4*(('01_WHOQOL_Items'!AK467 + '01_WHOQOL_Items'!AL467 + '01_WHOQOL_Items'!AO467 + '01_WHOQOL_Items'!AP467 + '01_WHOQOL_Items'!AQ467 + '01_WHOQOL_Items'!AZ467 + '01_WHOQOL_Items'!BA467 + '01_WHOQOL_Items'!BB467)/8)</f>
        <v>9</v>
      </c>
      <c r="T467" s="4">
        <f t="shared" si="114"/>
        <v>34.375</v>
      </c>
      <c r="U467" s="4">
        <f t="shared" si="115"/>
        <v>31.25</v>
      </c>
      <c r="V467" s="5">
        <f t="shared" si="116"/>
        <v>-9.0909090909090912E-2</v>
      </c>
      <c r="W467" s="4">
        <f t="shared" si="117"/>
        <v>56.361607142857146</v>
      </c>
      <c r="X467" s="4">
        <f t="shared" si="118"/>
        <v>53.49702380952381</v>
      </c>
      <c r="Y467" s="5">
        <f t="shared" si="119"/>
        <v>-5.0825082508250866E-2</v>
      </c>
      <c r="Z467" s="1">
        <f>'01_WHOQOL_Items'!D467</f>
        <v>4</v>
      </c>
      <c r="AA467" s="1">
        <f>'01_WHOQOL_Items'!AD467</f>
        <v>4</v>
      </c>
      <c r="AB467" s="1">
        <f>'01_WHOQOL_Items'!E467</f>
        <v>4</v>
      </c>
      <c r="AC467" s="1">
        <f>'01_WHOQOL_Items'!AE467</f>
        <v>5</v>
      </c>
    </row>
    <row r="468" spans="1:29">
      <c r="A468" s="1" t="str">
        <f>'01_WHOQOL_Items'!A468</f>
        <v>CON-186</v>
      </c>
      <c r="B468" s="1" t="str">
        <f>'01_WHOQOL_Items'!B468</f>
        <v>Control</v>
      </c>
      <c r="C468" s="4">
        <f>4*(((6-'01_WHOQOL_Items'!F468) + (6-'01_WHOQOL_Items'!G468) + '01_WHOQOL_Items'!M468 + '01_WHOQOL_Items'!R468 + '01_WHOQOL_Items'!S468 + '01_WHOQOL_Items'!T468 + '01_WHOQOL_Items'!U468)/7)</f>
        <v>12</v>
      </c>
      <c r="D468" s="4">
        <f>4*(((6-'01_WHOQOL_Items'!AF468) + (6-'01_WHOQOL_Items'!AG468) + '01_WHOQOL_Items'!AM468 + '01_WHOQOL_Items'!AR468 + '01_WHOQOL_Items'!AS468 + '01_WHOQOL_Items'!AT468 + '01_WHOQOL_Items'!AU468)/7)</f>
        <v>12.571428571428571</v>
      </c>
      <c r="E468" s="4">
        <f t="shared" si="105"/>
        <v>50</v>
      </c>
      <c r="F468" s="4">
        <f t="shared" si="106"/>
        <v>53.571428571428569</v>
      </c>
      <c r="G468" s="5">
        <f t="shared" si="107"/>
        <v>7.1428571428571383E-2</v>
      </c>
      <c r="H468" s="4">
        <f>4*(('01_WHOQOL_Items'!H468 + '01_WHOQOL_Items'!I468 + '01_WHOQOL_Items'!J468 + '01_WHOQOL_Items'!N468 + '01_WHOQOL_Items'!V468 + (6-'01_WHOQOL_Items'!AC468))/6)</f>
        <v>12.666666666666666</v>
      </c>
      <c r="I468" s="4">
        <f>4*(('01_WHOQOL_Items'!AH468 + '01_WHOQOL_Items'!AI468 + '01_WHOQOL_Items'!AJ468 + '01_WHOQOL_Items'!AN468 + '01_WHOQOL_Items'!AV468 + (6-'01_WHOQOL_Items'!BC468))/6)</f>
        <v>13.333333333333334</v>
      </c>
      <c r="J468" s="4">
        <f t="shared" si="108"/>
        <v>54.166666666666664</v>
      </c>
      <c r="K468" s="4">
        <f t="shared" si="109"/>
        <v>58.333333333333336</v>
      </c>
      <c r="L468" s="5">
        <f t="shared" si="110"/>
        <v>7.6923076923077011E-2</v>
      </c>
      <c r="M468" s="4">
        <f>4*(('01_WHOQOL_Items'!W468 + '01_WHOQOL_Items'!X468 + '01_WHOQOL_Items'!Y468)/3)</f>
        <v>9.3333333333333339</v>
      </c>
      <c r="N468" s="4">
        <f>4*(('01_WHOQOL_Items'!AW468 + '01_WHOQOL_Items'!AX468 + '01_WHOQOL_Items'!AY468)/3)</f>
        <v>8</v>
      </c>
      <c r="O468" s="4">
        <f t="shared" si="111"/>
        <v>33.333333333333336</v>
      </c>
      <c r="P468" s="4">
        <f t="shared" si="112"/>
        <v>25</v>
      </c>
      <c r="Q468" s="5">
        <f t="shared" si="113"/>
        <v>-0.25000000000000006</v>
      </c>
      <c r="R468" s="4">
        <f>4*(('01_WHOQOL_Items'!K468 + '01_WHOQOL_Items'!L468 + '01_WHOQOL_Items'!O468 + '01_WHOQOL_Items'!P468 + '01_WHOQOL_Items'!Q468 + '01_WHOQOL_Items'!Z468 + '01_WHOQOL_Items'!AA468 + '01_WHOQOL_Items'!AB468)/8)</f>
        <v>10.5</v>
      </c>
      <c r="S468" s="4">
        <f>4*(('01_WHOQOL_Items'!AK468 + '01_WHOQOL_Items'!AL468 + '01_WHOQOL_Items'!AO468 + '01_WHOQOL_Items'!AP468 + '01_WHOQOL_Items'!AQ468 + '01_WHOQOL_Items'!AZ468 + '01_WHOQOL_Items'!BA468 + '01_WHOQOL_Items'!BB468)/8)</f>
        <v>13.5</v>
      </c>
      <c r="T468" s="4">
        <f t="shared" si="114"/>
        <v>40.625</v>
      </c>
      <c r="U468" s="4">
        <f t="shared" si="115"/>
        <v>59.375</v>
      </c>
      <c r="V468" s="5">
        <f t="shared" si="116"/>
        <v>0.46153846153846156</v>
      </c>
      <c r="W468" s="4">
        <f t="shared" si="117"/>
        <v>44.53125</v>
      </c>
      <c r="X468" s="4">
        <f t="shared" si="118"/>
        <v>49.069940476190474</v>
      </c>
      <c r="Y468" s="5">
        <f t="shared" si="119"/>
        <v>0.10192147034252294</v>
      </c>
      <c r="Z468" s="1">
        <f>'01_WHOQOL_Items'!D468</f>
        <v>3</v>
      </c>
      <c r="AA468" s="1">
        <f>'01_WHOQOL_Items'!AD468</f>
        <v>3</v>
      </c>
      <c r="AB468" s="1">
        <f>'01_WHOQOL_Items'!E468</f>
        <v>3</v>
      </c>
      <c r="AC468" s="1">
        <f>'01_WHOQOL_Items'!AE468</f>
        <v>3</v>
      </c>
    </row>
    <row r="469" spans="1:29">
      <c r="A469" s="1" t="str">
        <f>'01_WHOQOL_Items'!A469</f>
        <v>CON-187</v>
      </c>
      <c r="B469" s="1" t="str">
        <f>'01_WHOQOL_Items'!B469</f>
        <v>Control</v>
      </c>
      <c r="C469" s="4">
        <f>4*(((6-'01_WHOQOL_Items'!F469) + (6-'01_WHOQOL_Items'!G469) + '01_WHOQOL_Items'!M469 + '01_WHOQOL_Items'!R469 + '01_WHOQOL_Items'!S469 + '01_WHOQOL_Items'!T469 + '01_WHOQOL_Items'!U469)/7)</f>
        <v>8.5714285714285712</v>
      </c>
      <c r="D469" s="4">
        <f>4*(((6-'01_WHOQOL_Items'!AF469) + (6-'01_WHOQOL_Items'!AG469) + '01_WHOQOL_Items'!AM469 + '01_WHOQOL_Items'!AR469 + '01_WHOQOL_Items'!AS469 + '01_WHOQOL_Items'!AT469 + '01_WHOQOL_Items'!AU469)/7)</f>
        <v>9.1428571428571423</v>
      </c>
      <c r="E469" s="4">
        <f t="shared" si="105"/>
        <v>28.571428571428569</v>
      </c>
      <c r="F469" s="4">
        <f t="shared" si="106"/>
        <v>32.142857142857139</v>
      </c>
      <c r="G469" s="5">
        <f t="shared" si="107"/>
        <v>0.12499999999999994</v>
      </c>
      <c r="H469" s="4">
        <f>4*(('01_WHOQOL_Items'!H469 + '01_WHOQOL_Items'!I469 + '01_WHOQOL_Items'!J469 + '01_WHOQOL_Items'!N469 + '01_WHOQOL_Items'!V469 + (6-'01_WHOQOL_Items'!AC469))/6)</f>
        <v>11.333333333333334</v>
      </c>
      <c r="I469" s="4">
        <f>4*(('01_WHOQOL_Items'!AH469 + '01_WHOQOL_Items'!AI469 + '01_WHOQOL_Items'!AJ469 + '01_WHOQOL_Items'!AN469 + '01_WHOQOL_Items'!AV469 + (6-'01_WHOQOL_Items'!BC469))/6)</f>
        <v>10</v>
      </c>
      <c r="J469" s="4">
        <f t="shared" si="108"/>
        <v>45.833333333333336</v>
      </c>
      <c r="K469" s="4">
        <f t="shared" si="109"/>
        <v>37.5</v>
      </c>
      <c r="L469" s="5">
        <f t="shared" si="110"/>
        <v>-0.18181818181818185</v>
      </c>
      <c r="M469" s="4">
        <f>4*(('01_WHOQOL_Items'!W469 + '01_WHOQOL_Items'!X469 + '01_WHOQOL_Items'!Y469)/3)</f>
        <v>10.666666666666666</v>
      </c>
      <c r="N469" s="4">
        <f>4*(('01_WHOQOL_Items'!AW469 + '01_WHOQOL_Items'!AX469 + '01_WHOQOL_Items'!AY469)/3)</f>
        <v>10.666666666666666</v>
      </c>
      <c r="O469" s="4">
        <f t="shared" si="111"/>
        <v>41.666666666666664</v>
      </c>
      <c r="P469" s="4">
        <f t="shared" si="112"/>
        <v>41.666666666666664</v>
      </c>
      <c r="Q469" s="5">
        <f t="shared" si="113"/>
        <v>0</v>
      </c>
      <c r="R469" s="4">
        <f>4*(('01_WHOQOL_Items'!K469 + '01_WHOQOL_Items'!L469 + '01_WHOQOL_Items'!O469 + '01_WHOQOL_Items'!P469 + '01_WHOQOL_Items'!Q469 + '01_WHOQOL_Items'!Z469 + '01_WHOQOL_Items'!AA469 + '01_WHOQOL_Items'!AB469)/8)</f>
        <v>15.5</v>
      </c>
      <c r="S469" s="4">
        <f>4*(('01_WHOQOL_Items'!AK469 + '01_WHOQOL_Items'!AL469 + '01_WHOQOL_Items'!AO469 + '01_WHOQOL_Items'!AP469 + '01_WHOQOL_Items'!AQ469 + '01_WHOQOL_Items'!AZ469 + '01_WHOQOL_Items'!BA469 + '01_WHOQOL_Items'!BB469)/8)</f>
        <v>16</v>
      </c>
      <c r="T469" s="4">
        <f t="shared" si="114"/>
        <v>71.875</v>
      </c>
      <c r="U469" s="4">
        <f t="shared" si="115"/>
        <v>75</v>
      </c>
      <c r="V469" s="5">
        <f t="shared" si="116"/>
        <v>4.3478260869565216E-2</v>
      </c>
      <c r="W469" s="4">
        <f t="shared" si="117"/>
        <v>46.986607142857139</v>
      </c>
      <c r="X469" s="4">
        <f t="shared" si="118"/>
        <v>46.577380952380949</v>
      </c>
      <c r="Y469" s="5">
        <f t="shared" si="119"/>
        <v>-8.7094220110847057E-3</v>
      </c>
      <c r="Z469" s="1">
        <f>'01_WHOQOL_Items'!D469</f>
        <v>3</v>
      </c>
      <c r="AA469" s="1">
        <f>'01_WHOQOL_Items'!AD469</f>
        <v>3</v>
      </c>
      <c r="AB469" s="1">
        <f>'01_WHOQOL_Items'!E469</f>
        <v>3</v>
      </c>
      <c r="AC469" s="1">
        <f>'01_WHOQOL_Items'!AE469</f>
        <v>2</v>
      </c>
    </row>
    <row r="470" spans="1:29">
      <c r="A470" s="1" t="str">
        <f>'01_WHOQOL_Items'!A470</f>
        <v>CON-188</v>
      </c>
      <c r="B470" s="1" t="str">
        <f>'01_WHOQOL_Items'!B470</f>
        <v>Control</v>
      </c>
      <c r="C470" s="4">
        <f>4*(((6-'01_WHOQOL_Items'!F470) + (6-'01_WHOQOL_Items'!G470) + '01_WHOQOL_Items'!M470 + '01_WHOQOL_Items'!R470 + '01_WHOQOL_Items'!S470 + '01_WHOQOL_Items'!T470 + '01_WHOQOL_Items'!U470)/7)</f>
        <v>16</v>
      </c>
      <c r="D470" s="4">
        <f>4*(((6-'01_WHOQOL_Items'!AF470) + (6-'01_WHOQOL_Items'!AG470) + '01_WHOQOL_Items'!AM470 + '01_WHOQOL_Items'!AR470 + '01_WHOQOL_Items'!AS470 + '01_WHOQOL_Items'!AT470 + '01_WHOQOL_Items'!AU470)/7)</f>
        <v>17.142857142857142</v>
      </c>
      <c r="E470" s="4">
        <f t="shared" si="105"/>
        <v>75</v>
      </c>
      <c r="F470" s="4">
        <f t="shared" si="106"/>
        <v>82.142857142857139</v>
      </c>
      <c r="G470" s="5">
        <f t="shared" si="107"/>
        <v>9.5238095238095177E-2</v>
      </c>
      <c r="H470" s="4">
        <f>4*(('01_WHOQOL_Items'!H470 + '01_WHOQOL_Items'!I470 + '01_WHOQOL_Items'!J470 + '01_WHOQOL_Items'!N470 + '01_WHOQOL_Items'!V470 + (6-'01_WHOQOL_Items'!AC470))/6)</f>
        <v>12.666666666666666</v>
      </c>
      <c r="I470" s="4">
        <f>4*(('01_WHOQOL_Items'!AH470 + '01_WHOQOL_Items'!AI470 + '01_WHOQOL_Items'!AJ470 + '01_WHOQOL_Items'!AN470 + '01_WHOQOL_Items'!AV470 + (6-'01_WHOQOL_Items'!BC470))/6)</f>
        <v>12</v>
      </c>
      <c r="J470" s="4">
        <f t="shared" si="108"/>
        <v>54.166666666666664</v>
      </c>
      <c r="K470" s="4">
        <f t="shared" si="109"/>
        <v>50</v>
      </c>
      <c r="L470" s="5">
        <f t="shared" si="110"/>
        <v>-7.6923076923076886E-2</v>
      </c>
      <c r="M470" s="4">
        <f>4*(('01_WHOQOL_Items'!W470 + '01_WHOQOL_Items'!X470 + '01_WHOQOL_Items'!Y470)/3)</f>
        <v>13.333333333333334</v>
      </c>
      <c r="N470" s="4">
        <f>4*(('01_WHOQOL_Items'!AW470 + '01_WHOQOL_Items'!AX470 + '01_WHOQOL_Items'!AY470)/3)</f>
        <v>14.666666666666666</v>
      </c>
      <c r="O470" s="4">
        <f t="shared" si="111"/>
        <v>58.333333333333336</v>
      </c>
      <c r="P470" s="4">
        <f t="shared" si="112"/>
        <v>66.666666666666657</v>
      </c>
      <c r="Q470" s="5">
        <f t="shared" si="113"/>
        <v>0.14285714285714265</v>
      </c>
      <c r="R470" s="4">
        <f>4*(('01_WHOQOL_Items'!K470 + '01_WHOQOL_Items'!L470 + '01_WHOQOL_Items'!O470 + '01_WHOQOL_Items'!P470 + '01_WHOQOL_Items'!Q470 + '01_WHOQOL_Items'!Z470 + '01_WHOQOL_Items'!AA470 + '01_WHOQOL_Items'!AB470)/8)</f>
        <v>10</v>
      </c>
      <c r="S470" s="4">
        <f>4*(('01_WHOQOL_Items'!AK470 + '01_WHOQOL_Items'!AL470 + '01_WHOQOL_Items'!AO470 + '01_WHOQOL_Items'!AP470 + '01_WHOQOL_Items'!AQ470 + '01_WHOQOL_Items'!AZ470 + '01_WHOQOL_Items'!BA470 + '01_WHOQOL_Items'!BB470)/8)</f>
        <v>12</v>
      </c>
      <c r="T470" s="4">
        <f t="shared" si="114"/>
        <v>37.5</v>
      </c>
      <c r="U470" s="4">
        <f t="shared" si="115"/>
        <v>50</v>
      </c>
      <c r="V470" s="5">
        <f t="shared" si="116"/>
        <v>0.33333333333333331</v>
      </c>
      <c r="W470" s="4">
        <f t="shared" si="117"/>
        <v>56.25</v>
      </c>
      <c r="X470" s="4">
        <f t="shared" si="118"/>
        <v>62.202380952380949</v>
      </c>
      <c r="Y470" s="5">
        <f t="shared" si="119"/>
        <v>0.10582010582010576</v>
      </c>
      <c r="Z470" s="1">
        <f>'01_WHOQOL_Items'!D470</f>
        <v>3</v>
      </c>
      <c r="AA470" s="1">
        <f>'01_WHOQOL_Items'!AD470</f>
        <v>3</v>
      </c>
      <c r="AB470" s="1">
        <f>'01_WHOQOL_Items'!E470</f>
        <v>4</v>
      </c>
      <c r="AC470" s="1">
        <f>'01_WHOQOL_Items'!AE470</f>
        <v>4</v>
      </c>
    </row>
    <row r="471" spans="1:29">
      <c r="A471" s="1" t="str">
        <f>'01_WHOQOL_Items'!A471</f>
        <v>CON-189</v>
      </c>
      <c r="B471" s="1" t="str">
        <f>'01_WHOQOL_Items'!B471</f>
        <v>Control</v>
      </c>
      <c r="C471" s="4">
        <f>4*(((6-'01_WHOQOL_Items'!F471) + (6-'01_WHOQOL_Items'!G471) + '01_WHOQOL_Items'!M471 + '01_WHOQOL_Items'!R471 + '01_WHOQOL_Items'!S471 + '01_WHOQOL_Items'!T471 + '01_WHOQOL_Items'!U471)/7)</f>
        <v>12</v>
      </c>
      <c r="D471" s="4">
        <f>4*(((6-'01_WHOQOL_Items'!AF471) + (6-'01_WHOQOL_Items'!AG471) + '01_WHOQOL_Items'!AM471 + '01_WHOQOL_Items'!AR471 + '01_WHOQOL_Items'!AS471 + '01_WHOQOL_Items'!AT471 + '01_WHOQOL_Items'!AU471)/7)</f>
        <v>12</v>
      </c>
      <c r="E471" s="4">
        <f t="shared" si="105"/>
        <v>50</v>
      </c>
      <c r="F471" s="4">
        <f t="shared" si="106"/>
        <v>50</v>
      </c>
      <c r="G471" s="5">
        <f t="shared" si="107"/>
        <v>0</v>
      </c>
      <c r="H471" s="4">
        <f>4*(('01_WHOQOL_Items'!H471 + '01_WHOQOL_Items'!I471 + '01_WHOQOL_Items'!J471 + '01_WHOQOL_Items'!N471 + '01_WHOQOL_Items'!V471 + (6-'01_WHOQOL_Items'!AC471))/6)</f>
        <v>8.6666666666666661</v>
      </c>
      <c r="I471" s="4">
        <f>4*(('01_WHOQOL_Items'!AH471 + '01_WHOQOL_Items'!AI471 + '01_WHOQOL_Items'!AJ471 + '01_WHOQOL_Items'!AN471 + '01_WHOQOL_Items'!AV471 + (6-'01_WHOQOL_Items'!BC471))/6)</f>
        <v>9.3333333333333339</v>
      </c>
      <c r="J471" s="4">
        <f t="shared" si="108"/>
        <v>29.166666666666664</v>
      </c>
      <c r="K471" s="4">
        <f t="shared" si="109"/>
        <v>33.333333333333336</v>
      </c>
      <c r="L471" s="5">
        <f t="shared" si="110"/>
        <v>0.14285714285714304</v>
      </c>
      <c r="M471" s="4">
        <f>4*(('01_WHOQOL_Items'!W471 + '01_WHOQOL_Items'!X471 + '01_WHOQOL_Items'!Y471)/3)</f>
        <v>6.666666666666667</v>
      </c>
      <c r="N471" s="4">
        <f>4*(('01_WHOQOL_Items'!AW471 + '01_WHOQOL_Items'!AX471 + '01_WHOQOL_Items'!AY471)/3)</f>
        <v>6.666666666666667</v>
      </c>
      <c r="O471" s="4">
        <f t="shared" si="111"/>
        <v>16.666666666666668</v>
      </c>
      <c r="P471" s="4">
        <f t="shared" si="112"/>
        <v>16.666666666666668</v>
      </c>
      <c r="Q471" s="5">
        <f t="shared" si="113"/>
        <v>0</v>
      </c>
      <c r="R471" s="4">
        <f>4*(('01_WHOQOL_Items'!K471 + '01_WHOQOL_Items'!L471 + '01_WHOQOL_Items'!O471 + '01_WHOQOL_Items'!P471 + '01_WHOQOL_Items'!Q471 + '01_WHOQOL_Items'!Z471 + '01_WHOQOL_Items'!AA471 + '01_WHOQOL_Items'!AB471)/8)</f>
        <v>15</v>
      </c>
      <c r="S471" s="4">
        <f>4*(('01_WHOQOL_Items'!AK471 + '01_WHOQOL_Items'!AL471 + '01_WHOQOL_Items'!AO471 + '01_WHOQOL_Items'!AP471 + '01_WHOQOL_Items'!AQ471 + '01_WHOQOL_Items'!AZ471 + '01_WHOQOL_Items'!BA471 + '01_WHOQOL_Items'!BB471)/8)</f>
        <v>15</v>
      </c>
      <c r="T471" s="4">
        <f t="shared" si="114"/>
        <v>68.75</v>
      </c>
      <c r="U471" s="4">
        <f t="shared" si="115"/>
        <v>68.75</v>
      </c>
      <c r="V471" s="5">
        <f t="shared" si="116"/>
        <v>0</v>
      </c>
      <c r="W471" s="4">
        <f t="shared" si="117"/>
        <v>41.145833333333329</v>
      </c>
      <c r="X471" s="4">
        <f t="shared" si="118"/>
        <v>42.1875</v>
      </c>
      <c r="Y471" s="5">
        <f t="shared" si="119"/>
        <v>2.5316455696202649E-2</v>
      </c>
      <c r="Z471" s="1">
        <f>'01_WHOQOL_Items'!D471</f>
        <v>3</v>
      </c>
      <c r="AA471" s="1">
        <f>'01_WHOQOL_Items'!AD471</f>
        <v>2</v>
      </c>
      <c r="AB471" s="1">
        <f>'01_WHOQOL_Items'!E471</f>
        <v>3</v>
      </c>
      <c r="AC471" s="1">
        <f>'01_WHOQOL_Items'!AE471</f>
        <v>3</v>
      </c>
    </row>
    <row r="472" spans="1:29">
      <c r="A472" s="1" t="str">
        <f>'01_WHOQOL_Items'!A472</f>
        <v>CON-190</v>
      </c>
      <c r="B472" s="1" t="str">
        <f>'01_WHOQOL_Items'!B472</f>
        <v>Control</v>
      </c>
      <c r="C472" s="4">
        <f>4*(((6-'01_WHOQOL_Items'!F472) + (6-'01_WHOQOL_Items'!G472) + '01_WHOQOL_Items'!M472 + '01_WHOQOL_Items'!R472 + '01_WHOQOL_Items'!S472 + '01_WHOQOL_Items'!T472 + '01_WHOQOL_Items'!U472)/7)</f>
        <v>12</v>
      </c>
      <c r="D472" s="4">
        <f>4*(((6-'01_WHOQOL_Items'!AF472) + (6-'01_WHOQOL_Items'!AG472) + '01_WHOQOL_Items'!AM472 + '01_WHOQOL_Items'!AR472 + '01_WHOQOL_Items'!AS472 + '01_WHOQOL_Items'!AT472 + '01_WHOQOL_Items'!AU472)/7)</f>
        <v>11.428571428571429</v>
      </c>
      <c r="E472" s="4">
        <f t="shared" si="105"/>
        <v>50</v>
      </c>
      <c r="F472" s="4">
        <f t="shared" si="106"/>
        <v>46.428571428571431</v>
      </c>
      <c r="G472" s="5">
        <f t="shared" si="107"/>
        <v>-7.1428571428571383E-2</v>
      </c>
      <c r="H472" s="4">
        <f>4*(('01_WHOQOL_Items'!H472 + '01_WHOQOL_Items'!I472 + '01_WHOQOL_Items'!J472 + '01_WHOQOL_Items'!N472 + '01_WHOQOL_Items'!V472 + (6-'01_WHOQOL_Items'!AC472))/6)</f>
        <v>11.333333333333334</v>
      </c>
      <c r="I472" s="4">
        <f>4*(('01_WHOQOL_Items'!AH472 + '01_WHOQOL_Items'!AI472 + '01_WHOQOL_Items'!AJ472 + '01_WHOQOL_Items'!AN472 + '01_WHOQOL_Items'!AV472 + (6-'01_WHOQOL_Items'!BC472))/6)</f>
        <v>12</v>
      </c>
      <c r="J472" s="4">
        <f t="shared" si="108"/>
        <v>45.833333333333336</v>
      </c>
      <c r="K472" s="4">
        <f t="shared" si="109"/>
        <v>50</v>
      </c>
      <c r="L472" s="5">
        <f t="shared" si="110"/>
        <v>9.0909090909090856E-2</v>
      </c>
      <c r="M472" s="4">
        <f>4*(('01_WHOQOL_Items'!W472 + '01_WHOQOL_Items'!X472 + '01_WHOQOL_Items'!Y472)/3)</f>
        <v>10.666666666666666</v>
      </c>
      <c r="N472" s="4">
        <f>4*(('01_WHOQOL_Items'!AW472 + '01_WHOQOL_Items'!AX472 + '01_WHOQOL_Items'!AY472)/3)</f>
        <v>10.666666666666666</v>
      </c>
      <c r="O472" s="4">
        <f t="shared" si="111"/>
        <v>41.666666666666664</v>
      </c>
      <c r="P472" s="4">
        <f t="shared" si="112"/>
        <v>41.666666666666664</v>
      </c>
      <c r="Q472" s="5">
        <f t="shared" si="113"/>
        <v>0</v>
      </c>
      <c r="R472" s="4">
        <f>4*(('01_WHOQOL_Items'!K472 + '01_WHOQOL_Items'!L472 + '01_WHOQOL_Items'!O472 + '01_WHOQOL_Items'!P472 + '01_WHOQOL_Items'!Q472 + '01_WHOQOL_Items'!Z472 + '01_WHOQOL_Items'!AA472 + '01_WHOQOL_Items'!AB472)/8)</f>
        <v>14.5</v>
      </c>
      <c r="S472" s="4">
        <f>4*(('01_WHOQOL_Items'!AK472 + '01_WHOQOL_Items'!AL472 + '01_WHOQOL_Items'!AO472 + '01_WHOQOL_Items'!AP472 + '01_WHOQOL_Items'!AQ472 + '01_WHOQOL_Items'!AZ472 + '01_WHOQOL_Items'!BA472 + '01_WHOQOL_Items'!BB472)/8)</f>
        <v>14</v>
      </c>
      <c r="T472" s="4">
        <f t="shared" si="114"/>
        <v>65.625</v>
      </c>
      <c r="U472" s="4">
        <f t="shared" si="115"/>
        <v>62.5</v>
      </c>
      <c r="V472" s="5">
        <f t="shared" si="116"/>
        <v>-4.7619047619047616E-2</v>
      </c>
      <c r="W472" s="4">
        <f t="shared" si="117"/>
        <v>50.78125</v>
      </c>
      <c r="X472" s="4">
        <f t="shared" si="118"/>
        <v>50.148809523809526</v>
      </c>
      <c r="Y472" s="5">
        <f t="shared" si="119"/>
        <v>-1.245421245421242E-2</v>
      </c>
      <c r="Z472" s="1">
        <f>'01_WHOQOL_Items'!D472</f>
        <v>3</v>
      </c>
      <c r="AA472" s="1">
        <f>'01_WHOQOL_Items'!AD472</f>
        <v>3</v>
      </c>
      <c r="AB472" s="1">
        <f>'01_WHOQOL_Items'!E472</f>
        <v>3</v>
      </c>
      <c r="AC472" s="1">
        <f>'01_WHOQOL_Items'!AE472</f>
        <v>2</v>
      </c>
    </row>
    <row r="473" spans="1:29">
      <c r="A473" s="1" t="str">
        <f>'01_WHOQOL_Items'!A473</f>
        <v>CON-191</v>
      </c>
      <c r="B473" s="1" t="str">
        <f>'01_WHOQOL_Items'!B473</f>
        <v>Control</v>
      </c>
      <c r="C473" s="4">
        <f>4*(((6-'01_WHOQOL_Items'!F473) + (6-'01_WHOQOL_Items'!G473) + '01_WHOQOL_Items'!M473 + '01_WHOQOL_Items'!R473 + '01_WHOQOL_Items'!S473 + '01_WHOQOL_Items'!T473 + '01_WHOQOL_Items'!U473)/7)</f>
        <v>11.428571428571429</v>
      </c>
      <c r="D473" s="4">
        <f>4*(((6-'01_WHOQOL_Items'!AF473) + (6-'01_WHOQOL_Items'!AG473) + '01_WHOQOL_Items'!AM473 + '01_WHOQOL_Items'!AR473 + '01_WHOQOL_Items'!AS473 + '01_WHOQOL_Items'!AT473 + '01_WHOQOL_Items'!AU473)/7)</f>
        <v>11.428571428571429</v>
      </c>
      <c r="E473" s="4">
        <f t="shared" si="105"/>
        <v>46.428571428571431</v>
      </c>
      <c r="F473" s="4">
        <f t="shared" si="106"/>
        <v>46.428571428571431</v>
      </c>
      <c r="G473" s="5">
        <f t="shared" si="107"/>
        <v>0</v>
      </c>
      <c r="H473" s="4">
        <f>4*(('01_WHOQOL_Items'!H473 + '01_WHOQOL_Items'!I473 + '01_WHOQOL_Items'!J473 + '01_WHOQOL_Items'!N473 + '01_WHOQOL_Items'!V473 + (6-'01_WHOQOL_Items'!AC473))/6)</f>
        <v>13.333333333333334</v>
      </c>
      <c r="I473" s="4">
        <f>4*(('01_WHOQOL_Items'!AH473 + '01_WHOQOL_Items'!AI473 + '01_WHOQOL_Items'!AJ473 + '01_WHOQOL_Items'!AN473 + '01_WHOQOL_Items'!AV473 + (6-'01_WHOQOL_Items'!BC473))/6)</f>
        <v>12</v>
      </c>
      <c r="J473" s="4">
        <f t="shared" si="108"/>
        <v>58.333333333333336</v>
      </c>
      <c r="K473" s="4">
        <f t="shared" si="109"/>
        <v>50</v>
      </c>
      <c r="L473" s="5">
        <f t="shared" si="110"/>
        <v>-0.1428571428571429</v>
      </c>
      <c r="M473" s="4">
        <f>4*(('01_WHOQOL_Items'!W473 + '01_WHOQOL_Items'!X473 + '01_WHOQOL_Items'!Y473)/3)</f>
        <v>10.666666666666666</v>
      </c>
      <c r="N473" s="4">
        <f>4*(('01_WHOQOL_Items'!AW473 + '01_WHOQOL_Items'!AX473 + '01_WHOQOL_Items'!AY473)/3)</f>
        <v>8</v>
      </c>
      <c r="O473" s="4">
        <f t="shared" si="111"/>
        <v>41.666666666666664</v>
      </c>
      <c r="P473" s="4">
        <f t="shared" si="112"/>
        <v>25</v>
      </c>
      <c r="Q473" s="5">
        <f t="shared" si="113"/>
        <v>-0.39999999999999997</v>
      </c>
      <c r="R473" s="4">
        <f>4*(('01_WHOQOL_Items'!K473 + '01_WHOQOL_Items'!L473 + '01_WHOQOL_Items'!O473 + '01_WHOQOL_Items'!P473 + '01_WHOQOL_Items'!Q473 + '01_WHOQOL_Items'!Z473 + '01_WHOQOL_Items'!AA473 + '01_WHOQOL_Items'!AB473)/8)</f>
        <v>12.5</v>
      </c>
      <c r="S473" s="4">
        <f>4*(('01_WHOQOL_Items'!AK473 + '01_WHOQOL_Items'!AL473 + '01_WHOQOL_Items'!AO473 + '01_WHOQOL_Items'!AP473 + '01_WHOQOL_Items'!AQ473 + '01_WHOQOL_Items'!AZ473 + '01_WHOQOL_Items'!BA473 + '01_WHOQOL_Items'!BB473)/8)</f>
        <v>12</v>
      </c>
      <c r="T473" s="4">
        <f t="shared" si="114"/>
        <v>53.125</v>
      </c>
      <c r="U473" s="4">
        <f t="shared" si="115"/>
        <v>50</v>
      </c>
      <c r="V473" s="5">
        <f t="shared" si="116"/>
        <v>-5.8823529411764705E-2</v>
      </c>
      <c r="W473" s="4">
        <f t="shared" si="117"/>
        <v>49.888392857142854</v>
      </c>
      <c r="X473" s="4">
        <f t="shared" si="118"/>
        <v>42.857142857142861</v>
      </c>
      <c r="Y473" s="5">
        <f t="shared" si="119"/>
        <v>-0.14093959731543612</v>
      </c>
      <c r="Z473" s="1">
        <f>'01_WHOQOL_Items'!D473</f>
        <v>2</v>
      </c>
      <c r="AA473" s="1">
        <f>'01_WHOQOL_Items'!AD473</f>
        <v>3</v>
      </c>
      <c r="AB473" s="1">
        <f>'01_WHOQOL_Items'!E473</f>
        <v>2</v>
      </c>
      <c r="AC473" s="1">
        <f>'01_WHOQOL_Items'!AE473</f>
        <v>3</v>
      </c>
    </row>
    <row r="474" spans="1:29">
      <c r="A474" s="1" t="str">
        <f>'01_WHOQOL_Items'!A474</f>
        <v>CON-192</v>
      </c>
      <c r="B474" s="1" t="str">
        <f>'01_WHOQOL_Items'!B474</f>
        <v>Control</v>
      </c>
      <c r="C474" s="4">
        <f>4*(((6-'01_WHOQOL_Items'!F474) + (6-'01_WHOQOL_Items'!G474) + '01_WHOQOL_Items'!M474 + '01_WHOQOL_Items'!R474 + '01_WHOQOL_Items'!S474 + '01_WHOQOL_Items'!T474 + '01_WHOQOL_Items'!U474)/7)</f>
        <v>14.285714285714286</v>
      </c>
      <c r="D474" s="4">
        <f>4*(((6-'01_WHOQOL_Items'!AF474) + (6-'01_WHOQOL_Items'!AG474) + '01_WHOQOL_Items'!AM474 + '01_WHOQOL_Items'!AR474 + '01_WHOQOL_Items'!AS474 + '01_WHOQOL_Items'!AT474 + '01_WHOQOL_Items'!AU474)/7)</f>
        <v>13.142857142857142</v>
      </c>
      <c r="E474" s="4">
        <f t="shared" si="105"/>
        <v>64.285714285714292</v>
      </c>
      <c r="F474" s="4">
        <f t="shared" si="106"/>
        <v>57.142857142857139</v>
      </c>
      <c r="G474" s="5">
        <f t="shared" si="107"/>
        <v>-0.11111111111111126</v>
      </c>
      <c r="H474" s="4">
        <f>4*(('01_WHOQOL_Items'!H474 + '01_WHOQOL_Items'!I474 + '01_WHOQOL_Items'!J474 + '01_WHOQOL_Items'!N474 + '01_WHOQOL_Items'!V474 + (6-'01_WHOQOL_Items'!AC474))/6)</f>
        <v>13.333333333333334</v>
      </c>
      <c r="I474" s="4">
        <f>4*(('01_WHOQOL_Items'!AH474 + '01_WHOQOL_Items'!AI474 + '01_WHOQOL_Items'!AJ474 + '01_WHOQOL_Items'!AN474 + '01_WHOQOL_Items'!AV474 + (6-'01_WHOQOL_Items'!BC474))/6)</f>
        <v>13.333333333333334</v>
      </c>
      <c r="J474" s="4">
        <f t="shared" si="108"/>
        <v>58.333333333333336</v>
      </c>
      <c r="K474" s="4">
        <f t="shared" si="109"/>
        <v>58.333333333333336</v>
      </c>
      <c r="L474" s="5">
        <f t="shared" si="110"/>
        <v>0</v>
      </c>
      <c r="M474" s="4">
        <f>4*(('01_WHOQOL_Items'!W474 + '01_WHOQOL_Items'!X474 + '01_WHOQOL_Items'!Y474)/3)</f>
        <v>9.3333333333333339</v>
      </c>
      <c r="N474" s="4">
        <f>4*(('01_WHOQOL_Items'!AW474 + '01_WHOQOL_Items'!AX474 + '01_WHOQOL_Items'!AY474)/3)</f>
        <v>8</v>
      </c>
      <c r="O474" s="4">
        <f t="shared" si="111"/>
        <v>33.333333333333336</v>
      </c>
      <c r="P474" s="4">
        <f t="shared" si="112"/>
        <v>25</v>
      </c>
      <c r="Q474" s="5">
        <f t="shared" si="113"/>
        <v>-0.25000000000000006</v>
      </c>
      <c r="R474" s="4">
        <f>4*(('01_WHOQOL_Items'!K474 + '01_WHOQOL_Items'!L474 + '01_WHOQOL_Items'!O474 + '01_WHOQOL_Items'!P474 + '01_WHOQOL_Items'!Q474 + '01_WHOQOL_Items'!Z474 + '01_WHOQOL_Items'!AA474 + '01_WHOQOL_Items'!AB474)/8)</f>
        <v>11</v>
      </c>
      <c r="S474" s="4">
        <f>4*(('01_WHOQOL_Items'!AK474 + '01_WHOQOL_Items'!AL474 + '01_WHOQOL_Items'!AO474 + '01_WHOQOL_Items'!AP474 + '01_WHOQOL_Items'!AQ474 + '01_WHOQOL_Items'!AZ474 + '01_WHOQOL_Items'!BA474 + '01_WHOQOL_Items'!BB474)/8)</f>
        <v>11</v>
      </c>
      <c r="T474" s="4">
        <f t="shared" si="114"/>
        <v>43.75</v>
      </c>
      <c r="U474" s="4">
        <f t="shared" si="115"/>
        <v>43.75</v>
      </c>
      <c r="V474" s="5">
        <f t="shared" si="116"/>
        <v>0</v>
      </c>
      <c r="W474" s="4">
        <f t="shared" si="117"/>
        <v>49.925595238095241</v>
      </c>
      <c r="X474" s="4">
        <f t="shared" si="118"/>
        <v>46.05654761904762</v>
      </c>
      <c r="Y474" s="5">
        <f t="shared" si="119"/>
        <v>-7.7496274217585717E-2</v>
      </c>
      <c r="Z474" s="1">
        <f>'01_WHOQOL_Items'!D474</f>
        <v>3</v>
      </c>
      <c r="AA474" s="1">
        <f>'01_WHOQOL_Items'!AD474</f>
        <v>3</v>
      </c>
      <c r="AB474" s="1">
        <f>'01_WHOQOL_Items'!E474</f>
        <v>4</v>
      </c>
      <c r="AC474" s="1">
        <f>'01_WHOQOL_Items'!AE474</f>
        <v>3</v>
      </c>
    </row>
    <row r="475" spans="1:29">
      <c r="A475" s="1" t="str">
        <f>'01_WHOQOL_Items'!A475</f>
        <v>CON-193</v>
      </c>
      <c r="B475" s="1" t="str">
        <f>'01_WHOQOL_Items'!B475</f>
        <v>Control</v>
      </c>
      <c r="C475" s="4">
        <f>4*(((6-'01_WHOQOL_Items'!F475) + (6-'01_WHOQOL_Items'!G475) + '01_WHOQOL_Items'!M475 + '01_WHOQOL_Items'!R475 + '01_WHOQOL_Items'!S475 + '01_WHOQOL_Items'!T475 + '01_WHOQOL_Items'!U475)/7)</f>
        <v>9.1428571428571423</v>
      </c>
      <c r="D475" s="4">
        <f>4*(((6-'01_WHOQOL_Items'!AF475) + (6-'01_WHOQOL_Items'!AG475) + '01_WHOQOL_Items'!AM475 + '01_WHOQOL_Items'!AR475 + '01_WHOQOL_Items'!AS475 + '01_WHOQOL_Items'!AT475 + '01_WHOQOL_Items'!AU475)/7)</f>
        <v>9.1428571428571423</v>
      </c>
      <c r="E475" s="4">
        <f t="shared" si="105"/>
        <v>32.142857142857139</v>
      </c>
      <c r="F475" s="4">
        <f t="shared" si="106"/>
        <v>32.142857142857139</v>
      </c>
      <c r="G475" s="5">
        <f t="shared" si="107"/>
        <v>0</v>
      </c>
      <c r="H475" s="4">
        <f>4*(('01_WHOQOL_Items'!H475 + '01_WHOQOL_Items'!I475 + '01_WHOQOL_Items'!J475 + '01_WHOQOL_Items'!N475 + '01_WHOQOL_Items'!V475 + (6-'01_WHOQOL_Items'!AC475))/6)</f>
        <v>12.666666666666666</v>
      </c>
      <c r="I475" s="4">
        <f>4*(('01_WHOQOL_Items'!AH475 + '01_WHOQOL_Items'!AI475 + '01_WHOQOL_Items'!AJ475 + '01_WHOQOL_Items'!AN475 + '01_WHOQOL_Items'!AV475 + (6-'01_WHOQOL_Items'!BC475))/6)</f>
        <v>11.333333333333334</v>
      </c>
      <c r="J475" s="4">
        <f t="shared" si="108"/>
        <v>54.166666666666664</v>
      </c>
      <c r="K475" s="4">
        <f t="shared" si="109"/>
        <v>45.833333333333336</v>
      </c>
      <c r="L475" s="5">
        <f t="shared" si="110"/>
        <v>-0.15384615384615377</v>
      </c>
      <c r="M475" s="4">
        <f>4*(('01_WHOQOL_Items'!W475 + '01_WHOQOL_Items'!X475 + '01_WHOQOL_Items'!Y475)/3)</f>
        <v>13.333333333333334</v>
      </c>
      <c r="N475" s="4">
        <f>4*(('01_WHOQOL_Items'!AW475 + '01_WHOQOL_Items'!AX475 + '01_WHOQOL_Items'!AY475)/3)</f>
        <v>12</v>
      </c>
      <c r="O475" s="4">
        <f t="shared" si="111"/>
        <v>58.333333333333336</v>
      </c>
      <c r="P475" s="4">
        <f t="shared" si="112"/>
        <v>50</v>
      </c>
      <c r="Q475" s="5">
        <f t="shared" si="113"/>
        <v>-0.1428571428571429</v>
      </c>
      <c r="R475" s="4">
        <f>4*(('01_WHOQOL_Items'!K475 + '01_WHOQOL_Items'!L475 + '01_WHOQOL_Items'!O475 + '01_WHOQOL_Items'!P475 + '01_WHOQOL_Items'!Q475 + '01_WHOQOL_Items'!Z475 + '01_WHOQOL_Items'!AA475 + '01_WHOQOL_Items'!AB475)/8)</f>
        <v>15.5</v>
      </c>
      <c r="S475" s="4">
        <f>4*(('01_WHOQOL_Items'!AK475 + '01_WHOQOL_Items'!AL475 + '01_WHOQOL_Items'!AO475 + '01_WHOQOL_Items'!AP475 + '01_WHOQOL_Items'!AQ475 + '01_WHOQOL_Items'!AZ475 + '01_WHOQOL_Items'!BA475 + '01_WHOQOL_Items'!BB475)/8)</f>
        <v>15.5</v>
      </c>
      <c r="T475" s="4">
        <f t="shared" si="114"/>
        <v>71.875</v>
      </c>
      <c r="U475" s="4">
        <f t="shared" si="115"/>
        <v>71.875</v>
      </c>
      <c r="V475" s="5">
        <f t="shared" si="116"/>
        <v>0</v>
      </c>
      <c r="W475" s="4">
        <f t="shared" si="117"/>
        <v>54.129464285714285</v>
      </c>
      <c r="X475" s="4">
        <f t="shared" si="118"/>
        <v>49.96279761904762</v>
      </c>
      <c r="Y475" s="5">
        <f t="shared" si="119"/>
        <v>-7.6975945017182093E-2</v>
      </c>
      <c r="Z475" s="1">
        <f>'01_WHOQOL_Items'!D475</f>
        <v>3</v>
      </c>
      <c r="AA475" s="1">
        <f>'01_WHOQOL_Items'!AD475</f>
        <v>3</v>
      </c>
      <c r="AB475" s="1">
        <f>'01_WHOQOL_Items'!E475</f>
        <v>2</v>
      </c>
      <c r="AC475" s="1">
        <f>'01_WHOQOL_Items'!AE475</f>
        <v>2</v>
      </c>
    </row>
    <row r="476" spans="1:29">
      <c r="A476" s="1" t="str">
        <f>'01_WHOQOL_Items'!A476</f>
        <v>CON-194</v>
      </c>
      <c r="B476" s="1" t="str">
        <f>'01_WHOQOL_Items'!B476</f>
        <v>Control</v>
      </c>
      <c r="C476" s="4">
        <f>4*(((6-'01_WHOQOL_Items'!F476) + (6-'01_WHOQOL_Items'!G476) + '01_WHOQOL_Items'!M476 + '01_WHOQOL_Items'!R476 + '01_WHOQOL_Items'!S476 + '01_WHOQOL_Items'!T476 + '01_WHOQOL_Items'!U476)/7)</f>
        <v>9.1428571428571423</v>
      </c>
      <c r="D476" s="4">
        <f>4*(((6-'01_WHOQOL_Items'!AF476) + (6-'01_WHOQOL_Items'!AG476) + '01_WHOQOL_Items'!AM476 + '01_WHOQOL_Items'!AR476 + '01_WHOQOL_Items'!AS476 + '01_WHOQOL_Items'!AT476 + '01_WHOQOL_Items'!AU476)/7)</f>
        <v>9.7142857142857135</v>
      </c>
      <c r="E476" s="4">
        <f t="shared" si="105"/>
        <v>32.142857142857139</v>
      </c>
      <c r="F476" s="4">
        <f t="shared" si="106"/>
        <v>35.714285714285708</v>
      </c>
      <c r="G476" s="5">
        <f t="shared" si="107"/>
        <v>0.11111111111111106</v>
      </c>
      <c r="H476" s="4">
        <f>4*(('01_WHOQOL_Items'!H476 + '01_WHOQOL_Items'!I476 + '01_WHOQOL_Items'!J476 + '01_WHOQOL_Items'!N476 + '01_WHOQOL_Items'!V476 + (6-'01_WHOQOL_Items'!AC476))/6)</f>
        <v>13.333333333333334</v>
      </c>
      <c r="I476" s="4">
        <f>4*(('01_WHOQOL_Items'!AH476 + '01_WHOQOL_Items'!AI476 + '01_WHOQOL_Items'!AJ476 + '01_WHOQOL_Items'!AN476 + '01_WHOQOL_Items'!AV476 + (6-'01_WHOQOL_Items'!BC476))/6)</f>
        <v>11.333333333333334</v>
      </c>
      <c r="J476" s="4">
        <f t="shared" si="108"/>
        <v>58.333333333333336</v>
      </c>
      <c r="K476" s="4">
        <f t="shared" si="109"/>
        <v>45.833333333333336</v>
      </c>
      <c r="L476" s="5">
        <f t="shared" si="110"/>
        <v>-0.21428571428571427</v>
      </c>
      <c r="M476" s="4">
        <f>4*(('01_WHOQOL_Items'!W476 + '01_WHOQOL_Items'!X476 + '01_WHOQOL_Items'!Y476)/3)</f>
        <v>12</v>
      </c>
      <c r="N476" s="4">
        <f>4*(('01_WHOQOL_Items'!AW476 + '01_WHOQOL_Items'!AX476 + '01_WHOQOL_Items'!AY476)/3)</f>
        <v>13.333333333333334</v>
      </c>
      <c r="O476" s="4">
        <f t="shared" si="111"/>
        <v>50</v>
      </c>
      <c r="P476" s="4">
        <f t="shared" si="112"/>
        <v>58.333333333333336</v>
      </c>
      <c r="Q476" s="5">
        <f t="shared" si="113"/>
        <v>0.16666666666666671</v>
      </c>
      <c r="R476" s="4">
        <f>4*(('01_WHOQOL_Items'!K476 + '01_WHOQOL_Items'!L476 + '01_WHOQOL_Items'!O476 + '01_WHOQOL_Items'!P476 + '01_WHOQOL_Items'!Q476 + '01_WHOQOL_Items'!Z476 + '01_WHOQOL_Items'!AA476 + '01_WHOQOL_Items'!AB476)/8)</f>
        <v>12.5</v>
      </c>
      <c r="S476" s="4">
        <f>4*(('01_WHOQOL_Items'!AK476 + '01_WHOQOL_Items'!AL476 + '01_WHOQOL_Items'!AO476 + '01_WHOQOL_Items'!AP476 + '01_WHOQOL_Items'!AQ476 + '01_WHOQOL_Items'!AZ476 + '01_WHOQOL_Items'!BA476 + '01_WHOQOL_Items'!BB476)/8)</f>
        <v>12.5</v>
      </c>
      <c r="T476" s="4">
        <f t="shared" si="114"/>
        <v>53.125</v>
      </c>
      <c r="U476" s="4">
        <f t="shared" si="115"/>
        <v>53.125</v>
      </c>
      <c r="V476" s="5">
        <f t="shared" si="116"/>
        <v>0</v>
      </c>
      <c r="W476" s="4">
        <f t="shared" si="117"/>
        <v>48.40029761904762</v>
      </c>
      <c r="X476" s="4">
        <f t="shared" si="118"/>
        <v>48.251488095238095</v>
      </c>
      <c r="Y476" s="5">
        <f t="shared" si="119"/>
        <v>-3.074558032282894E-3</v>
      </c>
      <c r="Z476" s="1">
        <f>'01_WHOQOL_Items'!D476</f>
        <v>2</v>
      </c>
      <c r="AA476" s="1">
        <f>'01_WHOQOL_Items'!AD476</f>
        <v>4</v>
      </c>
      <c r="AB476" s="1">
        <f>'01_WHOQOL_Items'!E476</f>
        <v>3</v>
      </c>
      <c r="AC476" s="1">
        <f>'01_WHOQOL_Items'!AE476</f>
        <v>3</v>
      </c>
    </row>
    <row r="477" spans="1:29">
      <c r="A477" s="1" t="str">
        <f>'01_WHOQOL_Items'!A477</f>
        <v>CON-195</v>
      </c>
      <c r="B477" s="1" t="str">
        <f>'01_WHOQOL_Items'!B477</f>
        <v>Control</v>
      </c>
      <c r="C477" s="4">
        <f>4*(((6-'01_WHOQOL_Items'!F477) + (6-'01_WHOQOL_Items'!G477) + '01_WHOQOL_Items'!M477 + '01_WHOQOL_Items'!R477 + '01_WHOQOL_Items'!S477 + '01_WHOQOL_Items'!T477 + '01_WHOQOL_Items'!U477)/7)</f>
        <v>15.428571428571429</v>
      </c>
      <c r="D477" s="4">
        <f>4*(((6-'01_WHOQOL_Items'!AF477) + (6-'01_WHOQOL_Items'!AG477) + '01_WHOQOL_Items'!AM477 + '01_WHOQOL_Items'!AR477 + '01_WHOQOL_Items'!AS477 + '01_WHOQOL_Items'!AT477 + '01_WHOQOL_Items'!AU477)/7)</f>
        <v>13.714285714285714</v>
      </c>
      <c r="E477" s="4">
        <f t="shared" si="105"/>
        <v>71.428571428571431</v>
      </c>
      <c r="F477" s="4">
        <f t="shared" si="106"/>
        <v>60.714285714285708</v>
      </c>
      <c r="G477" s="5">
        <f t="shared" si="107"/>
        <v>-0.15000000000000011</v>
      </c>
      <c r="H477" s="4">
        <f>4*(('01_WHOQOL_Items'!H477 + '01_WHOQOL_Items'!I477 + '01_WHOQOL_Items'!J477 + '01_WHOQOL_Items'!N477 + '01_WHOQOL_Items'!V477 + (6-'01_WHOQOL_Items'!AC477))/6)</f>
        <v>12.666666666666666</v>
      </c>
      <c r="I477" s="4">
        <f>4*(('01_WHOQOL_Items'!AH477 + '01_WHOQOL_Items'!AI477 + '01_WHOQOL_Items'!AJ477 + '01_WHOQOL_Items'!AN477 + '01_WHOQOL_Items'!AV477 + (6-'01_WHOQOL_Items'!BC477))/6)</f>
        <v>11.333333333333334</v>
      </c>
      <c r="J477" s="4">
        <f t="shared" si="108"/>
        <v>54.166666666666664</v>
      </c>
      <c r="K477" s="4">
        <f t="shared" si="109"/>
        <v>45.833333333333336</v>
      </c>
      <c r="L477" s="5">
        <f t="shared" si="110"/>
        <v>-0.15384615384615377</v>
      </c>
      <c r="M477" s="4">
        <f>4*(('01_WHOQOL_Items'!W477 + '01_WHOQOL_Items'!X477 + '01_WHOQOL_Items'!Y477)/3)</f>
        <v>12</v>
      </c>
      <c r="N477" s="4">
        <f>4*(('01_WHOQOL_Items'!AW477 + '01_WHOQOL_Items'!AX477 + '01_WHOQOL_Items'!AY477)/3)</f>
        <v>9.3333333333333339</v>
      </c>
      <c r="O477" s="4">
        <f t="shared" si="111"/>
        <v>50</v>
      </c>
      <c r="P477" s="4">
        <f t="shared" si="112"/>
        <v>33.333333333333336</v>
      </c>
      <c r="Q477" s="5">
        <f t="shared" si="113"/>
        <v>-0.33333333333333326</v>
      </c>
      <c r="R477" s="4">
        <f>4*(('01_WHOQOL_Items'!K477 + '01_WHOQOL_Items'!L477 + '01_WHOQOL_Items'!O477 + '01_WHOQOL_Items'!P477 + '01_WHOQOL_Items'!Q477 + '01_WHOQOL_Items'!Z477 + '01_WHOQOL_Items'!AA477 + '01_WHOQOL_Items'!AB477)/8)</f>
        <v>9</v>
      </c>
      <c r="S477" s="4">
        <f>4*(('01_WHOQOL_Items'!AK477 + '01_WHOQOL_Items'!AL477 + '01_WHOQOL_Items'!AO477 + '01_WHOQOL_Items'!AP477 + '01_WHOQOL_Items'!AQ477 + '01_WHOQOL_Items'!AZ477 + '01_WHOQOL_Items'!BA477 + '01_WHOQOL_Items'!BB477)/8)</f>
        <v>9</v>
      </c>
      <c r="T477" s="4">
        <f t="shared" si="114"/>
        <v>31.25</v>
      </c>
      <c r="U477" s="4">
        <f t="shared" si="115"/>
        <v>31.25</v>
      </c>
      <c r="V477" s="5">
        <f t="shared" si="116"/>
        <v>0</v>
      </c>
      <c r="W477" s="4">
        <f t="shared" si="117"/>
        <v>51.711309523809526</v>
      </c>
      <c r="X477" s="4">
        <f t="shared" si="118"/>
        <v>42.782738095238095</v>
      </c>
      <c r="Y477" s="5">
        <f t="shared" si="119"/>
        <v>-0.17266187050359716</v>
      </c>
      <c r="Z477" s="1">
        <f>'01_WHOQOL_Items'!D477</f>
        <v>2</v>
      </c>
      <c r="AA477" s="1">
        <f>'01_WHOQOL_Items'!AD477</f>
        <v>3</v>
      </c>
      <c r="AB477" s="1">
        <f>'01_WHOQOL_Items'!E477</f>
        <v>3</v>
      </c>
      <c r="AC477" s="1">
        <f>'01_WHOQOL_Items'!AE477</f>
        <v>3</v>
      </c>
    </row>
    <row r="478" spans="1:29">
      <c r="A478" s="1" t="str">
        <f>'01_WHOQOL_Items'!A478</f>
        <v>CON-196</v>
      </c>
      <c r="B478" s="1" t="str">
        <f>'01_WHOQOL_Items'!B478</f>
        <v>Control</v>
      </c>
      <c r="C478" s="4">
        <f>4*(((6-'01_WHOQOL_Items'!F478) + (6-'01_WHOQOL_Items'!G478) + '01_WHOQOL_Items'!M478 + '01_WHOQOL_Items'!R478 + '01_WHOQOL_Items'!S478 + '01_WHOQOL_Items'!T478 + '01_WHOQOL_Items'!U478)/7)</f>
        <v>14.857142857142858</v>
      </c>
      <c r="D478" s="4">
        <f>4*(((6-'01_WHOQOL_Items'!AF478) + (6-'01_WHOQOL_Items'!AG478) + '01_WHOQOL_Items'!AM478 + '01_WHOQOL_Items'!AR478 + '01_WHOQOL_Items'!AS478 + '01_WHOQOL_Items'!AT478 + '01_WHOQOL_Items'!AU478)/7)</f>
        <v>16</v>
      </c>
      <c r="E478" s="4">
        <f t="shared" si="105"/>
        <v>67.857142857142861</v>
      </c>
      <c r="F478" s="4">
        <f t="shared" si="106"/>
        <v>75</v>
      </c>
      <c r="G478" s="5">
        <f t="shared" si="107"/>
        <v>0.10526315789473678</v>
      </c>
      <c r="H478" s="4">
        <f>4*(('01_WHOQOL_Items'!H478 + '01_WHOQOL_Items'!I478 + '01_WHOQOL_Items'!J478 + '01_WHOQOL_Items'!N478 + '01_WHOQOL_Items'!V478 + (6-'01_WHOQOL_Items'!AC478))/6)</f>
        <v>14.666666666666666</v>
      </c>
      <c r="I478" s="4">
        <f>4*(('01_WHOQOL_Items'!AH478 + '01_WHOQOL_Items'!AI478 + '01_WHOQOL_Items'!AJ478 + '01_WHOQOL_Items'!AN478 + '01_WHOQOL_Items'!AV478 + (6-'01_WHOQOL_Items'!BC478))/6)</f>
        <v>14</v>
      </c>
      <c r="J478" s="4">
        <f t="shared" si="108"/>
        <v>66.666666666666657</v>
      </c>
      <c r="K478" s="4">
        <f t="shared" si="109"/>
        <v>62.5</v>
      </c>
      <c r="L478" s="5">
        <f t="shared" si="110"/>
        <v>-6.2499999999999868E-2</v>
      </c>
      <c r="M478" s="4">
        <f>4*(('01_WHOQOL_Items'!W478 + '01_WHOQOL_Items'!X478 + '01_WHOQOL_Items'!Y478)/3)</f>
        <v>10.666666666666666</v>
      </c>
      <c r="N478" s="4">
        <f>4*(('01_WHOQOL_Items'!AW478 + '01_WHOQOL_Items'!AX478 + '01_WHOQOL_Items'!AY478)/3)</f>
        <v>10.666666666666666</v>
      </c>
      <c r="O478" s="4">
        <f t="shared" si="111"/>
        <v>41.666666666666664</v>
      </c>
      <c r="P478" s="4">
        <f t="shared" si="112"/>
        <v>41.666666666666664</v>
      </c>
      <c r="Q478" s="5">
        <f t="shared" si="113"/>
        <v>0</v>
      </c>
      <c r="R478" s="4">
        <f>4*(('01_WHOQOL_Items'!K478 + '01_WHOQOL_Items'!L478 + '01_WHOQOL_Items'!O478 + '01_WHOQOL_Items'!P478 + '01_WHOQOL_Items'!Q478 + '01_WHOQOL_Items'!Z478 + '01_WHOQOL_Items'!AA478 + '01_WHOQOL_Items'!AB478)/8)</f>
        <v>10</v>
      </c>
      <c r="S478" s="4">
        <f>4*(('01_WHOQOL_Items'!AK478 + '01_WHOQOL_Items'!AL478 + '01_WHOQOL_Items'!AO478 + '01_WHOQOL_Items'!AP478 + '01_WHOQOL_Items'!AQ478 + '01_WHOQOL_Items'!AZ478 + '01_WHOQOL_Items'!BA478 + '01_WHOQOL_Items'!BB478)/8)</f>
        <v>12.5</v>
      </c>
      <c r="T478" s="4">
        <f t="shared" si="114"/>
        <v>37.5</v>
      </c>
      <c r="U478" s="4">
        <f t="shared" si="115"/>
        <v>53.125</v>
      </c>
      <c r="V478" s="5">
        <f t="shared" si="116"/>
        <v>0.41666666666666669</v>
      </c>
      <c r="W478" s="4">
        <f t="shared" si="117"/>
        <v>53.422619047619044</v>
      </c>
      <c r="X478" s="4">
        <f t="shared" si="118"/>
        <v>58.072916666666664</v>
      </c>
      <c r="Y478" s="5">
        <f t="shared" si="119"/>
        <v>8.7047353760445714E-2</v>
      </c>
      <c r="Z478" s="1">
        <f>'01_WHOQOL_Items'!D478</f>
        <v>4</v>
      </c>
      <c r="AA478" s="1">
        <f>'01_WHOQOL_Items'!AD478</f>
        <v>3</v>
      </c>
      <c r="AB478" s="1">
        <f>'01_WHOQOL_Items'!E478</f>
        <v>4</v>
      </c>
      <c r="AC478" s="1">
        <f>'01_WHOQOL_Items'!AE478</f>
        <v>4</v>
      </c>
    </row>
    <row r="479" spans="1:29">
      <c r="A479" s="1" t="str">
        <f>'01_WHOQOL_Items'!A479</f>
        <v>CON-197</v>
      </c>
      <c r="B479" s="1" t="str">
        <f>'01_WHOQOL_Items'!B479</f>
        <v>Control</v>
      </c>
      <c r="C479" s="4">
        <f>4*(((6-'01_WHOQOL_Items'!F479) + (6-'01_WHOQOL_Items'!G479) + '01_WHOQOL_Items'!M479 + '01_WHOQOL_Items'!R479 + '01_WHOQOL_Items'!S479 + '01_WHOQOL_Items'!T479 + '01_WHOQOL_Items'!U479)/7)</f>
        <v>14.285714285714286</v>
      </c>
      <c r="D479" s="4">
        <f>4*(((6-'01_WHOQOL_Items'!AF479) + (6-'01_WHOQOL_Items'!AG479) + '01_WHOQOL_Items'!AM479 + '01_WHOQOL_Items'!AR479 + '01_WHOQOL_Items'!AS479 + '01_WHOQOL_Items'!AT479 + '01_WHOQOL_Items'!AU479)/7)</f>
        <v>15.428571428571429</v>
      </c>
      <c r="E479" s="4">
        <f t="shared" si="105"/>
        <v>64.285714285714292</v>
      </c>
      <c r="F479" s="4">
        <f t="shared" si="106"/>
        <v>71.428571428571431</v>
      </c>
      <c r="G479" s="5">
        <f t="shared" si="107"/>
        <v>0.11111111111111104</v>
      </c>
      <c r="H479" s="4">
        <f>4*(('01_WHOQOL_Items'!H479 + '01_WHOQOL_Items'!I479 + '01_WHOQOL_Items'!J479 + '01_WHOQOL_Items'!N479 + '01_WHOQOL_Items'!V479 + (6-'01_WHOQOL_Items'!AC479))/6)</f>
        <v>6.666666666666667</v>
      </c>
      <c r="I479" s="4">
        <f>4*(('01_WHOQOL_Items'!AH479 + '01_WHOQOL_Items'!AI479 + '01_WHOQOL_Items'!AJ479 + '01_WHOQOL_Items'!AN479 + '01_WHOQOL_Items'!AV479 + (6-'01_WHOQOL_Items'!BC479))/6)</f>
        <v>5.333333333333333</v>
      </c>
      <c r="J479" s="4">
        <f t="shared" si="108"/>
        <v>16.666666666666668</v>
      </c>
      <c r="K479" s="4">
        <f t="shared" si="109"/>
        <v>8.3333333333333321</v>
      </c>
      <c r="L479" s="5">
        <f t="shared" si="110"/>
        <v>-0.50000000000000011</v>
      </c>
      <c r="M479" s="4">
        <f>4*(('01_WHOQOL_Items'!W479 + '01_WHOQOL_Items'!X479 + '01_WHOQOL_Items'!Y479)/3)</f>
        <v>14.666666666666666</v>
      </c>
      <c r="N479" s="4">
        <f>4*(('01_WHOQOL_Items'!AW479 + '01_WHOQOL_Items'!AX479 + '01_WHOQOL_Items'!AY479)/3)</f>
        <v>13.333333333333334</v>
      </c>
      <c r="O479" s="4">
        <f t="shared" si="111"/>
        <v>66.666666666666657</v>
      </c>
      <c r="P479" s="4">
        <f t="shared" si="112"/>
        <v>58.333333333333336</v>
      </c>
      <c r="Q479" s="5">
        <f t="shared" si="113"/>
        <v>-0.12499999999999983</v>
      </c>
      <c r="R479" s="4">
        <f>4*(('01_WHOQOL_Items'!K479 + '01_WHOQOL_Items'!L479 + '01_WHOQOL_Items'!O479 + '01_WHOQOL_Items'!P479 + '01_WHOQOL_Items'!Q479 + '01_WHOQOL_Items'!Z479 + '01_WHOQOL_Items'!AA479 + '01_WHOQOL_Items'!AB479)/8)</f>
        <v>12</v>
      </c>
      <c r="S479" s="4">
        <f>4*(('01_WHOQOL_Items'!AK479 + '01_WHOQOL_Items'!AL479 + '01_WHOQOL_Items'!AO479 + '01_WHOQOL_Items'!AP479 + '01_WHOQOL_Items'!AQ479 + '01_WHOQOL_Items'!AZ479 + '01_WHOQOL_Items'!BA479 + '01_WHOQOL_Items'!BB479)/8)</f>
        <v>10.5</v>
      </c>
      <c r="T479" s="4">
        <f t="shared" si="114"/>
        <v>50</v>
      </c>
      <c r="U479" s="4">
        <f t="shared" si="115"/>
        <v>40.625</v>
      </c>
      <c r="V479" s="5">
        <f t="shared" si="116"/>
        <v>-0.1875</v>
      </c>
      <c r="W479" s="4">
        <f t="shared" si="117"/>
        <v>49.404761904761905</v>
      </c>
      <c r="X479" s="4">
        <f t="shared" si="118"/>
        <v>44.680059523809526</v>
      </c>
      <c r="Y479" s="5">
        <f t="shared" si="119"/>
        <v>-9.5632530120481896E-2</v>
      </c>
      <c r="Z479" s="1">
        <f>'01_WHOQOL_Items'!D479</f>
        <v>3</v>
      </c>
      <c r="AA479" s="1">
        <f>'01_WHOQOL_Items'!AD479</f>
        <v>2</v>
      </c>
      <c r="AB479" s="1">
        <f>'01_WHOQOL_Items'!E479</f>
        <v>4</v>
      </c>
      <c r="AC479" s="1">
        <f>'01_WHOQOL_Items'!AE479</f>
        <v>4</v>
      </c>
    </row>
    <row r="480" spans="1:29">
      <c r="A480" s="1" t="str">
        <f>'01_WHOQOL_Items'!A480</f>
        <v>CON-198</v>
      </c>
      <c r="B480" s="1" t="str">
        <f>'01_WHOQOL_Items'!B480</f>
        <v>Control</v>
      </c>
      <c r="C480" s="4">
        <f>4*(((6-'01_WHOQOL_Items'!F480) + (6-'01_WHOQOL_Items'!G480) + '01_WHOQOL_Items'!M480 + '01_WHOQOL_Items'!R480 + '01_WHOQOL_Items'!S480 + '01_WHOQOL_Items'!T480 + '01_WHOQOL_Items'!U480)/7)</f>
        <v>12.571428571428571</v>
      </c>
      <c r="D480" s="4">
        <f>4*(((6-'01_WHOQOL_Items'!AF480) + (6-'01_WHOQOL_Items'!AG480) + '01_WHOQOL_Items'!AM480 + '01_WHOQOL_Items'!AR480 + '01_WHOQOL_Items'!AS480 + '01_WHOQOL_Items'!AT480 + '01_WHOQOL_Items'!AU480)/7)</f>
        <v>12.571428571428571</v>
      </c>
      <c r="E480" s="4">
        <f t="shared" si="105"/>
        <v>53.571428571428569</v>
      </c>
      <c r="F480" s="4">
        <f t="shared" si="106"/>
        <v>53.571428571428569</v>
      </c>
      <c r="G480" s="5">
        <f t="shared" si="107"/>
        <v>0</v>
      </c>
      <c r="H480" s="4">
        <f>4*(('01_WHOQOL_Items'!H480 + '01_WHOQOL_Items'!I480 + '01_WHOQOL_Items'!J480 + '01_WHOQOL_Items'!N480 + '01_WHOQOL_Items'!V480 + (6-'01_WHOQOL_Items'!AC480))/6)</f>
        <v>14</v>
      </c>
      <c r="I480" s="4">
        <f>4*(('01_WHOQOL_Items'!AH480 + '01_WHOQOL_Items'!AI480 + '01_WHOQOL_Items'!AJ480 + '01_WHOQOL_Items'!AN480 + '01_WHOQOL_Items'!AV480 + (6-'01_WHOQOL_Items'!BC480))/6)</f>
        <v>14.666666666666666</v>
      </c>
      <c r="J480" s="4">
        <f t="shared" si="108"/>
        <v>62.5</v>
      </c>
      <c r="K480" s="4">
        <f t="shared" si="109"/>
        <v>66.666666666666657</v>
      </c>
      <c r="L480" s="5">
        <f t="shared" si="110"/>
        <v>6.6666666666666513E-2</v>
      </c>
      <c r="M480" s="4">
        <f>4*(('01_WHOQOL_Items'!W480 + '01_WHOQOL_Items'!X480 + '01_WHOQOL_Items'!Y480)/3)</f>
        <v>12</v>
      </c>
      <c r="N480" s="4">
        <f>4*(('01_WHOQOL_Items'!AW480 + '01_WHOQOL_Items'!AX480 + '01_WHOQOL_Items'!AY480)/3)</f>
        <v>12</v>
      </c>
      <c r="O480" s="4">
        <f t="shared" si="111"/>
        <v>50</v>
      </c>
      <c r="P480" s="4">
        <f t="shared" si="112"/>
        <v>50</v>
      </c>
      <c r="Q480" s="5">
        <f t="shared" si="113"/>
        <v>0</v>
      </c>
      <c r="R480" s="4">
        <f>4*(('01_WHOQOL_Items'!K480 + '01_WHOQOL_Items'!L480 + '01_WHOQOL_Items'!O480 + '01_WHOQOL_Items'!P480 + '01_WHOQOL_Items'!Q480 + '01_WHOQOL_Items'!Z480 + '01_WHOQOL_Items'!AA480 + '01_WHOQOL_Items'!AB480)/8)</f>
        <v>13</v>
      </c>
      <c r="S480" s="4">
        <f>4*(('01_WHOQOL_Items'!AK480 + '01_WHOQOL_Items'!AL480 + '01_WHOQOL_Items'!AO480 + '01_WHOQOL_Items'!AP480 + '01_WHOQOL_Items'!AQ480 + '01_WHOQOL_Items'!AZ480 + '01_WHOQOL_Items'!BA480 + '01_WHOQOL_Items'!BB480)/8)</f>
        <v>13.5</v>
      </c>
      <c r="T480" s="4">
        <f t="shared" si="114"/>
        <v>56.25</v>
      </c>
      <c r="U480" s="4">
        <f t="shared" si="115"/>
        <v>59.375</v>
      </c>
      <c r="V480" s="5">
        <f t="shared" si="116"/>
        <v>5.5555555555555552E-2</v>
      </c>
      <c r="W480" s="4">
        <f t="shared" si="117"/>
        <v>55.580357142857139</v>
      </c>
      <c r="X480" s="4">
        <f t="shared" si="118"/>
        <v>57.40327380952381</v>
      </c>
      <c r="Y480" s="5">
        <f t="shared" si="119"/>
        <v>3.2797858099063007E-2</v>
      </c>
      <c r="Z480" s="1">
        <f>'01_WHOQOL_Items'!D480</f>
        <v>3</v>
      </c>
      <c r="AA480" s="1">
        <f>'01_WHOQOL_Items'!AD480</f>
        <v>3</v>
      </c>
      <c r="AB480" s="1">
        <f>'01_WHOQOL_Items'!E480</f>
        <v>3</v>
      </c>
      <c r="AC480" s="1">
        <f>'01_WHOQOL_Items'!AE480</f>
        <v>3</v>
      </c>
    </row>
    <row r="481" spans="1:29">
      <c r="A481" s="1" t="str">
        <f>'01_WHOQOL_Items'!A481</f>
        <v>CON-199</v>
      </c>
      <c r="B481" s="1" t="str">
        <f>'01_WHOQOL_Items'!B481</f>
        <v>Control</v>
      </c>
      <c r="C481" s="4">
        <f>4*(((6-'01_WHOQOL_Items'!F481) + (6-'01_WHOQOL_Items'!G481) + '01_WHOQOL_Items'!M481 + '01_WHOQOL_Items'!R481 + '01_WHOQOL_Items'!S481 + '01_WHOQOL_Items'!T481 + '01_WHOQOL_Items'!U481)/7)</f>
        <v>14.285714285714286</v>
      </c>
      <c r="D481" s="4">
        <f>4*(((6-'01_WHOQOL_Items'!AF481) + (6-'01_WHOQOL_Items'!AG481) + '01_WHOQOL_Items'!AM481 + '01_WHOQOL_Items'!AR481 + '01_WHOQOL_Items'!AS481 + '01_WHOQOL_Items'!AT481 + '01_WHOQOL_Items'!AU481)/7)</f>
        <v>14.857142857142858</v>
      </c>
      <c r="E481" s="4">
        <f t="shared" si="105"/>
        <v>64.285714285714292</v>
      </c>
      <c r="F481" s="4">
        <f t="shared" si="106"/>
        <v>67.857142857142861</v>
      </c>
      <c r="G481" s="5">
        <f t="shared" si="107"/>
        <v>5.5555555555555518E-2</v>
      </c>
      <c r="H481" s="4">
        <f>4*(('01_WHOQOL_Items'!H481 + '01_WHOQOL_Items'!I481 + '01_WHOQOL_Items'!J481 + '01_WHOQOL_Items'!N481 + '01_WHOQOL_Items'!V481 + (6-'01_WHOQOL_Items'!AC481))/6)</f>
        <v>10</v>
      </c>
      <c r="I481" s="4">
        <f>4*(('01_WHOQOL_Items'!AH481 + '01_WHOQOL_Items'!AI481 + '01_WHOQOL_Items'!AJ481 + '01_WHOQOL_Items'!AN481 + '01_WHOQOL_Items'!AV481 + (6-'01_WHOQOL_Items'!BC481))/6)</f>
        <v>10.666666666666666</v>
      </c>
      <c r="J481" s="4">
        <f t="shared" si="108"/>
        <v>37.5</v>
      </c>
      <c r="K481" s="4">
        <f t="shared" si="109"/>
        <v>41.666666666666664</v>
      </c>
      <c r="L481" s="5">
        <f t="shared" si="110"/>
        <v>0.11111111111111105</v>
      </c>
      <c r="M481" s="4">
        <f>4*(('01_WHOQOL_Items'!W481 + '01_WHOQOL_Items'!X481 + '01_WHOQOL_Items'!Y481)/3)</f>
        <v>13.333333333333334</v>
      </c>
      <c r="N481" s="4">
        <f>4*(('01_WHOQOL_Items'!AW481 + '01_WHOQOL_Items'!AX481 + '01_WHOQOL_Items'!AY481)/3)</f>
        <v>10.666666666666666</v>
      </c>
      <c r="O481" s="4">
        <f t="shared" si="111"/>
        <v>58.333333333333336</v>
      </c>
      <c r="P481" s="4">
        <f t="shared" si="112"/>
        <v>41.666666666666664</v>
      </c>
      <c r="Q481" s="5">
        <f t="shared" si="113"/>
        <v>-0.28571428571428581</v>
      </c>
      <c r="R481" s="4">
        <f>4*(('01_WHOQOL_Items'!K481 + '01_WHOQOL_Items'!L481 + '01_WHOQOL_Items'!O481 + '01_WHOQOL_Items'!P481 + '01_WHOQOL_Items'!Q481 + '01_WHOQOL_Items'!Z481 + '01_WHOQOL_Items'!AA481 + '01_WHOQOL_Items'!AB481)/8)</f>
        <v>15.5</v>
      </c>
      <c r="S481" s="4">
        <f>4*(('01_WHOQOL_Items'!AK481 + '01_WHOQOL_Items'!AL481 + '01_WHOQOL_Items'!AO481 + '01_WHOQOL_Items'!AP481 + '01_WHOQOL_Items'!AQ481 + '01_WHOQOL_Items'!AZ481 + '01_WHOQOL_Items'!BA481 + '01_WHOQOL_Items'!BB481)/8)</f>
        <v>12.5</v>
      </c>
      <c r="T481" s="4">
        <f t="shared" si="114"/>
        <v>71.875</v>
      </c>
      <c r="U481" s="4">
        <f t="shared" si="115"/>
        <v>53.125</v>
      </c>
      <c r="V481" s="5">
        <f t="shared" si="116"/>
        <v>-0.2608695652173913</v>
      </c>
      <c r="W481" s="4">
        <f t="shared" si="117"/>
        <v>57.998511904761905</v>
      </c>
      <c r="X481" s="4">
        <f t="shared" si="118"/>
        <v>51.078869047619044</v>
      </c>
      <c r="Y481" s="5">
        <f t="shared" si="119"/>
        <v>-0.11930724823604882</v>
      </c>
      <c r="Z481" s="1">
        <f>'01_WHOQOL_Items'!D481</f>
        <v>3</v>
      </c>
      <c r="AA481" s="1">
        <f>'01_WHOQOL_Items'!AD481</f>
        <v>2</v>
      </c>
      <c r="AB481" s="1">
        <f>'01_WHOQOL_Items'!E481</f>
        <v>5</v>
      </c>
      <c r="AC481" s="1">
        <f>'01_WHOQOL_Items'!AE481</f>
        <v>5</v>
      </c>
    </row>
    <row r="482" spans="1:29">
      <c r="A482" s="1" t="str">
        <f>'01_WHOQOL_Items'!A482</f>
        <v>CON-200</v>
      </c>
      <c r="B482" s="1" t="str">
        <f>'01_WHOQOL_Items'!B482</f>
        <v>Control</v>
      </c>
      <c r="C482" s="4">
        <f>4*(((6-'01_WHOQOL_Items'!F482) + (6-'01_WHOQOL_Items'!G482) + '01_WHOQOL_Items'!M482 + '01_WHOQOL_Items'!R482 + '01_WHOQOL_Items'!S482 + '01_WHOQOL_Items'!T482 + '01_WHOQOL_Items'!U482)/7)</f>
        <v>14.285714285714286</v>
      </c>
      <c r="D482" s="4">
        <f>4*(((6-'01_WHOQOL_Items'!AF482) + (6-'01_WHOQOL_Items'!AG482) + '01_WHOQOL_Items'!AM482 + '01_WHOQOL_Items'!AR482 + '01_WHOQOL_Items'!AS482 + '01_WHOQOL_Items'!AT482 + '01_WHOQOL_Items'!AU482)/7)</f>
        <v>11.428571428571429</v>
      </c>
      <c r="E482" s="4">
        <f t="shared" si="105"/>
        <v>64.285714285714292</v>
      </c>
      <c r="F482" s="4">
        <f t="shared" si="106"/>
        <v>46.428571428571431</v>
      </c>
      <c r="G482" s="5">
        <f t="shared" si="107"/>
        <v>-0.27777777777777779</v>
      </c>
      <c r="H482" s="4">
        <f>4*(('01_WHOQOL_Items'!H482 + '01_WHOQOL_Items'!I482 + '01_WHOQOL_Items'!J482 + '01_WHOQOL_Items'!N482 + '01_WHOQOL_Items'!V482 + (6-'01_WHOQOL_Items'!AC482))/6)</f>
        <v>8.6666666666666661</v>
      </c>
      <c r="I482" s="4">
        <f>4*(('01_WHOQOL_Items'!AH482 + '01_WHOQOL_Items'!AI482 + '01_WHOQOL_Items'!AJ482 + '01_WHOQOL_Items'!AN482 + '01_WHOQOL_Items'!AV482 + (6-'01_WHOQOL_Items'!BC482))/6)</f>
        <v>8.6666666666666661</v>
      </c>
      <c r="J482" s="4">
        <f t="shared" si="108"/>
        <v>29.166666666666664</v>
      </c>
      <c r="K482" s="4">
        <f t="shared" si="109"/>
        <v>29.166666666666664</v>
      </c>
      <c r="L482" s="5">
        <f t="shared" si="110"/>
        <v>0</v>
      </c>
      <c r="M482" s="4">
        <f>4*(('01_WHOQOL_Items'!W482 + '01_WHOQOL_Items'!X482 + '01_WHOQOL_Items'!Y482)/3)</f>
        <v>10.666666666666666</v>
      </c>
      <c r="N482" s="4">
        <f>4*(('01_WHOQOL_Items'!AW482 + '01_WHOQOL_Items'!AX482 + '01_WHOQOL_Items'!AY482)/3)</f>
        <v>12</v>
      </c>
      <c r="O482" s="4">
        <f t="shared" si="111"/>
        <v>41.666666666666664</v>
      </c>
      <c r="P482" s="4">
        <f t="shared" si="112"/>
        <v>50</v>
      </c>
      <c r="Q482" s="5">
        <f t="shared" si="113"/>
        <v>0.20000000000000007</v>
      </c>
      <c r="R482" s="4">
        <f>4*(('01_WHOQOL_Items'!K482 + '01_WHOQOL_Items'!L482 + '01_WHOQOL_Items'!O482 + '01_WHOQOL_Items'!P482 + '01_WHOQOL_Items'!Q482 + '01_WHOQOL_Items'!Z482 + '01_WHOQOL_Items'!AA482 + '01_WHOQOL_Items'!AB482)/8)</f>
        <v>12</v>
      </c>
      <c r="S482" s="4">
        <f>4*(('01_WHOQOL_Items'!AK482 + '01_WHOQOL_Items'!AL482 + '01_WHOQOL_Items'!AO482 + '01_WHOQOL_Items'!AP482 + '01_WHOQOL_Items'!AQ482 + '01_WHOQOL_Items'!AZ482 + '01_WHOQOL_Items'!BA482 + '01_WHOQOL_Items'!BB482)/8)</f>
        <v>13.5</v>
      </c>
      <c r="T482" s="4">
        <f t="shared" si="114"/>
        <v>50</v>
      </c>
      <c r="U482" s="4">
        <f t="shared" si="115"/>
        <v>59.375</v>
      </c>
      <c r="V482" s="5">
        <f t="shared" si="116"/>
        <v>0.1875</v>
      </c>
      <c r="W482" s="4">
        <f t="shared" si="117"/>
        <v>46.279761904761905</v>
      </c>
      <c r="X482" s="4">
        <f t="shared" si="118"/>
        <v>46.242559523809526</v>
      </c>
      <c r="Y482" s="5">
        <f t="shared" si="119"/>
        <v>-8.0385852090029226E-4</v>
      </c>
      <c r="Z482" s="1">
        <f>'01_WHOQOL_Items'!D482</f>
        <v>2</v>
      </c>
      <c r="AA482" s="1">
        <f>'01_WHOQOL_Items'!AD482</f>
        <v>2</v>
      </c>
      <c r="AB482" s="1">
        <f>'01_WHOQOL_Items'!E482</f>
        <v>2</v>
      </c>
      <c r="AC482" s="1">
        <f>'01_WHOQOL_Items'!AE482</f>
        <v>4</v>
      </c>
    </row>
    <row r="483" spans="1:29">
      <c r="A483" s="1" t="str">
        <f>'01_WHOQOL_Items'!A483</f>
        <v>CON-201</v>
      </c>
      <c r="B483" s="1" t="str">
        <f>'01_WHOQOL_Items'!B483</f>
        <v>Control</v>
      </c>
      <c r="C483" s="4">
        <f>4*(((6-'01_WHOQOL_Items'!F483) + (6-'01_WHOQOL_Items'!G483) + '01_WHOQOL_Items'!M483 + '01_WHOQOL_Items'!R483 + '01_WHOQOL_Items'!S483 + '01_WHOQOL_Items'!T483 + '01_WHOQOL_Items'!U483)/7)</f>
        <v>9.7142857142857135</v>
      </c>
      <c r="D483" s="4">
        <f>4*(((6-'01_WHOQOL_Items'!AF483) + (6-'01_WHOQOL_Items'!AG483) + '01_WHOQOL_Items'!AM483 + '01_WHOQOL_Items'!AR483 + '01_WHOQOL_Items'!AS483 + '01_WHOQOL_Items'!AT483 + '01_WHOQOL_Items'!AU483)/7)</f>
        <v>10.285714285714286</v>
      </c>
      <c r="E483" s="4">
        <f t="shared" si="105"/>
        <v>35.714285714285708</v>
      </c>
      <c r="F483" s="4">
        <f t="shared" si="106"/>
        <v>39.285714285714292</v>
      </c>
      <c r="G483" s="5">
        <f t="shared" si="107"/>
        <v>0.10000000000000035</v>
      </c>
      <c r="H483" s="4">
        <f>4*(('01_WHOQOL_Items'!H483 + '01_WHOQOL_Items'!I483 + '01_WHOQOL_Items'!J483 + '01_WHOQOL_Items'!N483 + '01_WHOQOL_Items'!V483 + (6-'01_WHOQOL_Items'!AC483))/6)</f>
        <v>11.333333333333334</v>
      </c>
      <c r="I483" s="4">
        <f>4*(('01_WHOQOL_Items'!AH483 + '01_WHOQOL_Items'!AI483 + '01_WHOQOL_Items'!AJ483 + '01_WHOQOL_Items'!AN483 + '01_WHOQOL_Items'!AV483 + (6-'01_WHOQOL_Items'!BC483))/6)</f>
        <v>12</v>
      </c>
      <c r="J483" s="4">
        <f t="shared" si="108"/>
        <v>45.833333333333336</v>
      </c>
      <c r="K483" s="4">
        <f t="shared" si="109"/>
        <v>50</v>
      </c>
      <c r="L483" s="5">
        <f t="shared" si="110"/>
        <v>9.0909090909090856E-2</v>
      </c>
      <c r="M483" s="4">
        <f>4*(('01_WHOQOL_Items'!W483 + '01_WHOQOL_Items'!X483 + '01_WHOQOL_Items'!Y483)/3)</f>
        <v>12</v>
      </c>
      <c r="N483" s="4">
        <f>4*(('01_WHOQOL_Items'!AW483 + '01_WHOQOL_Items'!AX483 + '01_WHOQOL_Items'!AY483)/3)</f>
        <v>14.666666666666666</v>
      </c>
      <c r="O483" s="4">
        <f t="shared" si="111"/>
        <v>50</v>
      </c>
      <c r="P483" s="4">
        <f t="shared" si="112"/>
        <v>66.666666666666657</v>
      </c>
      <c r="Q483" s="5">
        <f t="shared" si="113"/>
        <v>0.33333333333333315</v>
      </c>
      <c r="R483" s="4">
        <f>4*(('01_WHOQOL_Items'!K483 + '01_WHOQOL_Items'!L483 + '01_WHOQOL_Items'!O483 + '01_WHOQOL_Items'!P483 + '01_WHOQOL_Items'!Q483 + '01_WHOQOL_Items'!Z483 + '01_WHOQOL_Items'!AA483 + '01_WHOQOL_Items'!AB483)/8)</f>
        <v>10</v>
      </c>
      <c r="S483" s="4">
        <f>4*(('01_WHOQOL_Items'!AK483 + '01_WHOQOL_Items'!AL483 + '01_WHOQOL_Items'!AO483 + '01_WHOQOL_Items'!AP483 + '01_WHOQOL_Items'!AQ483 + '01_WHOQOL_Items'!AZ483 + '01_WHOQOL_Items'!BA483 + '01_WHOQOL_Items'!BB483)/8)</f>
        <v>10.5</v>
      </c>
      <c r="T483" s="4">
        <f t="shared" si="114"/>
        <v>37.5</v>
      </c>
      <c r="U483" s="4">
        <f t="shared" si="115"/>
        <v>40.625</v>
      </c>
      <c r="V483" s="5">
        <f t="shared" si="116"/>
        <v>8.3333333333333329E-2</v>
      </c>
      <c r="W483" s="4">
        <f t="shared" si="117"/>
        <v>42.261904761904759</v>
      </c>
      <c r="X483" s="4">
        <f t="shared" si="118"/>
        <v>49.144345238095241</v>
      </c>
      <c r="Y483" s="5">
        <f t="shared" si="119"/>
        <v>0.16285211267605648</v>
      </c>
      <c r="Z483" s="1">
        <f>'01_WHOQOL_Items'!D483</f>
        <v>3</v>
      </c>
      <c r="AA483" s="1">
        <f>'01_WHOQOL_Items'!AD483</f>
        <v>2</v>
      </c>
      <c r="AB483" s="1">
        <f>'01_WHOQOL_Items'!E483</f>
        <v>2</v>
      </c>
      <c r="AC483" s="1">
        <f>'01_WHOQOL_Items'!AE483</f>
        <v>2</v>
      </c>
    </row>
    <row r="484" spans="1:29">
      <c r="A484" s="1" t="str">
        <f>'01_WHOQOL_Items'!A484</f>
        <v>CON-202</v>
      </c>
      <c r="B484" s="1" t="str">
        <f>'01_WHOQOL_Items'!B484</f>
        <v>Control</v>
      </c>
      <c r="C484" s="4">
        <f>4*(((6-'01_WHOQOL_Items'!F484) + (6-'01_WHOQOL_Items'!G484) + '01_WHOQOL_Items'!M484 + '01_WHOQOL_Items'!R484 + '01_WHOQOL_Items'!S484 + '01_WHOQOL_Items'!T484 + '01_WHOQOL_Items'!U484)/7)</f>
        <v>14.857142857142858</v>
      </c>
      <c r="D484" s="4">
        <f>4*(((6-'01_WHOQOL_Items'!AF484) + (6-'01_WHOQOL_Items'!AG484) + '01_WHOQOL_Items'!AM484 + '01_WHOQOL_Items'!AR484 + '01_WHOQOL_Items'!AS484 + '01_WHOQOL_Items'!AT484 + '01_WHOQOL_Items'!AU484)/7)</f>
        <v>16</v>
      </c>
      <c r="E484" s="4">
        <f t="shared" si="105"/>
        <v>67.857142857142861</v>
      </c>
      <c r="F484" s="4">
        <f t="shared" si="106"/>
        <v>75</v>
      </c>
      <c r="G484" s="5">
        <f t="shared" si="107"/>
        <v>0.10526315789473678</v>
      </c>
      <c r="H484" s="4">
        <f>4*(('01_WHOQOL_Items'!H484 + '01_WHOQOL_Items'!I484 + '01_WHOQOL_Items'!J484 + '01_WHOQOL_Items'!N484 + '01_WHOQOL_Items'!V484 + (6-'01_WHOQOL_Items'!AC484))/6)</f>
        <v>11.333333333333334</v>
      </c>
      <c r="I484" s="4">
        <f>4*(('01_WHOQOL_Items'!AH484 + '01_WHOQOL_Items'!AI484 + '01_WHOQOL_Items'!AJ484 + '01_WHOQOL_Items'!AN484 + '01_WHOQOL_Items'!AV484 + (6-'01_WHOQOL_Items'!BC484))/6)</f>
        <v>10</v>
      </c>
      <c r="J484" s="4">
        <f t="shared" si="108"/>
        <v>45.833333333333336</v>
      </c>
      <c r="K484" s="4">
        <f t="shared" si="109"/>
        <v>37.5</v>
      </c>
      <c r="L484" s="5">
        <f t="shared" si="110"/>
        <v>-0.18181818181818185</v>
      </c>
      <c r="M484" s="4">
        <f>4*(('01_WHOQOL_Items'!W484 + '01_WHOQOL_Items'!X484 + '01_WHOQOL_Items'!Y484)/3)</f>
        <v>12</v>
      </c>
      <c r="N484" s="4">
        <f>4*(('01_WHOQOL_Items'!AW484 + '01_WHOQOL_Items'!AX484 + '01_WHOQOL_Items'!AY484)/3)</f>
        <v>10.666666666666666</v>
      </c>
      <c r="O484" s="4">
        <f t="shared" si="111"/>
        <v>50</v>
      </c>
      <c r="P484" s="4">
        <f t="shared" si="112"/>
        <v>41.666666666666664</v>
      </c>
      <c r="Q484" s="5">
        <f t="shared" si="113"/>
        <v>-0.16666666666666671</v>
      </c>
      <c r="R484" s="4">
        <f>4*(('01_WHOQOL_Items'!K484 + '01_WHOQOL_Items'!L484 + '01_WHOQOL_Items'!O484 + '01_WHOQOL_Items'!P484 + '01_WHOQOL_Items'!Q484 + '01_WHOQOL_Items'!Z484 + '01_WHOQOL_Items'!AA484 + '01_WHOQOL_Items'!AB484)/8)</f>
        <v>12.5</v>
      </c>
      <c r="S484" s="4">
        <f>4*(('01_WHOQOL_Items'!AK484 + '01_WHOQOL_Items'!AL484 + '01_WHOQOL_Items'!AO484 + '01_WHOQOL_Items'!AP484 + '01_WHOQOL_Items'!AQ484 + '01_WHOQOL_Items'!AZ484 + '01_WHOQOL_Items'!BA484 + '01_WHOQOL_Items'!BB484)/8)</f>
        <v>13</v>
      </c>
      <c r="T484" s="4">
        <f t="shared" si="114"/>
        <v>53.125</v>
      </c>
      <c r="U484" s="4">
        <f t="shared" si="115"/>
        <v>56.25</v>
      </c>
      <c r="V484" s="5">
        <f t="shared" si="116"/>
        <v>5.8823529411764705E-2</v>
      </c>
      <c r="W484" s="4">
        <f t="shared" si="117"/>
        <v>54.203869047619051</v>
      </c>
      <c r="X484" s="4">
        <f t="shared" si="118"/>
        <v>52.604166666666664</v>
      </c>
      <c r="Y484" s="5">
        <f t="shared" si="119"/>
        <v>-2.9512697323267091E-2</v>
      </c>
      <c r="Z484" s="1">
        <f>'01_WHOQOL_Items'!D484</f>
        <v>3</v>
      </c>
      <c r="AA484" s="1">
        <f>'01_WHOQOL_Items'!AD484</f>
        <v>3</v>
      </c>
      <c r="AB484" s="1">
        <f>'01_WHOQOL_Items'!E484</f>
        <v>4</v>
      </c>
      <c r="AC484" s="1">
        <f>'01_WHOQOL_Items'!AE484</f>
        <v>3</v>
      </c>
    </row>
    <row r="485" spans="1:29">
      <c r="A485" s="1" t="str">
        <f>'01_WHOQOL_Items'!A485</f>
        <v>CON-203</v>
      </c>
      <c r="B485" s="1" t="str">
        <f>'01_WHOQOL_Items'!B485</f>
        <v>Control</v>
      </c>
      <c r="C485" s="4">
        <f>4*(((6-'01_WHOQOL_Items'!F485) + (6-'01_WHOQOL_Items'!G485) + '01_WHOQOL_Items'!M485 + '01_WHOQOL_Items'!R485 + '01_WHOQOL_Items'!S485 + '01_WHOQOL_Items'!T485 + '01_WHOQOL_Items'!U485)/7)</f>
        <v>15.428571428571429</v>
      </c>
      <c r="D485" s="4">
        <f>4*(((6-'01_WHOQOL_Items'!AF485) + (6-'01_WHOQOL_Items'!AG485) + '01_WHOQOL_Items'!AM485 + '01_WHOQOL_Items'!AR485 + '01_WHOQOL_Items'!AS485 + '01_WHOQOL_Items'!AT485 + '01_WHOQOL_Items'!AU485)/7)</f>
        <v>13.714285714285714</v>
      </c>
      <c r="E485" s="4">
        <f t="shared" si="105"/>
        <v>71.428571428571431</v>
      </c>
      <c r="F485" s="4">
        <f t="shared" si="106"/>
        <v>60.714285714285708</v>
      </c>
      <c r="G485" s="5">
        <f t="shared" si="107"/>
        <v>-0.15000000000000011</v>
      </c>
      <c r="H485" s="4">
        <f>4*(('01_WHOQOL_Items'!H485 + '01_WHOQOL_Items'!I485 + '01_WHOQOL_Items'!J485 + '01_WHOQOL_Items'!N485 + '01_WHOQOL_Items'!V485 + (6-'01_WHOQOL_Items'!AC485))/6)</f>
        <v>10.666666666666666</v>
      </c>
      <c r="I485" s="4">
        <f>4*(('01_WHOQOL_Items'!AH485 + '01_WHOQOL_Items'!AI485 + '01_WHOQOL_Items'!AJ485 + '01_WHOQOL_Items'!AN485 + '01_WHOQOL_Items'!AV485 + (6-'01_WHOQOL_Items'!BC485))/6)</f>
        <v>12.666666666666666</v>
      </c>
      <c r="J485" s="4">
        <f t="shared" si="108"/>
        <v>41.666666666666664</v>
      </c>
      <c r="K485" s="4">
        <f t="shared" si="109"/>
        <v>54.166666666666664</v>
      </c>
      <c r="L485" s="5">
        <f t="shared" si="110"/>
        <v>0.30000000000000004</v>
      </c>
      <c r="M485" s="4">
        <f>4*(('01_WHOQOL_Items'!W485 + '01_WHOQOL_Items'!X485 + '01_WHOQOL_Items'!Y485)/3)</f>
        <v>13.333333333333334</v>
      </c>
      <c r="N485" s="4">
        <f>4*(('01_WHOQOL_Items'!AW485 + '01_WHOQOL_Items'!AX485 + '01_WHOQOL_Items'!AY485)/3)</f>
        <v>13.333333333333334</v>
      </c>
      <c r="O485" s="4">
        <f t="shared" si="111"/>
        <v>58.333333333333336</v>
      </c>
      <c r="P485" s="4">
        <f t="shared" si="112"/>
        <v>58.333333333333336</v>
      </c>
      <c r="Q485" s="5">
        <f t="shared" si="113"/>
        <v>0</v>
      </c>
      <c r="R485" s="4">
        <f>4*(('01_WHOQOL_Items'!K485 + '01_WHOQOL_Items'!L485 + '01_WHOQOL_Items'!O485 + '01_WHOQOL_Items'!P485 + '01_WHOQOL_Items'!Q485 + '01_WHOQOL_Items'!Z485 + '01_WHOQOL_Items'!AA485 + '01_WHOQOL_Items'!AB485)/8)</f>
        <v>11</v>
      </c>
      <c r="S485" s="4">
        <f>4*(('01_WHOQOL_Items'!AK485 + '01_WHOQOL_Items'!AL485 + '01_WHOQOL_Items'!AO485 + '01_WHOQOL_Items'!AP485 + '01_WHOQOL_Items'!AQ485 + '01_WHOQOL_Items'!AZ485 + '01_WHOQOL_Items'!BA485 + '01_WHOQOL_Items'!BB485)/8)</f>
        <v>8.5</v>
      </c>
      <c r="T485" s="4">
        <f t="shared" si="114"/>
        <v>43.75</v>
      </c>
      <c r="U485" s="4">
        <f t="shared" si="115"/>
        <v>28.125</v>
      </c>
      <c r="V485" s="5">
        <f t="shared" si="116"/>
        <v>-0.35714285714285715</v>
      </c>
      <c r="W485" s="4">
        <f t="shared" si="117"/>
        <v>53.794642857142861</v>
      </c>
      <c r="X485" s="4">
        <f t="shared" si="118"/>
        <v>50.334821428571431</v>
      </c>
      <c r="Y485" s="5">
        <f t="shared" si="119"/>
        <v>-6.4315352697095471E-2</v>
      </c>
      <c r="Z485" s="1">
        <f>'01_WHOQOL_Items'!D485</f>
        <v>3</v>
      </c>
      <c r="AA485" s="1">
        <f>'01_WHOQOL_Items'!AD485</f>
        <v>3</v>
      </c>
      <c r="AB485" s="1">
        <f>'01_WHOQOL_Items'!E485</f>
        <v>4</v>
      </c>
      <c r="AC485" s="1">
        <f>'01_WHOQOL_Items'!AE485</f>
        <v>3</v>
      </c>
    </row>
    <row r="486" spans="1:29">
      <c r="A486" s="1" t="str">
        <f>'01_WHOQOL_Items'!A486</f>
        <v>CON-204</v>
      </c>
      <c r="B486" s="1" t="str">
        <f>'01_WHOQOL_Items'!B486</f>
        <v>Control</v>
      </c>
      <c r="C486" s="4">
        <f>4*(((6-'01_WHOQOL_Items'!F486) + (6-'01_WHOQOL_Items'!G486) + '01_WHOQOL_Items'!M486 + '01_WHOQOL_Items'!R486 + '01_WHOQOL_Items'!S486 + '01_WHOQOL_Items'!T486 + '01_WHOQOL_Items'!U486)/7)</f>
        <v>8</v>
      </c>
      <c r="D486" s="4">
        <f>4*(((6-'01_WHOQOL_Items'!AF486) + (6-'01_WHOQOL_Items'!AG486) + '01_WHOQOL_Items'!AM486 + '01_WHOQOL_Items'!AR486 + '01_WHOQOL_Items'!AS486 + '01_WHOQOL_Items'!AT486 + '01_WHOQOL_Items'!AU486)/7)</f>
        <v>9.1428571428571423</v>
      </c>
      <c r="E486" s="4">
        <f t="shared" si="105"/>
        <v>25</v>
      </c>
      <c r="F486" s="4">
        <f t="shared" si="106"/>
        <v>32.142857142857139</v>
      </c>
      <c r="G486" s="5">
        <f t="shared" si="107"/>
        <v>0.28571428571428553</v>
      </c>
      <c r="H486" s="4">
        <f>4*(('01_WHOQOL_Items'!H486 + '01_WHOQOL_Items'!I486 + '01_WHOQOL_Items'!J486 + '01_WHOQOL_Items'!N486 + '01_WHOQOL_Items'!V486 + (6-'01_WHOQOL_Items'!AC486))/6)</f>
        <v>10.666666666666666</v>
      </c>
      <c r="I486" s="4">
        <f>4*(('01_WHOQOL_Items'!AH486 + '01_WHOQOL_Items'!AI486 + '01_WHOQOL_Items'!AJ486 + '01_WHOQOL_Items'!AN486 + '01_WHOQOL_Items'!AV486 + (6-'01_WHOQOL_Items'!BC486))/6)</f>
        <v>11.333333333333334</v>
      </c>
      <c r="J486" s="4">
        <f t="shared" si="108"/>
        <v>41.666666666666664</v>
      </c>
      <c r="K486" s="4">
        <f t="shared" si="109"/>
        <v>45.833333333333336</v>
      </c>
      <c r="L486" s="5">
        <f t="shared" si="110"/>
        <v>0.10000000000000012</v>
      </c>
      <c r="M486" s="4">
        <f>4*(('01_WHOQOL_Items'!W486 + '01_WHOQOL_Items'!X486 + '01_WHOQOL_Items'!Y486)/3)</f>
        <v>9.3333333333333339</v>
      </c>
      <c r="N486" s="4">
        <f>4*(('01_WHOQOL_Items'!AW486 + '01_WHOQOL_Items'!AX486 + '01_WHOQOL_Items'!AY486)/3)</f>
        <v>8</v>
      </c>
      <c r="O486" s="4">
        <f t="shared" si="111"/>
        <v>33.333333333333336</v>
      </c>
      <c r="P486" s="4">
        <f t="shared" si="112"/>
        <v>25</v>
      </c>
      <c r="Q486" s="5">
        <f t="shared" si="113"/>
        <v>-0.25000000000000006</v>
      </c>
      <c r="R486" s="4">
        <f>4*(('01_WHOQOL_Items'!K486 + '01_WHOQOL_Items'!L486 + '01_WHOQOL_Items'!O486 + '01_WHOQOL_Items'!P486 + '01_WHOQOL_Items'!Q486 + '01_WHOQOL_Items'!Z486 + '01_WHOQOL_Items'!AA486 + '01_WHOQOL_Items'!AB486)/8)</f>
        <v>7</v>
      </c>
      <c r="S486" s="4">
        <f>4*(('01_WHOQOL_Items'!AK486 + '01_WHOQOL_Items'!AL486 + '01_WHOQOL_Items'!AO486 + '01_WHOQOL_Items'!AP486 + '01_WHOQOL_Items'!AQ486 + '01_WHOQOL_Items'!AZ486 + '01_WHOQOL_Items'!BA486 + '01_WHOQOL_Items'!BB486)/8)</f>
        <v>8</v>
      </c>
      <c r="T486" s="4">
        <f t="shared" si="114"/>
        <v>18.75</v>
      </c>
      <c r="U486" s="4">
        <f t="shared" si="115"/>
        <v>25</v>
      </c>
      <c r="V486" s="5">
        <f t="shared" si="116"/>
        <v>0.33333333333333331</v>
      </c>
      <c r="W486" s="4">
        <f t="shared" si="117"/>
        <v>29.6875</v>
      </c>
      <c r="X486" s="4">
        <f t="shared" si="118"/>
        <v>31.99404761904762</v>
      </c>
      <c r="Y486" s="5">
        <f t="shared" si="119"/>
        <v>7.7694235588972482E-2</v>
      </c>
      <c r="Z486" s="1">
        <f>'01_WHOQOL_Items'!D486</f>
        <v>3</v>
      </c>
      <c r="AA486" s="1">
        <f>'01_WHOQOL_Items'!AD486</f>
        <v>2</v>
      </c>
      <c r="AB486" s="1">
        <f>'01_WHOQOL_Items'!E486</f>
        <v>2</v>
      </c>
      <c r="AC486" s="1">
        <f>'01_WHOQOL_Items'!AE486</f>
        <v>2</v>
      </c>
    </row>
    <row r="487" spans="1:29">
      <c r="A487" s="1" t="str">
        <f>'01_WHOQOL_Items'!A487</f>
        <v>CON-205</v>
      </c>
      <c r="B487" s="1" t="str">
        <f>'01_WHOQOL_Items'!B487</f>
        <v>Control</v>
      </c>
      <c r="C487" s="4">
        <f>4*(((6-'01_WHOQOL_Items'!F487) + (6-'01_WHOQOL_Items'!G487) + '01_WHOQOL_Items'!M487 + '01_WHOQOL_Items'!R487 + '01_WHOQOL_Items'!S487 + '01_WHOQOL_Items'!T487 + '01_WHOQOL_Items'!U487)/7)</f>
        <v>12.571428571428571</v>
      </c>
      <c r="D487" s="4">
        <f>4*(((6-'01_WHOQOL_Items'!AF487) + (6-'01_WHOQOL_Items'!AG487) + '01_WHOQOL_Items'!AM487 + '01_WHOQOL_Items'!AR487 + '01_WHOQOL_Items'!AS487 + '01_WHOQOL_Items'!AT487 + '01_WHOQOL_Items'!AU487)/7)</f>
        <v>15.428571428571429</v>
      </c>
      <c r="E487" s="4">
        <f t="shared" si="105"/>
        <v>53.571428571428569</v>
      </c>
      <c r="F487" s="4">
        <f t="shared" si="106"/>
        <v>71.428571428571431</v>
      </c>
      <c r="G487" s="5">
        <f t="shared" si="107"/>
        <v>0.33333333333333343</v>
      </c>
      <c r="H487" s="4">
        <f>4*(('01_WHOQOL_Items'!H487 + '01_WHOQOL_Items'!I487 + '01_WHOQOL_Items'!J487 + '01_WHOQOL_Items'!N487 + '01_WHOQOL_Items'!V487 + (6-'01_WHOQOL_Items'!AC487))/6)</f>
        <v>9.3333333333333339</v>
      </c>
      <c r="I487" s="4">
        <f>4*(('01_WHOQOL_Items'!AH487 + '01_WHOQOL_Items'!AI487 + '01_WHOQOL_Items'!AJ487 + '01_WHOQOL_Items'!AN487 + '01_WHOQOL_Items'!AV487 + (6-'01_WHOQOL_Items'!BC487))/6)</f>
        <v>11.333333333333334</v>
      </c>
      <c r="J487" s="4">
        <f t="shared" si="108"/>
        <v>33.333333333333336</v>
      </c>
      <c r="K487" s="4">
        <f t="shared" si="109"/>
        <v>45.833333333333336</v>
      </c>
      <c r="L487" s="5">
        <f t="shared" si="110"/>
        <v>0.375</v>
      </c>
      <c r="M487" s="4">
        <f>4*(('01_WHOQOL_Items'!W487 + '01_WHOQOL_Items'!X487 + '01_WHOQOL_Items'!Y487)/3)</f>
        <v>13.333333333333334</v>
      </c>
      <c r="N487" s="4">
        <f>4*(('01_WHOQOL_Items'!AW487 + '01_WHOQOL_Items'!AX487 + '01_WHOQOL_Items'!AY487)/3)</f>
        <v>13.333333333333334</v>
      </c>
      <c r="O487" s="4">
        <f t="shared" si="111"/>
        <v>58.333333333333336</v>
      </c>
      <c r="P487" s="4">
        <f t="shared" si="112"/>
        <v>58.333333333333336</v>
      </c>
      <c r="Q487" s="5">
        <f t="shared" si="113"/>
        <v>0</v>
      </c>
      <c r="R487" s="4">
        <f>4*(('01_WHOQOL_Items'!K487 + '01_WHOQOL_Items'!L487 + '01_WHOQOL_Items'!O487 + '01_WHOQOL_Items'!P487 + '01_WHOQOL_Items'!Q487 + '01_WHOQOL_Items'!Z487 + '01_WHOQOL_Items'!AA487 + '01_WHOQOL_Items'!AB487)/8)</f>
        <v>14.5</v>
      </c>
      <c r="S487" s="4">
        <f>4*(('01_WHOQOL_Items'!AK487 + '01_WHOQOL_Items'!AL487 + '01_WHOQOL_Items'!AO487 + '01_WHOQOL_Items'!AP487 + '01_WHOQOL_Items'!AQ487 + '01_WHOQOL_Items'!AZ487 + '01_WHOQOL_Items'!BA487 + '01_WHOQOL_Items'!BB487)/8)</f>
        <v>15.5</v>
      </c>
      <c r="T487" s="4">
        <f t="shared" si="114"/>
        <v>65.625</v>
      </c>
      <c r="U487" s="4">
        <f t="shared" si="115"/>
        <v>71.875</v>
      </c>
      <c r="V487" s="5">
        <f t="shared" si="116"/>
        <v>9.5238095238095233E-2</v>
      </c>
      <c r="W487" s="4">
        <f t="shared" si="117"/>
        <v>52.71577380952381</v>
      </c>
      <c r="X487" s="4">
        <f t="shared" si="118"/>
        <v>61.867559523809526</v>
      </c>
      <c r="Y487" s="5">
        <f t="shared" si="119"/>
        <v>0.17360621030345802</v>
      </c>
      <c r="Z487" s="1">
        <f>'01_WHOQOL_Items'!D487</f>
        <v>3</v>
      </c>
      <c r="AA487" s="1">
        <f>'01_WHOQOL_Items'!AD487</f>
        <v>3</v>
      </c>
      <c r="AB487" s="1">
        <f>'01_WHOQOL_Items'!E487</f>
        <v>4</v>
      </c>
      <c r="AC487" s="1">
        <f>'01_WHOQOL_Items'!AE487</f>
        <v>4</v>
      </c>
    </row>
    <row r="488" spans="1:29">
      <c r="A488" s="1" t="str">
        <f>'01_WHOQOL_Items'!A488</f>
        <v>CON-206</v>
      </c>
      <c r="B488" s="1" t="str">
        <f>'01_WHOQOL_Items'!B488</f>
        <v>Control</v>
      </c>
      <c r="C488" s="4">
        <f>4*(((6-'01_WHOQOL_Items'!F488) + (6-'01_WHOQOL_Items'!G488) + '01_WHOQOL_Items'!M488 + '01_WHOQOL_Items'!R488 + '01_WHOQOL_Items'!S488 + '01_WHOQOL_Items'!T488 + '01_WHOQOL_Items'!U488)/7)</f>
        <v>11.428571428571429</v>
      </c>
      <c r="D488" s="4">
        <f>4*(((6-'01_WHOQOL_Items'!AF488) + (6-'01_WHOQOL_Items'!AG488) + '01_WHOQOL_Items'!AM488 + '01_WHOQOL_Items'!AR488 + '01_WHOQOL_Items'!AS488 + '01_WHOQOL_Items'!AT488 + '01_WHOQOL_Items'!AU488)/7)</f>
        <v>13.714285714285714</v>
      </c>
      <c r="E488" s="4">
        <f t="shared" si="105"/>
        <v>46.428571428571431</v>
      </c>
      <c r="F488" s="4">
        <f t="shared" si="106"/>
        <v>60.714285714285708</v>
      </c>
      <c r="G488" s="5">
        <f t="shared" si="107"/>
        <v>0.30769230769230749</v>
      </c>
      <c r="H488" s="4">
        <f>4*(('01_WHOQOL_Items'!H488 + '01_WHOQOL_Items'!I488 + '01_WHOQOL_Items'!J488 + '01_WHOQOL_Items'!N488 + '01_WHOQOL_Items'!V488 + (6-'01_WHOQOL_Items'!AC488))/6)</f>
        <v>8</v>
      </c>
      <c r="I488" s="4">
        <f>4*(('01_WHOQOL_Items'!AH488 + '01_WHOQOL_Items'!AI488 + '01_WHOQOL_Items'!AJ488 + '01_WHOQOL_Items'!AN488 + '01_WHOQOL_Items'!AV488 + (6-'01_WHOQOL_Items'!BC488))/6)</f>
        <v>9.3333333333333339</v>
      </c>
      <c r="J488" s="4">
        <f t="shared" si="108"/>
        <v>25</v>
      </c>
      <c r="K488" s="4">
        <f t="shared" si="109"/>
        <v>33.333333333333336</v>
      </c>
      <c r="L488" s="5">
        <f t="shared" si="110"/>
        <v>0.33333333333333343</v>
      </c>
      <c r="M488" s="4">
        <f>4*(('01_WHOQOL_Items'!W488 + '01_WHOQOL_Items'!X488 + '01_WHOQOL_Items'!Y488)/3)</f>
        <v>10.666666666666666</v>
      </c>
      <c r="N488" s="4">
        <f>4*(('01_WHOQOL_Items'!AW488 + '01_WHOQOL_Items'!AX488 + '01_WHOQOL_Items'!AY488)/3)</f>
        <v>6.666666666666667</v>
      </c>
      <c r="O488" s="4">
        <f t="shared" si="111"/>
        <v>41.666666666666664</v>
      </c>
      <c r="P488" s="4">
        <f t="shared" si="112"/>
        <v>16.666666666666668</v>
      </c>
      <c r="Q488" s="5">
        <f t="shared" si="113"/>
        <v>-0.6</v>
      </c>
      <c r="R488" s="4">
        <f>4*(('01_WHOQOL_Items'!K488 + '01_WHOQOL_Items'!L488 + '01_WHOQOL_Items'!O488 + '01_WHOQOL_Items'!P488 + '01_WHOQOL_Items'!Q488 + '01_WHOQOL_Items'!Z488 + '01_WHOQOL_Items'!AA488 + '01_WHOQOL_Items'!AB488)/8)</f>
        <v>9.5</v>
      </c>
      <c r="S488" s="4">
        <f>4*(('01_WHOQOL_Items'!AK488 + '01_WHOQOL_Items'!AL488 + '01_WHOQOL_Items'!AO488 + '01_WHOQOL_Items'!AP488 + '01_WHOQOL_Items'!AQ488 + '01_WHOQOL_Items'!AZ488 + '01_WHOQOL_Items'!BA488 + '01_WHOQOL_Items'!BB488)/8)</f>
        <v>10</v>
      </c>
      <c r="T488" s="4">
        <f t="shared" si="114"/>
        <v>34.375</v>
      </c>
      <c r="U488" s="4">
        <f t="shared" si="115"/>
        <v>37.5</v>
      </c>
      <c r="V488" s="5">
        <f t="shared" si="116"/>
        <v>9.0909090909090912E-2</v>
      </c>
      <c r="W488" s="4">
        <f t="shared" si="117"/>
        <v>36.867559523809526</v>
      </c>
      <c r="X488" s="4">
        <f t="shared" si="118"/>
        <v>37.053571428571431</v>
      </c>
      <c r="Y488" s="5">
        <f t="shared" si="119"/>
        <v>5.0454086781029353E-3</v>
      </c>
      <c r="Z488" s="1">
        <f>'01_WHOQOL_Items'!D488</f>
        <v>3</v>
      </c>
      <c r="AA488" s="1">
        <f>'01_WHOQOL_Items'!AD488</f>
        <v>2</v>
      </c>
      <c r="AB488" s="1">
        <f>'01_WHOQOL_Items'!E488</f>
        <v>4</v>
      </c>
      <c r="AC488" s="1">
        <f>'01_WHOQOL_Items'!AE488</f>
        <v>4</v>
      </c>
    </row>
    <row r="489" spans="1:29">
      <c r="A489" s="1" t="str">
        <f>'01_WHOQOL_Items'!A489</f>
        <v>CON-207</v>
      </c>
      <c r="B489" s="1" t="str">
        <f>'01_WHOQOL_Items'!B489</f>
        <v>Control</v>
      </c>
      <c r="C489" s="4">
        <f>4*(((6-'01_WHOQOL_Items'!F489) + (6-'01_WHOQOL_Items'!G489) + '01_WHOQOL_Items'!M489 + '01_WHOQOL_Items'!R489 + '01_WHOQOL_Items'!S489 + '01_WHOQOL_Items'!T489 + '01_WHOQOL_Items'!U489)/7)</f>
        <v>9.1428571428571423</v>
      </c>
      <c r="D489" s="4">
        <f>4*(((6-'01_WHOQOL_Items'!AF489) + (6-'01_WHOQOL_Items'!AG489) + '01_WHOQOL_Items'!AM489 + '01_WHOQOL_Items'!AR489 + '01_WHOQOL_Items'!AS489 + '01_WHOQOL_Items'!AT489 + '01_WHOQOL_Items'!AU489)/7)</f>
        <v>9.1428571428571423</v>
      </c>
      <c r="E489" s="4">
        <f t="shared" si="105"/>
        <v>32.142857142857139</v>
      </c>
      <c r="F489" s="4">
        <f t="shared" si="106"/>
        <v>32.142857142857139</v>
      </c>
      <c r="G489" s="5">
        <f t="shared" si="107"/>
        <v>0</v>
      </c>
      <c r="H489" s="4">
        <f>4*(('01_WHOQOL_Items'!H489 + '01_WHOQOL_Items'!I489 + '01_WHOQOL_Items'!J489 + '01_WHOQOL_Items'!N489 + '01_WHOQOL_Items'!V489 + (6-'01_WHOQOL_Items'!AC489))/6)</f>
        <v>10</v>
      </c>
      <c r="I489" s="4">
        <f>4*(('01_WHOQOL_Items'!AH489 + '01_WHOQOL_Items'!AI489 + '01_WHOQOL_Items'!AJ489 + '01_WHOQOL_Items'!AN489 + '01_WHOQOL_Items'!AV489 + (6-'01_WHOQOL_Items'!BC489))/6)</f>
        <v>11.333333333333334</v>
      </c>
      <c r="J489" s="4">
        <f t="shared" si="108"/>
        <v>37.5</v>
      </c>
      <c r="K489" s="4">
        <f t="shared" si="109"/>
        <v>45.833333333333336</v>
      </c>
      <c r="L489" s="5">
        <f t="shared" si="110"/>
        <v>0.22222222222222229</v>
      </c>
      <c r="M489" s="4">
        <f>4*(('01_WHOQOL_Items'!W489 + '01_WHOQOL_Items'!X489 + '01_WHOQOL_Items'!Y489)/3)</f>
        <v>14.666666666666666</v>
      </c>
      <c r="N489" s="4">
        <f>4*(('01_WHOQOL_Items'!AW489 + '01_WHOQOL_Items'!AX489 + '01_WHOQOL_Items'!AY489)/3)</f>
        <v>13.333333333333334</v>
      </c>
      <c r="O489" s="4">
        <f t="shared" si="111"/>
        <v>66.666666666666657</v>
      </c>
      <c r="P489" s="4">
        <f t="shared" si="112"/>
        <v>58.333333333333336</v>
      </c>
      <c r="Q489" s="5">
        <f t="shared" si="113"/>
        <v>-0.12499999999999983</v>
      </c>
      <c r="R489" s="4">
        <f>4*(('01_WHOQOL_Items'!K489 + '01_WHOQOL_Items'!L489 + '01_WHOQOL_Items'!O489 + '01_WHOQOL_Items'!P489 + '01_WHOQOL_Items'!Q489 + '01_WHOQOL_Items'!Z489 + '01_WHOQOL_Items'!AA489 + '01_WHOQOL_Items'!AB489)/8)</f>
        <v>13</v>
      </c>
      <c r="S489" s="4">
        <f>4*(('01_WHOQOL_Items'!AK489 + '01_WHOQOL_Items'!AL489 + '01_WHOQOL_Items'!AO489 + '01_WHOQOL_Items'!AP489 + '01_WHOQOL_Items'!AQ489 + '01_WHOQOL_Items'!AZ489 + '01_WHOQOL_Items'!BA489 + '01_WHOQOL_Items'!BB489)/8)</f>
        <v>12.5</v>
      </c>
      <c r="T489" s="4">
        <f t="shared" si="114"/>
        <v>56.25</v>
      </c>
      <c r="U489" s="4">
        <f t="shared" si="115"/>
        <v>53.125</v>
      </c>
      <c r="V489" s="5">
        <f t="shared" si="116"/>
        <v>-5.5555555555555552E-2</v>
      </c>
      <c r="W489" s="4">
        <f t="shared" si="117"/>
        <v>48.139880952380949</v>
      </c>
      <c r="X489" s="4">
        <f t="shared" si="118"/>
        <v>47.358630952380956</v>
      </c>
      <c r="Y489" s="5">
        <f t="shared" si="119"/>
        <v>-1.6228748068006036E-2</v>
      </c>
      <c r="Z489" s="1">
        <f>'01_WHOQOL_Items'!D489</f>
        <v>3</v>
      </c>
      <c r="AA489" s="1">
        <f>'01_WHOQOL_Items'!AD489</f>
        <v>3</v>
      </c>
      <c r="AB489" s="1">
        <f>'01_WHOQOL_Items'!E489</f>
        <v>3</v>
      </c>
      <c r="AC489" s="1">
        <f>'01_WHOQOL_Items'!AE489</f>
        <v>2</v>
      </c>
    </row>
    <row r="490" spans="1:29">
      <c r="A490" s="1" t="str">
        <f>'01_WHOQOL_Items'!A490</f>
        <v>CON-208</v>
      </c>
      <c r="B490" s="1" t="str">
        <f>'01_WHOQOL_Items'!B490</f>
        <v>Control</v>
      </c>
      <c r="C490" s="4">
        <f>4*(((6-'01_WHOQOL_Items'!F490) + (6-'01_WHOQOL_Items'!G490) + '01_WHOQOL_Items'!M490 + '01_WHOQOL_Items'!R490 + '01_WHOQOL_Items'!S490 + '01_WHOQOL_Items'!T490 + '01_WHOQOL_Items'!U490)/7)</f>
        <v>14.285714285714286</v>
      </c>
      <c r="D490" s="4">
        <f>4*(((6-'01_WHOQOL_Items'!AF490) + (6-'01_WHOQOL_Items'!AG490) + '01_WHOQOL_Items'!AM490 + '01_WHOQOL_Items'!AR490 + '01_WHOQOL_Items'!AS490 + '01_WHOQOL_Items'!AT490 + '01_WHOQOL_Items'!AU490)/7)</f>
        <v>12.571428571428571</v>
      </c>
      <c r="E490" s="4">
        <f t="shared" si="105"/>
        <v>64.285714285714292</v>
      </c>
      <c r="F490" s="4">
        <f t="shared" si="106"/>
        <v>53.571428571428569</v>
      </c>
      <c r="G490" s="5">
        <f t="shared" si="107"/>
        <v>-0.16666666666666677</v>
      </c>
      <c r="H490" s="4">
        <f>4*(('01_WHOQOL_Items'!H490 + '01_WHOQOL_Items'!I490 + '01_WHOQOL_Items'!J490 + '01_WHOQOL_Items'!N490 + '01_WHOQOL_Items'!V490 + (6-'01_WHOQOL_Items'!AC490))/6)</f>
        <v>11.333333333333334</v>
      </c>
      <c r="I490" s="4">
        <f>4*(('01_WHOQOL_Items'!AH490 + '01_WHOQOL_Items'!AI490 + '01_WHOQOL_Items'!AJ490 + '01_WHOQOL_Items'!AN490 + '01_WHOQOL_Items'!AV490 + (6-'01_WHOQOL_Items'!BC490))/6)</f>
        <v>12.666666666666666</v>
      </c>
      <c r="J490" s="4">
        <f t="shared" si="108"/>
        <v>45.833333333333336</v>
      </c>
      <c r="K490" s="4">
        <f t="shared" si="109"/>
        <v>54.166666666666664</v>
      </c>
      <c r="L490" s="5">
        <f t="shared" si="110"/>
        <v>0.18181818181818171</v>
      </c>
      <c r="M490" s="4">
        <f>4*(('01_WHOQOL_Items'!W490 + '01_WHOQOL_Items'!X490 + '01_WHOQOL_Items'!Y490)/3)</f>
        <v>14.666666666666666</v>
      </c>
      <c r="N490" s="4">
        <f>4*(('01_WHOQOL_Items'!AW490 + '01_WHOQOL_Items'!AX490 + '01_WHOQOL_Items'!AY490)/3)</f>
        <v>14.666666666666666</v>
      </c>
      <c r="O490" s="4">
        <f t="shared" si="111"/>
        <v>66.666666666666657</v>
      </c>
      <c r="P490" s="4">
        <f t="shared" si="112"/>
        <v>66.666666666666657</v>
      </c>
      <c r="Q490" s="5">
        <f t="shared" si="113"/>
        <v>0</v>
      </c>
      <c r="R490" s="4">
        <f>4*(('01_WHOQOL_Items'!K490 + '01_WHOQOL_Items'!L490 + '01_WHOQOL_Items'!O490 + '01_WHOQOL_Items'!P490 + '01_WHOQOL_Items'!Q490 + '01_WHOQOL_Items'!Z490 + '01_WHOQOL_Items'!AA490 + '01_WHOQOL_Items'!AB490)/8)</f>
        <v>14.5</v>
      </c>
      <c r="S490" s="4">
        <f>4*(('01_WHOQOL_Items'!AK490 + '01_WHOQOL_Items'!AL490 + '01_WHOQOL_Items'!AO490 + '01_WHOQOL_Items'!AP490 + '01_WHOQOL_Items'!AQ490 + '01_WHOQOL_Items'!AZ490 + '01_WHOQOL_Items'!BA490 + '01_WHOQOL_Items'!BB490)/8)</f>
        <v>15.5</v>
      </c>
      <c r="T490" s="4">
        <f t="shared" si="114"/>
        <v>65.625</v>
      </c>
      <c r="U490" s="4">
        <f t="shared" si="115"/>
        <v>71.875</v>
      </c>
      <c r="V490" s="5">
        <f t="shared" si="116"/>
        <v>9.5238095238095233E-2</v>
      </c>
      <c r="W490" s="4">
        <f t="shared" si="117"/>
        <v>60.602678571428569</v>
      </c>
      <c r="X490" s="4">
        <f t="shared" si="118"/>
        <v>61.569940476190474</v>
      </c>
      <c r="Y490" s="5">
        <f t="shared" si="119"/>
        <v>1.5960712093308786E-2</v>
      </c>
      <c r="Z490" s="1">
        <f>'01_WHOQOL_Items'!D490</f>
        <v>3</v>
      </c>
      <c r="AA490" s="1">
        <f>'01_WHOQOL_Items'!AD490</f>
        <v>3</v>
      </c>
      <c r="AB490" s="1">
        <f>'01_WHOQOL_Items'!E490</f>
        <v>3</v>
      </c>
      <c r="AC490" s="1">
        <f>'01_WHOQOL_Items'!AE490</f>
        <v>4</v>
      </c>
    </row>
    <row r="491" spans="1:29">
      <c r="A491" s="1" t="str">
        <f>'01_WHOQOL_Items'!A491</f>
        <v>CON-209</v>
      </c>
      <c r="B491" s="1" t="str">
        <f>'01_WHOQOL_Items'!B491</f>
        <v>Control</v>
      </c>
      <c r="C491" s="4">
        <f>4*(((6-'01_WHOQOL_Items'!F491) + (6-'01_WHOQOL_Items'!G491) + '01_WHOQOL_Items'!M491 + '01_WHOQOL_Items'!R491 + '01_WHOQOL_Items'!S491 + '01_WHOQOL_Items'!T491 + '01_WHOQOL_Items'!U491)/7)</f>
        <v>12.571428571428571</v>
      </c>
      <c r="D491" s="4">
        <f>4*(((6-'01_WHOQOL_Items'!AF491) + (6-'01_WHOQOL_Items'!AG491) + '01_WHOQOL_Items'!AM491 + '01_WHOQOL_Items'!AR491 + '01_WHOQOL_Items'!AS491 + '01_WHOQOL_Items'!AT491 + '01_WHOQOL_Items'!AU491)/7)</f>
        <v>16</v>
      </c>
      <c r="E491" s="4">
        <f t="shared" si="105"/>
        <v>53.571428571428569</v>
      </c>
      <c r="F491" s="4">
        <f t="shared" si="106"/>
        <v>75</v>
      </c>
      <c r="G491" s="5">
        <f t="shared" si="107"/>
        <v>0.40000000000000008</v>
      </c>
      <c r="H491" s="4">
        <f>4*(('01_WHOQOL_Items'!H491 + '01_WHOQOL_Items'!I491 + '01_WHOQOL_Items'!J491 + '01_WHOQOL_Items'!N491 + '01_WHOQOL_Items'!V491 + (6-'01_WHOQOL_Items'!AC491))/6)</f>
        <v>14.666666666666666</v>
      </c>
      <c r="I491" s="4">
        <f>4*(('01_WHOQOL_Items'!AH491 + '01_WHOQOL_Items'!AI491 + '01_WHOQOL_Items'!AJ491 + '01_WHOQOL_Items'!AN491 + '01_WHOQOL_Items'!AV491 + (6-'01_WHOQOL_Items'!BC491))/6)</f>
        <v>13.333333333333334</v>
      </c>
      <c r="J491" s="4">
        <f t="shared" si="108"/>
        <v>66.666666666666657</v>
      </c>
      <c r="K491" s="4">
        <f t="shared" si="109"/>
        <v>58.333333333333336</v>
      </c>
      <c r="L491" s="5">
        <f t="shared" si="110"/>
        <v>-0.12499999999999983</v>
      </c>
      <c r="M491" s="4">
        <f>4*(('01_WHOQOL_Items'!W491 + '01_WHOQOL_Items'!X491 + '01_WHOQOL_Items'!Y491)/3)</f>
        <v>6.666666666666667</v>
      </c>
      <c r="N491" s="4">
        <f>4*(('01_WHOQOL_Items'!AW491 + '01_WHOQOL_Items'!AX491 + '01_WHOQOL_Items'!AY491)/3)</f>
        <v>9.3333333333333339</v>
      </c>
      <c r="O491" s="4">
        <f t="shared" si="111"/>
        <v>16.666666666666668</v>
      </c>
      <c r="P491" s="4">
        <f t="shared" si="112"/>
        <v>33.333333333333336</v>
      </c>
      <c r="Q491" s="5">
        <f t="shared" si="113"/>
        <v>1</v>
      </c>
      <c r="R491" s="4">
        <f>4*(('01_WHOQOL_Items'!K491 + '01_WHOQOL_Items'!L491 + '01_WHOQOL_Items'!O491 + '01_WHOQOL_Items'!P491 + '01_WHOQOL_Items'!Q491 + '01_WHOQOL_Items'!Z491 + '01_WHOQOL_Items'!AA491 + '01_WHOQOL_Items'!AB491)/8)</f>
        <v>14</v>
      </c>
      <c r="S491" s="4">
        <f>4*(('01_WHOQOL_Items'!AK491 + '01_WHOQOL_Items'!AL491 + '01_WHOQOL_Items'!AO491 + '01_WHOQOL_Items'!AP491 + '01_WHOQOL_Items'!AQ491 + '01_WHOQOL_Items'!AZ491 + '01_WHOQOL_Items'!BA491 + '01_WHOQOL_Items'!BB491)/8)</f>
        <v>12</v>
      </c>
      <c r="T491" s="4">
        <f t="shared" si="114"/>
        <v>62.5</v>
      </c>
      <c r="U491" s="4">
        <f t="shared" si="115"/>
        <v>50</v>
      </c>
      <c r="V491" s="5">
        <f t="shared" si="116"/>
        <v>-0.2</v>
      </c>
      <c r="W491" s="4">
        <f t="shared" si="117"/>
        <v>49.851190476190474</v>
      </c>
      <c r="X491" s="4">
        <f t="shared" si="118"/>
        <v>54.166666666666671</v>
      </c>
      <c r="Y491" s="5">
        <f t="shared" si="119"/>
        <v>8.6567164179104608E-2</v>
      </c>
      <c r="Z491" s="1">
        <f>'01_WHOQOL_Items'!D491</f>
        <v>3</v>
      </c>
      <c r="AA491" s="1">
        <f>'01_WHOQOL_Items'!AD491</f>
        <v>2</v>
      </c>
      <c r="AB491" s="1">
        <f>'01_WHOQOL_Items'!E491</f>
        <v>4</v>
      </c>
      <c r="AC491" s="1">
        <f>'01_WHOQOL_Items'!AE491</f>
        <v>4</v>
      </c>
    </row>
    <row r="492" spans="1:29">
      <c r="A492" s="1" t="str">
        <f>'01_WHOQOL_Items'!A492</f>
        <v>CON-210</v>
      </c>
      <c r="B492" s="1" t="str">
        <f>'01_WHOQOL_Items'!B492</f>
        <v>Control</v>
      </c>
      <c r="C492" s="4">
        <f>4*(((6-'01_WHOQOL_Items'!F492) + (6-'01_WHOQOL_Items'!G492) + '01_WHOQOL_Items'!M492 + '01_WHOQOL_Items'!R492 + '01_WHOQOL_Items'!S492 + '01_WHOQOL_Items'!T492 + '01_WHOQOL_Items'!U492)/7)</f>
        <v>12</v>
      </c>
      <c r="D492" s="4">
        <f>4*(((6-'01_WHOQOL_Items'!AF492) + (6-'01_WHOQOL_Items'!AG492) + '01_WHOQOL_Items'!AM492 + '01_WHOQOL_Items'!AR492 + '01_WHOQOL_Items'!AS492 + '01_WHOQOL_Items'!AT492 + '01_WHOQOL_Items'!AU492)/7)</f>
        <v>14.285714285714286</v>
      </c>
      <c r="E492" s="4">
        <f t="shared" si="105"/>
        <v>50</v>
      </c>
      <c r="F492" s="4">
        <f t="shared" si="106"/>
        <v>64.285714285714292</v>
      </c>
      <c r="G492" s="5">
        <f t="shared" si="107"/>
        <v>0.28571428571428581</v>
      </c>
      <c r="H492" s="4">
        <f>4*(('01_WHOQOL_Items'!H492 + '01_WHOQOL_Items'!I492 + '01_WHOQOL_Items'!J492 + '01_WHOQOL_Items'!N492 + '01_WHOQOL_Items'!V492 + (6-'01_WHOQOL_Items'!AC492))/6)</f>
        <v>14</v>
      </c>
      <c r="I492" s="4">
        <f>4*(('01_WHOQOL_Items'!AH492 + '01_WHOQOL_Items'!AI492 + '01_WHOQOL_Items'!AJ492 + '01_WHOQOL_Items'!AN492 + '01_WHOQOL_Items'!AV492 + (6-'01_WHOQOL_Items'!BC492))/6)</f>
        <v>14</v>
      </c>
      <c r="J492" s="4">
        <f t="shared" si="108"/>
        <v>62.5</v>
      </c>
      <c r="K492" s="4">
        <f t="shared" si="109"/>
        <v>62.5</v>
      </c>
      <c r="L492" s="5">
        <f t="shared" si="110"/>
        <v>0</v>
      </c>
      <c r="M492" s="4">
        <f>4*(('01_WHOQOL_Items'!W492 + '01_WHOQOL_Items'!X492 + '01_WHOQOL_Items'!Y492)/3)</f>
        <v>16</v>
      </c>
      <c r="N492" s="4">
        <f>4*(('01_WHOQOL_Items'!AW492 + '01_WHOQOL_Items'!AX492 + '01_WHOQOL_Items'!AY492)/3)</f>
        <v>17.333333333333332</v>
      </c>
      <c r="O492" s="4">
        <f t="shared" si="111"/>
        <v>75</v>
      </c>
      <c r="P492" s="4">
        <f t="shared" si="112"/>
        <v>83.333333333333329</v>
      </c>
      <c r="Q492" s="5">
        <f t="shared" si="113"/>
        <v>0.11111111111111105</v>
      </c>
      <c r="R492" s="4">
        <f>4*(('01_WHOQOL_Items'!K492 + '01_WHOQOL_Items'!L492 + '01_WHOQOL_Items'!O492 + '01_WHOQOL_Items'!P492 + '01_WHOQOL_Items'!Q492 + '01_WHOQOL_Items'!Z492 + '01_WHOQOL_Items'!AA492 + '01_WHOQOL_Items'!AB492)/8)</f>
        <v>11</v>
      </c>
      <c r="S492" s="4">
        <f>4*(('01_WHOQOL_Items'!AK492 + '01_WHOQOL_Items'!AL492 + '01_WHOQOL_Items'!AO492 + '01_WHOQOL_Items'!AP492 + '01_WHOQOL_Items'!AQ492 + '01_WHOQOL_Items'!AZ492 + '01_WHOQOL_Items'!BA492 + '01_WHOQOL_Items'!BB492)/8)</f>
        <v>9</v>
      </c>
      <c r="T492" s="4">
        <f t="shared" si="114"/>
        <v>43.75</v>
      </c>
      <c r="U492" s="4">
        <f t="shared" si="115"/>
        <v>31.25</v>
      </c>
      <c r="V492" s="5">
        <f t="shared" si="116"/>
        <v>-0.2857142857142857</v>
      </c>
      <c r="W492" s="4">
        <f t="shared" si="117"/>
        <v>57.8125</v>
      </c>
      <c r="X492" s="4">
        <f t="shared" si="118"/>
        <v>60.342261904761905</v>
      </c>
      <c r="Y492" s="5">
        <f t="shared" si="119"/>
        <v>4.3758043758043763E-2</v>
      </c>
      <c r="Z492" s="1">
        <f>'01_WHOQOL_Items'!D492</f>
        <v>3</v>
      </c>
      <c r="AA492" s="1">
        <f>'01_WHOQOL_Items'!AD492</f>
        <v>3</v>
      </c>
      <c r="AB492" s="1">
        <f>'01_WHOQOL_Items'!E492</f>
        <v>3</v>
      </c>
      <c r="AC492" s="1">
        <f>'01_WHOQOL_Items'!AE492</f>
        <v>3</v>
      </c>
    </row>
    <row r="493" spans="1:29">
      <c r="A493" s="1" t="str">
        <f>'01_WHOQOL_Items'!A493</f>
        <v>CON-211</v>
      </c>
      <c r="B493" s="1" t="str">
        <f>'01_WHOQOL_Items'!B493</f>
        <v>Control</v>
      </c>
      <c r="C493" s="4">
        <f>4*(((6-'01_WHOQOL_Items'!F493) + (6-'01_WHOQOL_Items'!G493) + '01_WHOQOL_Items'!M493 + '01_WHOQOL_Items'!R493 + '01_WHOQOL_Items'!S493 + '01_WHOQOL_Items'!T493 + '01_WHOQOL_Items'!U493)/7)</f>
        <v>12.571428571428571</v>
      </c>
      <c r="D493" s="4">
        <f>4*(((6-'01_WHOQOL_Items'!AF493) + (6-'01_WHOQOL_Items'!AG493) + '01_WHOQOL_Items'!AM493 + '01_WHOQOL_Items'!AR493 + '01_WHOQOL_Items'!AS493 + '01_WHOQOL_Items'!AT493 + '01_WHOQOL_Items'!AU493)/7)</f>
        <v>12.571428571428571</v>
      </c>
      <c r="E493" s="4">
        <f t="shared" si="105"/>
        <v>53.571428571428569</v>
      </c>
      <c r="F493" s="4">
        <f t="shared" si="106"/>
        <v>53.571428571428569</v>
      </c>
      <c r="G493" s="5">
        <f t="shared" si="107"/>
        <v>0</v>
      </c>
      <c r="H493" s="4">
        <f>4*(('01_WHOQOL_Items'!H493 + '01_WHOQOL_Items'!I493 + '01_WHOQOL_Items'!J493 + '01_WHOQOL_Items'!N493 + '01_WHOQOL_Items'!V493 + (6-'01_WHOQOL_Items'!AC493))/6)</f>
        <v>11.333333333333334</v>
      </c>
      <c r="I493" s="4">
        <f>4*(('01_WHOQOL_Items'!AH493 + '01_WHOQOL_Items'!AI493 + '01_WHOQOL_Items'!AJ493 + '01_WHOQOL_Items'!AN493 + '01_WHOQOL_Items'!AV493 + (6-'01_WHOQOL_Items'!BC493))/6)</f>
        <v>12</v>
      </c>
      <c r="J493" s="4">
        <f t="shared" si="108"/>
        <v>45.833333333333336</v>
      </c>
      <c r="K493" s="4">
        <f t="shared" si="109"/>
        <v>50</v>
      </c>
      <c r="L493" s="5">
        <f t="shared" si="110"/>
        <v>9.0909090909090856E-2</v>
      </c>
      <c r="M493" s="4">
        <f>4*(('01_WHOQOL_Items'!W493 + '01_WHOQOL_Items'!X493 + '01_WHOQOL_Items'!Y493)/3)</f>
        <v>13.333333333333334</v>
      </c>
      <c r="N493" s="4">
        <f>4*(('01_WHOQOL_Items'!AW493 + '01_WHOQOL_Items'!AX493 + '01_WHOQOL_Items'!AY493)/3)</f>
        <v>13.333333333333334</v>
      </c>
      <c r="O493" s="4">
        <f t="shared" si="111"/>
        <v>58.333333333333336</v>
      </c>
      <c r="P493" s="4">
        <f t="shared" si="112"/>
        <v>58.333333333333336</v>
      </c>
      <c r="Q493" s="5">
        <f t="shared" si="113"/>
        <v>0</v>
      </c>
      <c r="R493" s="4">
        <f>4*(('01_WHOQOL_Items'!K493 + '01_WHOQOL_Items'!L493 + '01_WHOQOL_Items'!O493 + '01_WHOQOL_Items'!P493 + '01_WHOQOL_Items'!Q493 + '01_WHOQOL_Items'!Z493 + '01_WHOQOL_Items'!AA493 + '01_WHOQOL_Items'!AB493)/8)</f>
        <v>14.5</v>
      </c>
      <c r="S493" s="4">
        <f>4*(('01_WHOQOL_Items'!AK493 + '01_WHOQOL_Items'!AL493 + '01_WHOQOL_Items'!AO493 + '01_WHOQOL_Items'!AP493 + '01_WHOQOL_Items'!AQ493 + '01_WHOQOL_Items'!AZ493 + '01_WHOQOL_Items'!BA493 + '01_WHOQOL_Items'!BB493)/8)</f>
        <v>11</v>
      </c>
      <c r="T493" s="4">
        <f t="shared" si="114"/>
        <v>65.625</v>
      </c>
      <c r="U493" s="4">
        <f t="shared" si="115"/>
        <v>43.75</v>
      </c>
      <c r="V493" s="5">
        <f t="shared" si="116"/>
        <v>-0.33333333333333331</v>
      </c>
      <c r="W493" s="4">
        <f t="shared" si="117"/>
        <v>55.84077380952381</v>
      </c>
      <c r="X493" s="4">
        <f t="shared" si="118"/>
        <v>51.413690476190474</v>
      </c>
      <c r="Y493" s="5">
        <f t="shared" si="119"/>
        <v>-7.9280479680213234E-2</v>
      </c>
      <c r="Z493" s="1">
        <f>'01_WHOQOL_Items'!D493</f>
        <v>3</v>
      </c>
      <c r="AA493" s="1">
        <f>'01_WHOQOL_Items'!AD493</f>
        <v>3</v>
      </c>
      <c r="AB493" s="1">
        <f>'01_WHOQOL_Items'!E493</f>
        <v>3</v>
      </c>
      <c r="AC493" s="1">
        <f>'01_WHOQOL_Items'!AE493</f>
        <v>4</v>
      </c>
    </row>
    <row r="494" spans="1:29">
      <c r="A494" s="1" t="str">
        <f>'01_WHOQOL_Items'!A494</f>
        <v>CON-212</v>
      </c>
      <c r="B494" s="1" t="str">
        <f>'01_WHOQOL_Items'!B494</f>
        <v>Control</v>
      </c>
      <c r="C494" s="4">
        <f>4*(((6-'01_WHOQOL_Items'!F494) + (6-'01_WHOQOL_Items'!G494) + '01_WHOQOL_Items'!M494 + '01_WHOQOL_Items'!R494 + '01_WHOQOL_Items'!S494 + '01_WHOQOL_Items'!T494 + '01_WHOQOL_Items'!U494)/7)</f>
        <v>19.428571428571427</v>
      </c>
      <c r="D494" s="4">
        <f>4*(((6-'01_WHOQOL_Items'!AF494) + (6-'01_WHOQOL_Items'!AG494) + '01_WHOQOL_Items'!AM494 + '01_WHOQOL_Items'!AR494 + '01_WHOQOL_Items'!AS494 + '01_WHOQOL_Items'!AT494 + '01_WHOQOL_Items'!AU494)/7)</f>
        <v>18.857142857142858</v>
      </c>
      <c r="E494" s="4">
        <f t="shared" si="105"/>
        <v>96.428571428571416</v>
      </c>
      <c r="F494" s="4">
        <f t="shared" si="106"/>
        <v>92.857142857142861</v>
      </c>
      <c r="G494" s="5">
        <f t="shared" si="107"/>
        <v>-3.7037037037036875E-2</v>
      </c>
      <c r="H494" s="4">
        <f>4*(('01_WHOQOL_Items'!H494 + '01_WHOQOL_Items'!I494 + '01_WHOQOL_Items'!J494 + '01_WHOQOL_Items'!N494 + '01_WHOQOL_Items'!V494 + (6-'01_WHOQOL_Items'!AC494))/6)</f>
        <v>11.333333333333334</v>
      </c>
      <c r="I494" s="4">
        <f>4*(('01_WHOQOL_Items'!AH494 + '01_WHOQOL_Items'!AI494 + '01_WHOQOL_Items'!AJ494 + '01_WHOQOL_Items'!AN494 + '01_WHOQOL_Items'!AV494 + (6-'01_WHOQOL_Items'!BC494))/6)</f>
        <v>12.666666666666666</v>
      </c>
      <c r="J494" s="4">
        <f t="shared" si="108"/>
        <v>45.833333333333336</v>
      </c>
      <c r="K494" s="4">
        <f t="shared" si="109"/>
        <v>54.166666666666664</v>
      </c>
      <c r="L494" s="5">
        <f t="shared" si="110"/>
        <v>0.18181818181818171</v>
      </c>
      <c r="M494" s="4">
        <f>4*(('01_WHOQOL_Items'!W494 + '01_WHOQOL_Items'!X494 + '01_WHOQOL_Items'!Y494)/3)</f>
        <v>5.333333333333333</v>
      </c>
      <c r="N494" s="4">
        <f>4*(('01_WHOQOL_Items'!AW494 + '01_WHOQOL_Items'!AX494 + '01_WHOQOL_Items'!AY494)/3)</f>
        <v>6.666666666666667</v>
      </c>
      <c r="O494" s="4">
        <f t="shared" si="111"/>
        <v>8.3333333333333321</v>
      </c>
      <c r="P494" s="4">
        <f t="shared" si="112"/>
        <v>16.666666666666668</v>
      </c>
      <c r="Q494" s="5">
        <f t="shared" si="113"/>
        <v>1.0000000000000004</v>
      </c>
      <c r="R494" s="4">
        <f>4*(('01_WHOQOL_Items'!K494 + '01_WHOQOL_Items'!L494 + '01_WHOQOL_Items'!O494 + '01_WHOQOL_Items'!P494 + '01_WHOQOL_Items'!Q494 + '01_WHOQOL_Items'!Z494 + '01_WHOQOL_Items'!AA494 + '01_WHOQOL_Items'!AB494)/8)</f>
        <v>13.5</v>
      </c>
      <c r="S494" s="4">
        <f>4*(('01_WHOQOL_Items'!AK494 + '01_WHOQOL_Items'!AL494 + '01_WHOQOL_Items'!AO494 + '01_WHOQOL_Items'!AP494 + '01_WHOQOL_Items'!AQ494 + '01_WHOQOL_Items'!AZ494 + '01_WHOQOL_Items'!BA494 + '01_WHOQOL_Items'!BB494)/8)</f>
        <v>14.5</v>
      </c>
      <c r="T494" s="4">
        <f t="shared" si="114"/>
        <v>59.375</v>
      </c>
      <c r="U494" s="4">
        <f t="shared" si="115"/>
        <v>65.625</v>
      </c>
      <c r="V494" s="5">
        <f t="shared" si="116"/>
        <v>0.10526315789473684</v>
      </c>
      <c r="W494" s="4">
        <f t="shared" si="117"/>
        <v>52.492559523809526</v>
      </c>
      <c r="X494" s="4">
        <f t="shared" si="118"/>
        <v>57.328869047619044</v>
      </c>
      <c r="Y494" s="5">
        <f t="shared" si="119"/>
        <v>9.2133238837703649E-2</v>
      </c>
      <c r="Z494" s="1">
        <f>'01_WHOQOL_Items'!D494</f>
        <v>3</v>
      </c>
      <c r="AA494" s="1">
        <f>'01_WHOQOL_Items'!AD494</f>
        <v>3</v>
      </c>
      <c r="AB494" s="1">
        <f>'01_WHOQOL_Items'!E494</f>
        <v>4</v>
      </c>
      <c r="AC494" s="1">
        <f>'01_WHOQOL_Items'!AE494</f>
        <v>4</v>
      </c>
    </row>
    <row r="495" spans="1:29">
      <c r="A495" s="1" t="str">
        <f>'01_WHOQOL_Items'!A495</f>
        <v>CON-213</v>
      </c>
      <c r="B495" s="1" t="str">
        <f>'01_WHOQOL_Items'!B495</f>
        <v>Control</v>
      </c>
      <c r="C495" s="4">
        <f>4*(((6-'01_WHOQOL_Items'!F495) + (6-'01_WHOQOL_Items'!G495) + '01_WHOQOL_Items'!M495 + '01_WHOQOL_Items'!R495 + '01_WHOQOL_Items'!S495 + '01_WHOQOL_Items'!T495 + '01_WHOQOL_Items'!U495)/7)</f>
        <v>13.714285714285714</v>
      </c>
      <c r="D495" s="4">
        <f>4*(((6-'01_WHOQOL_Items'!AF495) + (6-'01_WHOQOL_Items'!AG495) + '01_WHOQOL_Items'!AM495 + '01_WHOQOL_Items'!AR495 + '01_WHOQOL_Items'!AS495 + '01_WHOQOL_Items'!AT495 + '01_WHOQOL_Items'!AU495)/7)</f>
        <v>14.857142857142858</v>
      </c>
      <c r="E495" s="4">
        <f t="shared" si="105"/>
        <v>60.714285714285708</v>
      </c>
      <c r="F495" s="4">
        <f t="shared" si="106"/>
        <v>67.857142857142861</v>
      </c>
      <c r="G495" s="5">
        <f t="shared" si="107"/>
        <v>0.11764705882352959</v>
      </c>
      <c r="H495" s="4">
        <f>4*(('01_WHOQOL_Items'!H495 + '01_WHOQOL_Items'!I495 + '01_WHOQOL_Items'!J495 + '01_WHOQOL_Items'!N495 + '01_WHOQOL_Items'!V495 + (6-'01_WHOQOL_Items'!AC495))/6)</f>
        <v>12.666666666666666</v>
      </c>
      <c r="I495" s="4">
        <f>4*(('01_WHOQOL_Items'!AH495 + '01_WHOQOL_Items'!AI495 + '01_WHOQOL_Items'!AJ495 + '01_WHOQOL_Items'!AN495 + '01_WHOQOL_Items'!AV495 + (6-'01_WHOQOL_Items'!BC495))/6)</f>
        <v>11.333333333333334</v>
      </c>
      <c r="J495" s="4">
        <f t="shared" si="108"/>
        <v>54.166666666666664</v>
      </c>
      <c r="K495" s="4">
        <f t="shared" si="109"/>
        <v>45.833333333333336</v>
      </c>
      <c r="L495" s="5">
        <f t="shared" si="110"/>
        <v>-0.15384615384615377</v>
      </c>
      <c r="M495" s="4">
        <f>4*(('01_WHOQOL_Items'!W495 + '01_WHOQOL_Items'!X495 + '01_WHOQOL_Items'!Y495)/3)</f>
        <v>9.3333333333333339</v>
      </c>
      <c r="N495" s="4">
        <f>4*(('01_WHOQOL_Items'!AW495 + '01_WHOQOL_Items'!AX495 + '01_WHOQOL_Items'!AY495)/3)</f>
        <v>12</v>
      </c>
      <c r="O495" s="4">
        <f t="shared" si="111"/>
        <v>33.333333333333336</v>
      </c>
      <c r="P495" s="4">
        <f t="shared" si="112"/>
        <v>50</v>
      </c>
      <c r="Q495" s="5">
        <f t="shared" si="113"/>
        <v>0.49999999999999989</v>
      </c>
      <c r="R495" s="4">
        <f>4*(('01_WHOQOL_Items'!K495 + '01_WHOQOL_Items'!L495 + '01_WHOQOL_Items'!O495 + '01_WHOQOL_Items'!P495 + '01_WHOQOL_Items'!Q495 + '01_WHOQOL_Items'!Z495 + '01_WHOQOL_Items'!AA495 + '01_WHOQOL_Items'!AB495)/8)</f>
        <v>11.5</v>
      </c>
      <c r="S495" s="4">
        <f>4*(('01_WHOQOL_Items'!AK495 + '01_WHOQOL_Items'!AL495 + '01_WHOQOL_Items'!AO495 + '01_WHOQOL_Items'!AP495 + '01_WHOQOL_Items'!AQ495 + '01_WHOQOL_Items'!AZ495 + '01_WHOQOL_Items'!BA495 + '01_WHOQOL_Items'!BB495)/8)</f>
        <v>10.5</v>
      </c>
      <c r="T495" s="4">
        <f t="shared" si="114"/>
        <v>46.875</v>
      </c>
      <c r="U495" s="4">
        <f t="shared" si="115"/>
        <v>40.625</v>
      </c>
      <c r="V495" s="5">
        <f t="shared" si="116"/>
        <v>-0.13333333333333333</v>
      </c>
      <c r="W495" s="4">
        <f t="shared" si="117"/>
        <v>48.772321428571431</v>
      </c>
      <c r="X495" s="4">
        <f t="shared" si="118"/>
        <v>51.078869047619051</v>
      </c>
      <c r="Y495" s="5">
        <f t="shared" si="119"/>
        <v>4.7292143401983247E-2</v>
      </c>
      <c r="Z495" s="1">
        <f>'01_WHOQOL_Items'!D495</f>
        <v>2</v>
      </c>
      <c r="AA495" s="1">
        <f>'01_WHOQOL_Items'!AD495</f>
        <v>2</v>
      </c>
      <c r="AB495" s="1">
        <f>'01_WHOQOL_Items'!E495</f>
        <v>3</v>
      </c>
      <c r="AC495" s="1">
        <f>'01_WHOQOL_Items'!AE495</f>
        <v>4</v>
      </c>
    </row>
    <row r="496" spans="1:29">
      <c r="A496" s="1" t="str">
        <f>'01_WHOQOL_Items'!A496</f>
        <v>CON-214</v>
      </c>
      <c r="B496" s="1" t="str">
        <f>'01_WHOQOL_Items'!B496</f>
        <v>Control</v>
      </c>
      <c r="C496" s="4">
        <f>4*(((6-'01_WHOQOL_Items'!F496) + (6-'01_WHOQOL_Items'!G496) + '01_WHOQOL_Items'!M496 + '01_WHOQOL_Items'!R496 + '01_WHOQOL_Items'!S496 + '01_WHOQOL_Items'!T496 + '01_WHOQOL_Items'!U496)/7)</f>
        <v>12</v>
      </c>
      <c r="D496" s="4">
        <f>4*(((6-'01_WHOQOL_Items'!AF496) + (6-'01_WHOQOL_Items'!AG496) + '01_WHOQOL_Items'!AM496 + '01_WHOQOL_Items'!AR496 + '01_WHOQOL_Items'!AS496 + '01_WHOQOL_Items'!AT496 + '01_WHOQOL_Items'!AU496)/7)</f>
        <v>12.571428571428571</v>
      </c>
      <c r="E496" s="4">
        <f t="shared" si="105"/>
        <v>50</v>
      </c>
      <c r="F496" s="4">
        <f t="shared" si="106"/>
        <v>53.571428571428569</v>
      </c>
      <c r="G496" s="5">
        <f t="shared" si="107"/>
        <v>7.1428571428571383E-2</v>
      </c>
      <c r="H496" s="4">
        <f>4*(('01_WHOQOL_Items'!H496 + '01_WHOQOL_Items'!I496 + '01_WHOQOL_Items'!J496 + '01_WHOQOL_Items'!N496 + '01_WHOQOL_Items'!V496 + (6-'01_WHOQOL_Items'!AC496))/6)</f>
        <v>10</v>
      </c>
      <c r="I496" s="4">
        <f>4*(('01_WHOQOL_Items'!AH496 + '01_WHOQOL_Items'!AI496 + '01_WHOQOL_Items'!AJ496 + '01_WHOQOL_Items'!AN496 + '01_WHOQOL_Items'!AV496 + (6-'01_WHOQOL_Items'!BC496))/6)</f>
        <v>10</v>
      </c>
      <c r="J496" s="4">
        <f t="shared" si="108"/>
        <v>37.5</v>
      </c>
      <c r="K496" s="4">
        <f t="shared" si="109"/>
        <v>37.5</v>
      </c>
      <c r="L496" s="5">
        <f t="shared" si="110"/>
        <v>0</v>
      </c>
      <c r="M496" s="4">
        <f>4*(('01_WHOQOL_Items'!W496 + '01_WHOQOL_Items'!X496 + '01_WHOQOL_Items'!Y496)/3)</f>
        <v>8</v>
      </c>
      <c r="N496" s="4">
        <f>4*(('01_WHOQOL_Items'!AW496 + '01_WHOQOL_Items'!AX496 + '01_WHOQOL_Items'!AY496)/3)</f>
        <v>8</v>
      </c>
      <c r="O496" s="4">
        <f t="shared" si="111"/>
        <v>25</v>
      </c>
      <c r="P496" s="4">
        <f t="shared" si="112"/>
        <v>25</v>
      </c>
      <c r="Q496" s="5">
        <f t="shared" si="113"/>
        <v>0</v>
      </c>
      <c r="R496" s="4">
        <f>4*(('01_WHOQOL_Items'!K496 + '01_WHOQOL_Items'!L496 + '01_WHOQOL_Items'!O496 + '01_WHOQOL_Items'!P496 + '01_WHOQOL_Items'!Q496 + '01_WHOQOL_Items'!Z496 + '01_WHOQOL_Items'!AA496 + '01_WHOQOL_Items'!AB496)/8)</f>
        <v>9.5</v>
      </c>
      <c r="S496" s="4">
        <f>4*(('01_WHOQOL_Items'!AK496 + '01_WHOQOL_Items'!AL496 + '01_WHOQOL_Items'!AO496 + '01_WHOQOL_Items'!AP496 + '01_WHOQOL_Items'!AQ496 + '01_WHOQOL_Items'!AZ496 + '01_WHOQOL_Items'!BA496 + '01_WHOQOL_Items'!BB496)/8)</f>
        <v>10</v>
      </c>
      <c r="T496" s="4">
        <f t="shared" si="114"/>
        <v>34.375</v>
      </c>
      <c r="U496" s="4">
        <f t="shared" si="115"/>
        <v>37.5</v>
      </c>
      <c r="V496" s="5">
        <f t="shared" si="116"/>
        <v>9.0909090909090912E-2</v>
      </c>
      <c r="W496" s="4">
        <f t="shared" si="117"/>
        <v>36.71875</v>
      </c>
      <c r="X496" s="4">
        <f t="shared" si="118"/>
        <v>38.392857142857139</v>
      </c>
      <c r="Y496" s="5">
        <f t="shared" si="119"/>
        <v>4.5592705167173141E-2</v>
      </c>
      <c r="Z496" s="1">
        <f>'01_WHOQOL_Items'!D496</f>
        <v>3</v>
      </c>
      <c r="AA496" s="1">
        <f>'01_WHOQOL_Items'!AD496</f>
        <v>3</v>
      </c>
      <c r="AB496" s="1">
        <f>'01_WHOQOL_Items'!E496</f>
        <v>3</v>
      </c>
      <c r="AC496" s="1">
        <f>'01_WHOQOL_Items'!AE496</f>
        <v>4</v>
      </c>
    </row>
    <row r="497" spans="1:29">
      <c r="A497" s="1" t="str">
        <f>'01_WHOQOL_Items'!A497</f>
        <v>CON-215</v>
      </c>
      <c r="B497" s="1" t="str">
        <f>'01_WHOQOL_Items'!B497</f>
        <v>Control</v>
      </c>
      <c r="C497" s="4">
        <f>4*(((6-'01_WHOQOL_Items'!F497) + (6-'01_WHOQOL_Items'!G497) + '01_WHOQOL_Items'!M497 + '01_WHOQOL_Items'!R497 + '01_WHOQOL_Items'!S497 + '01_WHOQOL_Items'!T497 + '01_WHOQOL_Items'!U497)/7)</f>
        <v>10.285714285714286</v>
      </c>
      <c r="D497" s="4">
        <f>4*(((6-'01_WHOQOL_Items'!AF497) + (6-'01_WHOQOL_Items'!AG497) + '01_WHOQOL_Items'!AM497 + '01_WHOQOL_Items'!AR497 + '01_WHOQOL_Items'!AS497 + '01_WHOQOL_Items'!AT497 + '01_WHOQOL_Items'!AU497)/7)</f>
        <v>10.285714285714286</v>
      </c>
      <c r="E497" s="4">
        <f t="shared" si="105"/>
        <v>39.285714285714292</v>
      </c>
      <c r="F497" s="4">
        <f t="shared" si="106"/>
        <v>39.285714285714292</v>
      </c>
      <c r="G497" s="5">
        <f t="shared" si="107"/>
        <v>0</v>
      </c>
      <c r="H497" s="4">
        <f>4*(('01_WHOQOL_Items'!H497 + '01_WHOQOL_Items'!I497 + '01_WHOQOL_Items'!J497 + '01_WHOQOL_Items'!N497 + '01_WHOQOL_Items'!V497 + (6-'01_WHOQOL_Items'!AC497))/6)</f>
        <v>11.333333333333334</v>
      </c>
      <c r="I497" s="4">
        <f>4*(('01_WHOQOL_Items'!AH497 + '01_WHOQOL_Items'!AI497 + '01_WHOQOL_Items'!AJ497 + '01_WHOQOL_Items'!AN497 + '01_WHOQOL_Items'!AV497 + (6-'01_WHOQOL_Items'!BC497))/6)</f>
        <v>10.666666666666666</v>
      </c>
      <c r="J497" s="4">
        <f t="shared" si="108"/>
        <v>45.833333333333336</v>
      </c>
      <c r="K497" s="4">
        <f t="shared" si="109"/>
        <v>41.666666666666664</v>
      </c>
      <c r="L497" s="5">
        <f t="shared" si="110"/>
        <v>-9.0909090909091009E-2</v>
      </c>
      <c r="M497" s="4">
        <f>4*(('01_WHOQOL_Items'!W497 + '01_WHOQOL_Items'!X497 + '01_WHOQOL_Items'!Y497)/3)</f>
        <v>10.666666666666666</v>
      </c>
      <c r="N497" s="4">
        <f>4*(('01_WHOQOL_Items'!AW497 + '01_WHOQOL_Items'!AX497 + '01_WHOQOL_Items'!AY497)/3)</f>
        <v>10.666666666666666</v>
      </c>
      <c r="O497" s="4">
        <f t="shared" si="111"/>
        <v>41.666666666666664</v>
      </c>
      <c r="P497" s="4">
        <f t="shared" si="112"/>
        <v>41.666666666666664</v>
      </c>
      <c r="Q497" s="5">
        <f t="shared" si="113"/>
        <v>0</v>
      </c>
      <c r="R497" s="4">
        <f>4*(('01_WHOQOL_Items'!K497 + '01_WHOQOL_Items'!L497 + '01_WHOQOL_Items'!O497 + '01_WHOQOL_Items'!P497 + '01_WHOQOL_Items'!Q497 + '01_WHOQOL_Items'!Z497 + '01_WHOQOL_Items'!AA497 + '01_WHOQOL_Items'!AB497)/8)</f>
        <v>11</v>
      </c>
      <c r="S497" s="4">
        <f>4*(('01_WHOQOL_Items'!AK497 + '01_WHOQOL_Items'!AL497 + '01_WHOQOL_Items'!AO497 + '01_WHOQOL_Items'!AP497 + '01_WHOQOL_Items'!AQ497 + '01_WHOQOL_Items'!AZ497 + '01_WHOQOL_Items'!BA497 + '01_WHOQOL_Items'!BB497)/8)</f>
        <v>10</v>
      </c>
      <c r="T497" s="4">
        <f t="shared" si="114"/>
        <v>43.75</v>
      </c>
      <c r="U497" s="4">
        <f t="shared" si="115"/>
        <v>37.5</v>
      </c>
      <c r="V497" s="5">
        <f t="shared" si="116"/>
        <v>-0.14285714285714285</v>
      </c>
      <c r="W497" s="4">
        <f t="shared" si="117"/>
        <v>42.633928571428569</v>
      </c>
      <c r="X497" s="4">
        <f t="shared" si="118"/>
        <v>40.029761904761905</v>
      </c>
      <c r="Y497" s="5">
        <f t="shared" si="119"/>
        <v>-6.1082024432809717E-2</v>
      </c>
      <c r="Z497" s="1">
        <f>'01_WHOQOL_Items'!D497</f>
        <v>3</v>
      </c>
      <c r="AA497" s="1">
        <f>'01_WHOQOL_Items'!AD497</f>
        <v>3</v>
      </c>
      <c r="AB497" s="1">
        <f>'01_WHOQOL_Items'!E497</f>
        <v>3</v>
      </c>
      <c r="AC497" s="1">
        <f>'01_WHOQOL_Items'!AE497</f>
        <v>3</v>
      </c>
    </row>
    <row r="498" spans="1:29">
      <c r="A498" s="1" t="str">
        <f>'01_WHOQOL_Items'!A498</f>
        <v>CON-216</v>
      </c>
      <c r="B498" s="1" t="str">
        <f>'01_WHOQOL_Items'!B498</f>
        <v>Control</v>
      </c>
      <c r="C498" s="4">
        <f>4*(((6-'01_WHOQOL_Items'!F498) + (6-'01_WHOQOL_Items'!G498) + '01_WHOQOL_Items'!M498 + '01_WHOQOL_Items'!R498 + '01_WHOQOL_Items'!S498 + '01_WHOQOL_Items'!T498 + '01_WHOQOL_Items'!U498)/7)</f>
        <v>13.142857142857142</v>
      </c>
      <c r="D498" s="4">
        <f>4*(((6-'01_WHOQOL_Items'!AF498) + (6-'01_WHOQOL_Items'!AG498) + '01_WHOQOL_Items'!AM498 + '01_WHOQOL_Items'!AR498 + '01_WHOQOL_Items'!AS498 + '01_WHOQOL_Items'!AT498 + '01_WHOQOL_Items'!AU498)/7)</f>
        <v>13.714285714285714</v>
      </c>
      <c r="E498" s="4">
        <f t="shared" si="105"/>
        <v>57.142857142857139</v>
      </c>
      <c r="F498" s="4">
        <f t="shared" si="106"/>
        <v>60.714285714285708</v>
      </c>
      <c r="G498" s="5">
        <f t="shared" si="107"/>
        <v>6.2499999999999972E-2</v>
      </c>
      <c r="H498" s="4">
        <f>4*(('01_WHOQOL_Items'!H498 + '01_WHOQOL_Items'!I498 + '01_WHOQOL_Items'!J498 + '01_WHOQOL_Items'!N498 + '01_WHOQOL_Items'!V498 + (6-'01_WHOQOL_Items'!AC498))/6)</f>
        <v>10</v>
      </c>
      <c r="I498" s="4">
        <f>4*(('01_WHOQOL_Items'!AH498 + '01_WHOQOL_Items'!AI498 + '01_WHOQOL_Items'!AJ498 + '01_WHOQOL_Items'!AN498 + '01_WHOQOL_Items'!AV498 + (6-'01_WHOQOL_Items'!BC498))/6)</f>
        <v>12</v>
      </c>
      <c r="J498" s="4">
        <f t="shared" si="108"/>
        <v>37.5</v>
      </c>
      <c r="K498" s="4">
        <f t="shared" si="109"/>
        <v>50</v>
      </c>
      <c r="L498" s="5">
        <f t="shared" si="110"/>
        <v>0.33333333333333331</v>
      </c>
      <c r="M498" s="4">
        <f>4*(('01_WHOQOL_Items'!W498 + '01_WHOQOL_Items'!X498 + '01_WHOQOL_Items'!Y498)/3)</f>
        <v>8</v>
      </c>
      <c r="N498" s="4">
        <f>4*(('01_WHOQOL_Items'!AW498 + '01_WHOQOL_Items'!AX498 + '01_WHOQOL_Items'!AY498)/3)</f>
        <v>12</v>
      </c>
      <c r="O498" s="4">
        <f t="shared" si="111"/>
        <v>25</v>
      </c>
      <c r="P498" s="4">
        <f t="shared" si="112"/>
        <v>50</v>
      </c>
      <c r="Q498" s="5">
        <f t="shared" si="113"/>
        <v>1</v>
      </c>
      <c r="R498" s="4">
        <f>4*(('01_WHOQOL_Items'!K498 + '01_WHOQOL_Items'!L498 + '01_WHOQOL_Items'!O498 + '01_WHOQOL_Items'!P498 + '01_WHOQOL_Items'!Q498 + '01_WHOQOL_Items'!Z498 + '01_WHOQOL_Items'!AA498 + '01_WHOQOL_Items'!AB498)/8)</f>
        <v>10.5</v>
      </c>
      <c r="S498" s="4">
        <f>4*(('01_WHOQOL_Items'!AK498 + '01_WHOQOL_Items'!AL498 + '01_WHOQOL_Items'!AO498 + '01_WHOQOL_Items'!AP498 + '01_WHOQOL_Items'!AQ498 + '01_WHOQOL_Items'!AZ498 + '01_WHOQOL_Items'!BA498 + '01_WHOQOL_Items'!BB498)/8)</f>
        <v>9</v>
      </c>
      <c r="T498" s="4">
        <f t="shared" si="114"/>
        <v>40.625</v>
      </c>
      <c r="U498" s="4">
        <f t="shared" si="115"/>
        <v>31.25</v>
      </c>
      <c r="V498" s="5">
        <f t="shared" si="116"/>
        <v>-0.23076923076923078</v>
      </c>
      <c r="W498" s="4">
        <f t="shared" si="117"/>
        <v>40.066964285714285</v>
      </c>
      <c r="X498" s="4">
        <f t="shared" si="118"/>
        <v>47.991071428571431</v>
      </c>
      <c r="Y498" s="5">
        <f t="shared" si="119"/>
        <v>0.19777158774373269</v>
      </c>
      <c r="Z498" s="1">
        <f>'01_WHOQOL_Items'!D498</f>
        <v>2</v>
      </c>
      <c r="AA498" s="1">
        <f>'01_WHOQOL_Items'!AD498</f>
        <v>3</v>
      </c>
      <c r="AB498" s="1">
        <f>'01_WHOQOL_Items'!E498</f>
        <v>3</v>
      </c>
      <c r="AC498" s="1">
        <f>'01_WHOQOL_Items'!AE498</f>
        <v>3</v>
      </c>
    </row>
    <row r="499" spans="1:29">
      <c r="A499" s="1" t="str">
        <f>'01_WHOQOL_Items'!A499</f>
        <v>CON-217</v>
      </c>
      <c r="B499" s="1" t="str">
        <f>'01_WHOQOL_Items'!B499</f>
        <v>Control</v>
      </c>
      <c r="C499" s="4">
        <f>4*(((6-'01_WHOQOL_Items'!F499) + (6-'01_WHOQOL_Items'!G499) + '01_WHOQOL_Items'!M499 + '01_WHOQOL_Items'!R499 + '01_WHOQOL_Items'!S499 + '01_WHOQOL_Items'!T499 + '01_WHOQOL_Items'!U499)/7)</f>
        <v>14.285714285714286</v>
      </c>
      <c r="D499" s="4">
        <f>4*(((6-'01_WHOQOL_Items'!AF499) + (6-'01_WHOQOL_Items'!AG499) + '01_WHOQOL_Items'!AM499 + '01_WHOQOL_Items'!AR499 + '01_WHOQOL_Items'!AS499 + '01_WHOQOL_Items'!AT499 + '01_WHOQOL_Items'!AU499)/7)</f>
        <v>13.142857142857142</v>
      </c>
      <c r="E499" s="4">
        <f t="shared" si="105"/>
        <v>64.285714285714292</v>
      </c>
      <c r="F499" s="4">
        <f t="shared" si="106"/>
        <v>57.142857142857139</v>
      </c>
      <c r="G499" s="5">
        <f t="shared" si="107"/>
        <v>-0.11111111111111126</v>
      </c>
      <c r="H499" s="4">
        <f>4*(('01_WHOQOL_Items'!H499 + '01_WHOQOL_Items'!I499 + '01_WHOQOL_Items'!J499 + '01_WHOQOL_Items'!N499 + '01_WHOQOL_Items'!V499 + (6-'01_WHOQOL_Items'!AC499))/6)</f>
        <v>12.666666666666666</v>
      </c>
      <c r="I499" s="4">
        <f>4*(('01_WHOQOL_Items'!AH499 + '01_WHOQOL_Items'!AI499 + '01_WHOQOL_Items'!AJ499 + '01_WHOQOL_Items'!AN499 + '01_WHOQOL_Items'!AV499 + (6-'01_WHOQOL_Items'!BC499))/6)</f>
        <v>13.333333333333334</v>
      </c>
      <c r="J499" s="4">
        <f t="shared" si="108"/>
        <v>54.166666666666664</v>
      </c>
      <c r="K499" s="4">
        <f t="shared" si="109"/>
        <v>58.333333333333336</v>
      </c>
      <c r="L499" s="5">
        <f t="shared" si="110"/>
        <v>7.6923076923077011E-2</v>
      </c>
      <c r="M499" s="4">
        <f>4*(('01_WHOQOL_Items'!W499 + '01_WHOQOL_Items'!X499 + '01_WHOQOL_Items'!Y499)/3)</f>
        <v>10.666666666666666</v>
      </c>
      <c r="N499" s="4">
        <f>4*(('01_WHOQOL_Items'!AW499 + '01_WHOQOL_Items'!AX499 + '01_WHOQOL_Items'!AY499)/3)</f>
        <v>10.666666666666666</v>
      </c>
      <c r="O499" s="4">
        <f t="shared" si="111"/>
        <v>41.666666666666664</v>
      </c>
      <c r="P499" s="4">
        <f t="shared" si="112"/>
        <v>41.666666666666664</v>
      </c>
      <c r="Q499" s="5">
        <f t="shared" si="113"/>
        <v>0</v>
      </c>
      <c r="R499" s="4">
        <f>4*(('01_WHOQOL_Items'!K499 + '01_WHOQOL_Items'!L499 + '01_WHOQOL_Items'!O499 + '01_WHOQOL_Items'!P499 + '01_WHOQOL_Items'!Q499 + '01_WHOQOL_Items'!Z499 + '01_WHOQOL_Items'!AA499 + '01_WHOQOL_Items'!AB499)/8)</f>
        <v>10</v>
      </c>
      <c r="S499" s="4">
        <f>4*(('01_WHOQOL_Items'!AK499 + '01_WHOQOL_Items'!AL499 + '01_WHOQOL_Items'!AO499 + '01_WHOQOL_Items'!AP499 + '01_WHOQOL_Items'!AQ499 + '01_WHOQOL_Items'!AZ499 + '01_WHOQOL_Items'!BA499 + '01_WHOQOL_Items'!BB499)/8)</f>
        <v>9</v>
      </c>
      <c r="T499" s="4">
        <f t="shared" si="114"/>
        <v>37.5</v>
      </c>
      <c r="U499" s="4">
        <f t="shared" si="115"/>
        <v>31.25</v>
      </c>
      <c r="V499" s="5">
        <f t="shared" si="116"/>
        <v>-0.16666666666666666</v>
      </c>
      <c r="W499" s="4">
        <f t="shared" si="117"/>
        <v>49.404761904761905</v>
      </c>
      <c r="X499" s="4">
        <f t="shared" si="118"/>
        <v>47.098214285714285</v>
      </c>
      <c r="Y499" s="5">
        <f t="shared" si="119"/>
        <v>-4.6686746987951833E-2</v>
      </c>
      <c r="Z499" s="1">
        <f>'01_WHOQOL_Items'!D499</f>
        <v>3</v>
      </c>
      <c r="AA499" s="1">
        <f>'01_WHOQOL_Items'!AD499</f>
        <v>3</v>
      </c>
      <c r="AB499" s="1">
        <f>'01_WHOQOL_Items'!E499</f>
        <v>3</v>
      </c>
      <c r="AC499" s="1">
        <f>'01_WHOQOL_Items'!AE499</f>
        <v>4</v>
      </c>
    </row>
    <row r="500" spans="1:29">
      <c r="A500" s="1" t="str">
        <f>'01_WHOQOL_Items'!A500</f>
        <v>CON-218</v>
      </c>
      <c r="B500" s="1" t="str">
        <f>'01_WHOQOL_Items'!B500</f>
        <v>Control</v>
      </c>
      <c r="C500" s="4">
        <f>4*(((6-'01_WHOQOL_Items'!F500) + (6-'01_WHOQOL_Items'!G500) + '01_WHOQOL_Items'!M500 + '01_WHOQOL_Items'!R500 + '01_WHOQOL_Items'!S500 + '01_WHOQOL_Items'!T500 + '01_WHOQOL_Items'!U500)/7)</f>
        <v>10.285714285714286</v>
      </c>
      <c r="D500" s="4">
        <f>4*(((6-'01_WHOQOL_Items'!AF500) + (6-'01_WHOQOL_Items'!AG500) + '01_WHOQOL_Items'!AM500 + '01_WHOQOL_Items'!AR500 + '01_WHOQOL_Items'!AS500 + '01_WHOQOL_Items'!AT500 + '01_WHOQOL_Items'!AU500)/7)</f>
        <v>12</v>
      </c>
      <c r="E500" s="4">
        <f t="shared" si="105"/>
        <v>39.285714285714292</v>
      </c>
      <c r="F500" s="4">
        <f t="shared" si="106"/>
        <v>50</v>
      </c>
      <c r="G500" s="5">
        <f t="shared" si="107"/>
        <v>0.27272727272727254</v>
      </c>
      <c r="H500" s="4">
        <f>4*(('01_WHOQOL_Items'!H500 + '01_WHOQOL_Items'!I500 + '01_WHOQOL_Items'!J500 + '01_WHOQOL_Items'!N500 + '01_WHOQOL_Items'!V500 + (6-'01_WHOQOL_Items'!AC500))/6)</f>
        <v>13.333333333333334</v>
      </c>
      <c r="I500" s="4">
        <f>4*(('01_WHOQOL_Items'!AH500 + '01_WHOQOL_Items'!AI500 + '01_WHOQOL_Items'!AJ500 + '01_WHOQOL_Items'!AN500 + '01_WHOQOL_Items'!AV500 + (6-'01_WHOQOL_Items'!BC500))/6)</f>
        <v>15.333333333333334</v>
      </c>
      <c r="J500" s="4">
        <f t="shared" si="108"/>
        <v>58.333333333333336</v>
      </c>
      <c r="K500" s="4">
        <f t="shared" si="109"/>
        <v>70.833333333333343</v>
      </c>
      <c r="L500" s="5">
        <f t="shared" si="110"/>
        <v>0.21428571428571441</v>
      </c>
      <c r="M500" s="4">
        <f>4*(('01_WHOQOL_Items'!W500 + '01_WHOQOL_Items'!X500 + '01_WHOQOL_Items'!Y500)/3)</f>
        <v>10.666666666666666</v>
      </c>
      <c r="N500" s="4">
        <f>4*(('01_WHOQOL_Items'!AW500 + '01_WHOQOL_Items'!AX500 + '01_WHOQOL_Items'!AY500)/3)</f>
        <v>12</v>
      </c>
      <c r="O500" s="4">
        <f t="shared" si="111"/>
        <v>41.666666666666664</v>
      </c>
      <c r="P500" s="4">
        <f t="shared" si="112"/>
        <v>50</v>
      </c>
      <c r="Q500" s="5">
        <f t="shared" si="113"/>
        <v>0.20000000000000007</v>
      </c>
      <c r="R500" s="4">
        <f>4*(('01_WHOQOL_Items'!K500 + '01_WHOQOL_Items'!L500 + '01_WHOQOL_Items'!O500 + '01_WHOQOL_Items'!P500 + '01_WHOQOL_Items'!Q500 + '01_WHOQOL_Items'!Z500 + '01_WHOQOL_Items'!AA500 + '01_WHOQOL_Items'!AB500)/8)</f>
        <v>13</v>
      </c>
      <c r="S500" s="4">
        <f>4*(('01_WHOQOL_Items'!AK500 + '01_WHOQOL_Items'!AL500 + '01_WHOQOL_Items'!AO500 + '01_WHOQOL_Items'!AP500 + '01_WHOQOL_Items'!AQ500 + '01_WHOQOL_Items'!AZ500 + '01_WHOQOL_Items'!BA500 + '01_WHOQOL_Items'!BB500)/8)</f>
        <v>12.5</v>
      </c>
      <c r="T500" s="4">
        <f t="shared" si="114"/>
        <v>56.25</v>
      </c>
      <c r="U500" s="4">
        <f t="shared" si="115"/>
        <v>53.125</v>
      </c>
      <c r="V500" s="5">
        <f t="shared" si="116"/>
        <v>-5.5555555555555552E-2</v>
      </c>
      <c r="W500" s="4">
        <f t="shared" si="117"/>
        <v>48.883928571428569</v>
      </c>
      <c r="X500" s="4">
        <f t="shared" si="118"/>
        <v>55.989583333333336</v>
      </c>
      <c r="Y500" s="5">
        <f t="shared" si="119"/>
        <v>0.14535768645357697</v>
      </c>
      <c r="Z500" s="1">
        <f>'01_WHOQOL_Items'!D500</f>
        <v>4</v>
      </c>
      <c r="AA500" s="1">
        <f>'01_WHOQOL_Items'!AD500</f>
        <v>3</v>
      </c>
      <c r="AB500" s="1">
        <f>'01_WHOQOL_Items'!E500</f>
        <v>2</v>
      </c>
      <c r="AC500" s="1">
        <f>'01_WHOQOL_Items'!AE500</f>
        <v>2</v>
      </c>
    </row>
    <row r="501" spans="1:29">
      <c r="A501" s="1" t="str">
        <f>'01_WHOQOL_Items'!A501</f>
        <v>CON-219</v>
      </c>
      <c r="B501" s="1" t="str">
        <f>'01_WHOQOL_Items'!B501</f>
        <v>Control</v>
      </c>
      <c r="C501" s="4">
        <f>4*(((6-'01_WHOQOL_Items'!F501) + (6-'01_WHOQOL_Items'!G501) + '01_WHOQOL_Items'!M501 + '01_WHOQOL_Items'!R501 + '01_WHOQOL_Items'!S501 + '01_WHOQOL_Items'!T501 + '01_WHOQOL_Items'!U501)/7)</f>
        <v>10.285714285714286</v>
      </c>
      <c r="D501" s="4">
        <f>4*(((6-'01_WHOQOL_Items'!AF501) + (6-'01_WHOQOL_Items'!AG501) + '01_WHOQOL_Items'!AM501 + '01_WHOQOL_Items'!AR501 + '01_WHOQOL_Items'!AS501 + '01_WHOQOL_Items'!AT501 + '01_WHOQOL_Items'!AU501)/7)</f>
        <v>12.571428571428571</v>
      </c>
      <c r="E501" s="4">
        <f t="shared" si="105"/>
        <v>39.285714285714292</v>
      </c>
      <c r="F501" s="4">
        <f t="shared" si="106"/>
        <v>53.571428571428569</v>
      </c>
      <c r="G501" s="5">
        <f t="shared" si="107"/>
        <v>0.36363636363636337</v>
      </c>
      <c r="H501" s="4">
        <f>4*(('01_WHOQOL_Items'!H501 + '01_WHOQOL_Items'!I501 + '01_WHOQOL_Items'!J501 + '01_WHOQOL_Items'!N501 + '01_WHOQOL_Items'!V501 + (6-'01_WHOQOL_Items'!AC501))/6)</f>
        <v>14</v>
      </c>
      <c r="I501" s="4">
        <f>4*(('01_WHOQOL_Items'!AH501 + '01_WHOQOL_Items'!AI501 + '01_WHOQOL_Items'!AJ501 + '01_WHOQOL_Items'!AN501 + '01_WHOQOL_Items'!AV501 + (6-'01_WHOQOL_Items'!BC501))/6)</f>
        <v>12.666666666666666</v>
      </c>
      <c r="J501" s="4">
        <f t="shared" si="108"/>
        <v>62.5</v>
      </c>
      <c r="K501" s="4">
        <f t="shared" si="109"/>
        <v>54.166666666666664</v>
      </c>
      <c r="L501" s="5">
        <f t="shared" si="110"/>
        <v>-0.13333333333333336</v>
      </c>
      <c r="M501" s="4">
        <f>4*(('01_WHOQOL_Items'!W501 + '01_WHOQOL_Items'!X501 + '01_WHOQOL_Items'!Y501)/3)</f>
        <v>10.666666666666666</v>
      </c>
      <c r="N501" s="4">
        <f>4*(('01_WHOQOL_Items'!AW501 + '01_WHOQOL_Items'!AX501 + '01_WHOQOL_Items'!AY501)/3)</f>
        <v>9.3333333333333339</v>
      </c>
      <c r="O501" s="4">
        <f t="shared" si="111"/>
        <v>41.666666666666664</v>
      </c>
      <c r="P501" s="4">
        <f t="shared" si="112"/>
        <v>33.333333333333336</v>
      </c>
      <c r="Q501" s="5">
        <f t="shared" si="113"/>
        <v>-0.1999999999999999</v>
      </c>
      <c r="R501" s="4">
        <f>4*(('01_WHOQOL_Items'!K501 + '01_WHOQOL_Items'!L501 + '01_WHOQOL_Items'!O501 + '01_WHOQOL_Items'!P501 + '01_WHOQOL_Items'!Q501 + '01_WHOQOL_Items'!Z501 + '01_WHOQOL_Items'!AA501 + '01_WHOQOL_Items'!AB501)/8)</f>
        <v>14</v>
      </c>
      <c r="S501" s="4">
        <f>4*(('01_WHOQOL_Items'!AK501 + '01_WHOQOL_Items'!AL501 + '01_WHOQOL_Items'!AO501 + '01_WHOQOL_Items'!AP501 + '01_WHOQOL_Items'!AQ501 + '01_WHOQOL_Items'!AZ501 + '01_WHOQOL_Items'!BA501 + '01_WHOQOL_Items'!BB501)/8)</f>
        <v>13.5</v>
      </c>
      <c r="T501" s="4">
        <f t="shared" si="114"/>
        <v>62.5</v>
      </c>
      <c r="U501" s="4">
        <f t="shared" si="115"/>
        <v>59.375</v>
      </c>
      <c r="V501" s="5">
        <f t="shared" si="116"/>
        <v>-0.05</v>
      </c>
      <c r="W501" s="4">
        <f t="shared" si="117"/>
        <v>51.488095238095241</v>
      </c>
      <c r="X501" s="4">
        <f t="shared" si="118"/>
        <v>50.111607142857146</v>
      </c>
      <c r="Y501" s="5">
        <f t="shared" si="119"/>
        <v>-2.6734104046242768E-2</v>
      </c>
      <c r="Z501" s="1">
        <f>'01_WHOQOL_Items'!D501</f>
        <v>3</v>
      </c>
      <c r="AA501" s="1">
        <f>'01_WHOQOL_Items'!AD501</f>
        <v>2</v>
      </c>
      <c r="AB501" s="1">
        <f>'01_WHOQOL_Items'!E501</f>
        <v>2</v>
      </c>
      <c r="AC501" s="1">
        <f>'01_WHOQOL_Items'!AE501</f>
        <v>3</v>
      </c>
    </row>
    <row r="502" spans="1:29">
      <c r="A502" s="1" t="str">
        <f>'01_WHOQOL_Items'!A502</f>
        <v>CON-220</v>
      </c>
      <c r="B502" s="1" t="str">
        <f>'01_WHOQOL_Items'!B502</f>
        <v>Control</v>
      </c>
      <c r="C502" s="4">
        <f>4*(((6-'01_WHOQOL_Items'!F502) + (6-'01_WHOQOL_Items'!G502) + '01_WHOQOL_Items'!M502 + '01_WHOQOL_Items'!R502 + '01_WHOQOL_Items'!S502 + '01_WHOQOL_Items'!T502 + '01_WHOQOL_Items'!U502)/7)</f>
        <v>14.285714285714286</v>
      </c>
      <c r="D502" s="4">
        <f>4*(((6-'01_WHOQOL_Items'!AF502) + (6-'01_WHOQOL_Items'!AG502) + '01_WHOQOL_Items'!AM502 + '01_WHOQOL_Items'!AR502 + '01_WHOQOL_Items'!AS502 + '01_WHOQOL_Items'!AT502 + '01_WHOQOL_Items'!AU502)/7)</f>
        <v>14.857142857142858</v>
      </c>
      <c r="E502" s="4">
        <f t="shared" si="105"/>
        <v>64.285714285714292</v>
      </c>
      <c r="F502" s="4">
        <f t="shared" si="106"/>
        <v>67.857142857142861</v>
      </c>
      <c r="G502" s="5">
        <f t="shared" si="107"/>
        <v>5.5555555555555518E-2</v>
      </c>
      <c r="H502" s="4">
        <f>4*(('01_WHOQOL_Items'!H502 + '01_WHOQOL_Items'!I502 + '01_WHOQOL_Items'!J502 + '01_WHOQOL_Items'!N502 + '01_WHOQOL_Items'!V502 + (6-'01_WHOQOL_Items'!AC502))/6)</f>
        <v>11.333333333333334</v>
      </c>
      <c r="I502" s="4">
        <f>4*(('01_WHOQOL_Items'!AH502 + '01_WHOQOL_Items'!AI502 + '01_WHOQOL_Items'!AJ502 + '01_WHOQOL_Items'!AN502 + '01_WHOQOL_Items'!AV502 + (6-'01_WHOQOL_Items'!BC502))/6)</f>
        <v>10</v>
      </c>
      <c r="J502" s="4">
        <f t="shared" si="108"/>
        <v>45.833333333333336</v>
      </c>
      <c r="K502" s="4">
        <f t="shared" si="109"/>
        <v>37.5</v>
      </c>
      <c r="L502" s="5">
        <f t="shared" si="110"/>
        <v>-0.18181818181818185</v>
      </c>
      <c r="M502" s="4">
        <f>4*(('01_WHOQOL_Items'!W502 + '01_WHOQOL_Items'!X502 + '01_WHOQOL_Items'!Y502)/3)</f>
        <v>16</v>
      </c>
      <c r="N502" s="4">
        <f>4*(('01_WHOQOL_Items'!AW502 + '01_WHOQOL_Items'!AX502 + '01_WHOQOL_Items'!AY502)/3)</f>
        <v>16</v>
      </c>
      <c r="O502" s="4">
        <f t="shared" si="111"/>
        <v>75</v>
      </c>
      <c r="P502" s="4">
        <f t="shared" si="112"/>
        <v>75</v>
      </c>
      <c r="Q502" s="5">
        <f t="shared" si="113"/>
        <v>0</v>
      </c>
      <c r="R502" s="4">
        <f>4*(('01_WHOQOL_Items'!K502 + '01_WHOQOL_Items'!L502 + '01_WHOQOL_Items'!O502 + '01_WHOQOL_Items'!P502 + '01_WHOQOL_Items'!Q502 + '01_WHOQOL_Items'!Z502 + '01_WHOQOL_Items'!AA502 + '01_WHOQOL_Items'!AB502)/8)</f>
        <v>11.5</v>
      </c>
      <c r="S502" s="4">
        <f>4*(('01_WHOQOL_Items'!AK502 + '01_WHOQOL_Items'!AL502 + '01_WHOQOL_Items'!AO502 + '01_WHOQOL_Items'!AP502 + '01_WHOQOL_Items'!AQ502 + '01_WHOQOL_Items'!AZ502 + '01_WHOQOL_Items'!BA502 + '01_WHOQOL_Items'!BB502)/8)</f>
        <v>12.5</v>
      </c>
      <c r="T502" s="4">
        <f t="shared" si="114"/>
        <v>46.875</v>
      </c>
      <c r="U502" s="4">
        <f t="shared" si="115"/>
        <v>53.125</v>
      </c>
      <c r="V502" s="5">
        <f t="shared" si="116"/>
        <v>0.13333333333333333</v>
      </c>
      <c r="W502" s="4">
        <f t="shared" si="117"/>
        <v>57.998511904761905</v>
      </c>
      <c r="X502" s="4">
        <f t="shared" si="118"/>
        <v>58.370535714285715</v>
      </c>
      <c r="Y502" s="5">
        <f t="shared" si="119"/>
        <v>6.4143681847338152E-3</v>
      </c>
      <c r="Z502" s="1">
        <f>'01_WHOQOL_Items'!D502</f>
        <v>3</v>
      </c>
      <c r="AA502" s="1">
        <f>'01_WHOQOL_Items'!AD502</f>
        <v>4</v>
      </c>
      <c r="AB502" s="1">
        <f>'01_WHOQOL_Items'!E502</f>
        <v>4</v>
      </c>
      <c r="AC502" s="1">
        <f>'01_WHOQOL_Items'!AE502</f>
        <v>4</v>
      </c>
    </row>
    <row r="503" spans="1:29">
      <c r="A503" s="1" t="str">
        <f>'01_WHOQOL_Items'!A503</f>
        <v>CON-221</v>
      </c>
      <c r="B503" s="1" t="str">
        <f>'01_WHOQOL_Items'!B503</f>
        <v>Control</v>
      </c>
      <c r="C503" s="4">
        <f>4*(((6-'01_WHOQOL_Items'!F503) + (6-'01_WHOQOL_Items'!G503) + '01_WHOQOL_Items'!M503 + '01_WHOQOL_Items'!R503 + '01_WHOQOL_Items'!S503 + '01_WHOQOL_Items'!T503 + '01_WHOQOL_Items'!U503)/7)</f>
        <v>9.7142857142857135</v>
      </c>
      <c r="D503" s="4">
        <f>4*(((6-'01_WHOQOL_Items'!AF503) + (6-'01_WHOQOL_Items'!AG503) + '01_WHOQOL_Items'!AM503 + '01_WHOQOL_Items'!AR503 + '01_WHOQOL_Items'!AS503 + '01_WHOQOL_Items'!AT503 + '01_WHOQOL_Items'!AU503)/7)</f>
        <v>9.7142857142857135</v>
      </c>
      <c r="E503" s="4">
        <f t="shared" si="105"/>
        <v>35.714285714285708</v>
      </c>
      <c r="F503" s="4">
        <f t="shared" si="106"/>
        <v>35.714285714285708</v>
      </c>
      <c r="G503" s="5">
        <f t="shared" si="107"/>
        <v>0</v>
      </c>
      <c r="H503" s="4">
        <f>4*(('01_WHOQOL_Items'!H503 + '01_WHOQOL_Items'!I503 + '01_WHOQOL_Items'!J503 + '01_WHOQOL_Items'!N503 + '01_WHOQOL_Items'!V503 + (6-'01_WHOQOL_Items'!AC503))/6)</f>
        <v>12</v>
      </c>
      <c r="I503" s="4">
        <f>4*(('01_WHOQOL_Items'!AH503 + '01_WHOQOL_Items'!AI503 + '01_WHOQOL_Items'!AJ503 + '01_WHOQOL_Items'!AN503 + '01_WHOQOL_Items'!AV503 + (6-'01_WHOQOL_Items'!BC503))/6)</f>
        <v>10.666666666666666</v>
      </c>
      <c r="J503" s="4">
        <f t="shared" si="108"/>
        <v>50</v>
      </c>
      <c r="K503" s="4">
        <f t="shared" si="109"/>
        <v>41.666666666666664</v>
      </c>
      <c r="L503" s="5">
        <f t="shared" si="110"/>
        <v>-0.16666666666666671</v>
      </c>
      <c r="M503" s="4">
        <f>4*(('01_WHOQOL_Items'!W503 + '01_WHOQOL_Items'!X503 + '01_WHOQOL_Items'!Y503)/3)</f>
        <v>13.333333333333334</v>
      </c>
      <c r="N503" s="4">
        <f>4*(('01_WHOQOL_Items'!AW503 + '01_WHOQOL_Items'!AX503 + '01_WHOQOL_Items'!AY503)/3)</f>
        <v>14.666666666666666</v>
      </c>
      <c r="O503" s="4">
        <f t="shared" si="111"/>
        <v>58.333333333333336</v>
      </c>
      <c r="P503" s="4">
        <f t="shared" si="112"/>
        <v>66.666666666666657</v>
      </c>
      <c r="Q503" s="5">
        <f t="shared" si="113"/>
        <v>0.14285714285714265</v>
      </c>
      <c r="R503" s="4">
        <f>4*(('01_WHOQOL_Items'!K503 + '01_WHOQOL_Items'!L503 + '01_WHOQOL_Items'!O503 + '01_WHOQOL_Items'!P503 + '01_WHOQOL_Items'!Q503 + '01_WHOQOL_Items'!Z503 + '01_WHOQOL_Items'!AA503 + '01_WHOQOL_Items'!AB503)/8)</f>
        <v>10</v>
      </c>
      <c r="S503" s="4">
        <f>4*(('01_WHOQOL_Items'!AK503 + '01_WHOQOL_Items'!AL503 + '01_WHOQOL_Items'!AO503 + '01_WHOQOL_Items'!AP503 + '01_WHOQOL_Items'!AQ503 + '01_WHOQOL_Items'!AZ503 + '01_WHOQOL_Items'!BA503 + '01_WHOQOL_Items'!BB503)/8)</f>
        <v>11</v>
      </c>
      <c r="T503" s="4">
        <f t="shared" si="114"/>
        <v>37.5</v>
      </c>
      <c r="U503" s="4">
        <f t="shared" si="115"/>
        <v>43.75</v>
      </c>
      <c r="V503" s="5">
        <f t="shared" si="116"/>
        <v>0.16666666666666666</v>
      </c>
      <c r="W503" s="4">
        <f t="shared" si="117"/>
        <v>45.386904761904759</v>
      </c>
      <c r="X503" s="4">
        <f t="shared" si="118"/>
        <v>46.949404761904759</v>
      </c>
      <c r="Y503" s="5">
        <f t="shared" si="119"/>
        <v>3.4426229508196723E-2</v>
      </c>
      <c r="Z503" s="1">
        <f>'01_WHOQOL_Items'!D503</f>
        <v>3</v>
      </c>
      <c r="AA503" s="1">
        <f>'01_WHOQOL_Items'!AD503</f>
        <v>3</v>
      </c>
      <c r="AB503" s="1">
        <f>'01_WHOQOL_Items'!E503</f>
        <v>1</v>
      </c>
      <c r="AC503" s="1">
        <f>'01_WHOQOL_Items'!AE503</f>
        <v>2</v>
      </c>
    </row>
    <row r="504" spans="1:29">
      <c r="A504" s="1" t="str">
        <f>'01_WHOQOL_Items'!A504</f>
        <v>CON-222</v>
      </c>
      <c r="B504" s="1" t="str">
        <f>'01_WHOQOL_Items'!B504</f>
        <v>Control</v>
      </c>
      <c r="C504" s="4">
        <f>4*(((6-'01_WHOQOL_Items'!F504) + (6-'01_WHOQOL_Items'!G504) + '01_WHOQOL_Items'!M504 + '01_WHOQOL_Items'!R504 + '01_WHOQOL_Items'!S504 + '01_WHOQOL_Items'!T504 + '01_WHOQOL_Items'!U504)/7)</f>
        <v>12.571428571428571</v>
      </c>
      <c r="D504" s="4">
        <f>4*(((6-'01_WHOQOL_Items'!AF504) + (6-'01_WHOQOL_Items'!AG504) + '01_WHOQOL_Items'!AM504 + '01_WHOQOL_Items'!AR504 + '01_WHOQOL_Items'!AS504 + '01_WHOQOL_Items'!AT504 + '01_WHOQOL_Items'!AU504)/7)</f>
        <v>13.142857142857142</v>
      </c>
      <c r="E504" s="4">
        <f t="shared" si="105"/>
        <v>53.571428571428569</v>
      </c>
      <c r="F504" s="4">
        <f t="shared" si="106"/>
        <v>57.142857142857139</v>
      </c>
      <c r="G504" s="5">
        <f t="shared" si="107"/>
        <v>6.6666666666666638E-2</v>
      </c>
      <c r="H504" s="4">
        <f>4*(('01_WHOQOL_Items'!H504 + '01_WHOQOL_Items'!I504 + '01_WHOQOL_Items'!J504 + '01_WHOQOL_Items'!N504 + '01_WHOQOL_Items'!V504 + (6-'01_WHOQOL_Items'!AC504))/6)</f>
        <v>12.666666666666666</v>
      </c>
      <c r="I504" s="4">
        <f>4*(('01_WHOQOL_Items'!AH504 + '01_WHOQOL_Items'!AI504 + '01_WHOQOL_Items'!AJ504 + '01_WHOQOL_Items'!AN504 + '01_WHOQOL_Items'!AV504 + (6-'01_WHOQOL_Items'!BC504))/6)</f>
        <v>12</v>
      </c>
      <c r="J504" s="4">
        <f t="shared" si="108"/>
        <v>54.166666666666664</v>
      </c>
      <c r="K504" s="4">
        <f t="shared" si="109"/>
        <v>50</v>
      </c>
      <c r="L504" s="5">
        <f t="shared" si="110"/>
        <v>-7.6923076923076886E-2</v>
      </c>
      <c r="M504" s="4">
        <f>4*(('01_WHOQOL_Items'!W504 + '01_WHOQOL_Items'!X504 + '01_WHOQOL_Items'!Y504)/3)</f>
        <v>10.666666666666666</v>
      </c>
      <c r="N504" s="4">
        <f>4*(('01_WHOQOL_Items'!AW504 + '01_WHOQOL_Items'!AX504 + '01_WHOQOL_Items'!AY504)/3)</f>
        <v>12</v>
      </c>
      <c r="O504" s="4">
        <f t="shared" si="111"/>
        <v>41.666666666666664</v>
      </c>
      <c r="P504" s="4">
        <f t="shared" si="112"/>
        <v>50</v>
      </c>
      <c r="Q504" s="5">
        <f t="shared" si="113"/>
        <v>0.20000000000000007</v>
      </c>
      <c r="R504" s="4">
        <f>4*(('01_WHOQOL_Items'!K504 + '01_WHOQOL_Items'!L504 + '01_WHOQOL_Items'!O504 + '01_WHOQOL_Items'!P504 + '01_WHOQOL_Items'!Q504 + '01_WHOQOL_Items'!Z504 + '01_WHOQOL_Items'!AA504 + '01_WHOQOL_Items'!AB504)/8)</f>
        <v>7.5</v>
      </c>
      <c r="S504" s="4">
        <f>4*(('01_WHOQOL_Items'!AK504 + '01_WHOQOL_Items'!AL504 + '01_WHOQOL_Items'!AO504 + '01_WHOQOL_Items'!AP504 + '01_WHOQOL_Items'!AQ504 + '01_WHOQOL_Items'!AZ504 + '01_WHOQOL_Items'!BA504 + '01_WHOQOL_Items'!BB504)/8)</f>
        <v>10.5</v>
      </c>
      <c r="T504" s="4">
        <f t="shared" si="114"/>
        <v>21.875</v>
      </c>
      <c r="U504" s="4">
        <f t="shared" si="115"/>
        <v>40.625</v>
      </c>
      <c r="V504" s="5">
        <f t="shared" si="116"/>
        <v>0.8571428571428571</v>
      </c>
      <c r="W504" s="4">
        <f t="shared" si="117"/>
        <v>42.819940476190474</v>
      </c>
      <c r="X504" s="4">
        <f t="shared" si="118"/>
        <v>49.441964285714285</v>
      </c>
      <c r="Y504" s="5">
        <f t="shared" si="119"/>
        <v>0.1546481320590791</v>
      </c>
      <c r="Z504" s="1">
        <f>'01_WHOQOL_Items'!D504</f>
        <v>2</v>
      </c>
      <c r="AA504" s="1">
        <f>'01_WHOQOL_Items'!AD504</f>
        <v>3</v>
      </c>
      <c r="AB504" s="1">
        <f>'01_WHOQOL_Items'!E504</f>
        <v>3</v>
      </c>
      <c r="AC504" s="1">
        <f>'01_WHOQOL_Items'!AE504</f>
        <v>2</v>
      </c>
    </row>
    <row r="505" spans="1:29">
      <c r="A505" s="1" t="str">
        <f>'01_WHOQOL_Items'!A505</f>
        <v>CON-223</v>
      </c>
      <c r="B505" s="1" t="str">
        <f>'01_WHOQOL_Items'!B505</f>
        <v>Control</v>
      </c>
      <c r="C505" s="4">
        <f>4*(((6-'01_WHOQOL_Items'!F505) + (6-'01_WHOQOL_Items'!G505) + '01_WHOQOL_Items'!M505 + '01_WHOQOL_Items'!R505 + '01_WHOQOL_Items'!S505 + '01_WHOQOL_Items'!T505 + '01_WHOQOL_Items'!U505)/7)</f>
        <v>13.142857142857142</v>
      </c>
      <c r="D505" s="4">
        <f>4*(((6-'01_WHOQOL_Items'!AF505) + (6-'01_WHOQOL_Items'!AG505) + '01_WHOQOL_Items'!AM505 + '01_WHOQOL_Items'!AR505 + '01_WHOQOL_Items'!AS505 + '01_WHOQOL_Items'!AT505 + '01_WHOQOL_Items'!AU505)/7)</f>
        <v>13.142857142857142</v>
      </c>
      <c r="E505" s="4">
        <f t="shared" si="105"/>
        <v>57.142857142857139</v>
      </c>
      <c r="F505" s="4">
        <f t="shared" si="106"/>
        <v>57.142857142857139</v>
      </c>
      <c r="G505" s="5">
        <f t="shared" si="107"/>
        <v>0</v>
      </c>
      <c r="H505" s="4">
        <f>4*(('01_WHOQOL_Items'!H505 + '01_WHOQOL_Items'!I505 + '01_WHOQOL_Items'!J505 + '01_WHOQOL_Items'!N505 + '01_WHOQOL_Items'!V505 + (6-'01_WHOQOL_Items'!AC505))/6)</f>
        <v>15.333333333333334</v>
      </c>
      <c r="I505" s="4">
        <f>4*(('01_WHOQOL_Items'!AH505 + '01_WHOQOL_Items'!AI505 + '01_WHOQOL_Items'!AJ505 + '01_WHOQOL_Items'!AN505 + '01_WHOQOL_Items'!AV505 + (6-'01_WHOQOL_Items'!BC505))/6)</f>
        <v>15.333333333333334</v>
      </c>
      <c r="J505" s="4">
        <f t="shared" si="108"/>
        <v>70.833333333333343</v>
      </c>
      <c r="K505" s="4">
        <f t="shared" si="109"/>
        <v>70.833333333333343</v>
      </c>
      <c r="L505" s="5">
        <f t="shared" si="110"/>
        <v>0</v>
      </c>
      <c r="M505" s="4">
        <f>4*(('01_WHOQOL_Items'!W505 + '01_WHOQOL_Items'!X505 + '01_WHOQOL_Items'!Y505)/3)</f>
        <v>14.666666666666666</v>
      </c>
      <c r="N505" s="4">
        <f>4*(('01_WHOQOL_Items'!AW505 + '01_WHOQOL_Items'!AX505 + '01_WHOQOL_Items'!AY505)/3)</f>
        <v>16</v>
      </c>
      <c r="O505" s="4">
        <f t="shared" si="111"/>
        <v>66.666666666666657</v>
      </c>
      <c r="P505" s="4">
        <f t="shared" si="112"/>
        <v>75</v>
      </c>
      <c r="Q505" s="5">
        <f t="shared" si="113"/>
        <v>0.12500000000000017</v>
      </c>
      <c r="R505" s="4">
        <f>4*(('01_WHOQOL_Items'!K505 + '01_WHOQOL_Items'!L505 + '01_WHOQOL_Items'!O505 + '01_WHOQOL_Items'!P505 + '01_WHOQOL_Items'!Q505 + '01_WHOQOL_Items'!Z505 + '01_WHOQOL_Items'!AA505 + '01_WHOQOL_Items'!AB505)/8)</f>
        <v>11.5</v>
      </c>
      <c r="S505" s="4">
        <f>4*(('01_WHOQOL_Items'!AK505 + '01_WHOQOL_Items'!AL505 + '01_WHOQOL_Items'!AO505 + '01_WHOQOL_Items'!AP505 + '01_WHOQOL_Items'!AQ505 + '01_WHOQOL_Items'!AZ505 + '01_WHOQOL_Items'!BA505 + '01_WHOQOL_Items'!BB505)/8)</f>
        <v>14</v>
      </c>
      <c r="T505" s="4">
        <f t="shared" si="114"/>
        <v>46.875</v>
      </c>
      <c r="U505" s="4">
        <f t="shared" si="115"/>
        <v>62.5</v>
      </c>
      <c r="V505" s="5">
        <f t="shared" si="116"/>
        <v>0.33333333333333331</v>
      </c>
      <c r="W505" s="4">
        <f t="shared" si="117"/>
        <v>60.379464285714285</v>
      </c>
      <c r="X505" s="4">
        <f t="shared" si="118"/>
        <v>66.36904761904762</v>
      </c>
      <c r="Y505" s="5">
        <f t="shared" si="119"/>
        <v>9.9199014171287778E-2</v>
      </c>
      <c r="Z505" s="1">
        <f>'01_WHOQOL_Items'!D505</f>
        <v>4</v>
      </c>
      <c r="AA505" s="1">
        <f>'01_WHOQOL_Items'!AD505</f>
        <v>3</v>
      </c>
      <c r="AB505" s="1">
        <f>'01_WHOQOL_Items'!E505</f>
        <v>4</v>
      </c>
      <c r="AC505" s="1">
        <f>'01_WHOQOL_Items'!AE505</f>
        <v>3</v>
      </c>
    </row>
    <row r="506" spans="1:29">
      <c r="A506" s="1" t="str">
        <f>'01_WHOQOL_Items'!A506</f>
        <v>CON-224</v>
      </c>
      <c r="B506" s="1" t="str">
        <f>'01_WHOQOL_Items'!B506</f>
        <v>Control</v>
      </c>
      <c r="C506" s="4">
        <f>4*(((6-'01_WHOQOL_Items'!F506) + (6-'01_WHOQOL_Items'!G506) + '01_WHOQOL_Items'!M506 + '01_WHOQOL_Items'!R506 + '01_WHOQOL_Items'!S506 + '01_WHOQOL_Items'!T506 + '01_WHOQOL_Items'!U506)/7)</f>
        <v>12.571428571428571</v>
      </c>
      <c r="D506" s="4">
        <f>4*(((6-'01_WHOQOL_Items'!AF506) + (6-'01_WHOQOL_Items'!AG506) + '01_WHOQOL_Items'!AM506 + '01_WHOQOL_Items'!AR506 + '01_WHOQOL_Items'!AS506 + '01_WHOQOL_Items'!AT506 + '01_WHOQOL_Items'!AU506)/7)</f>
        <v>13.714285714285714</v>
      </c>
      <c r="E506" s="4">
        <f t="shared" si="105"/>
        <v>53.571428571428569</v>
      </c>
      <c r="F506" s="4">
        <f t="shared" si="106"/>
        <v>60.714285714285708</v>
      </c>
      <c r="G506" s="5">
        <f t="shared" si="107"/>
        <v>0.13333333333333328</v>
      </c>
      <c r="H506" s="4">
        <f>4*(('01_WHOQOL_Items'!H506 + '01_WHOQOL_Items'!I506 + '01_WHOQOL_Items'!J506 + '01_WHOQOL_Items'!N506 + '01_WHOQOL_Items'!V506 + (6-'01_WHOQOL_Items'!AC506))/6)</f>
        <v>12</v>
      </c>
      <c r="I506" s="4">
        <f>4*(('01_WHOQOL_Items'!AH506 + '01_WHOQOL_Items'!AI506 + '01_WHOQOL_Items'!AJ506 + '01_WHOQOL_Items'!AN506 + '01_WHOQOL_Items'!AV506 + (6-'01_WHOQOL_Items'!BC506))/6)</f>
        <v>10.666666666666666</v>
      </c>
      <c r="J506" s="4">
        <f t="shared" si="108"/>
        <v>50</v>
      </c>
      <c r="K506" s="4">
        <f t="shared" si="109"/>
        <v>41.666666666666664</v>
      </c>
      <c r="L506" s="5">
        <f t="shared" si="110"/>
        <v>-0.16666666666666671</v>
      </c>
      <c r="M506" s="4">
        <f>4*(('01_WHOQOL_Items'!W506 + '01_WHOQOL_Items'!X506 + '01_WHOQOL_Items'!Y506)/3)</f>
        <v>10.666666666666666</v>
      </c>
      <c r="N506" s="4">
        <f>4*(('01_WHOQOL_Items'!AW506 + '01_WHOQOL_Items'!AX506 + '01_WHOQOL_Items'!AY506)/3)</f>
        <v>6.666666666666667</v>
      </c>
      <c r="O506" s="4">
        <f t="shared" si="111"/>
        <v>41.666666666666664</v>
      </c>
      <c r="P506" s="4">
        <f t="shared" si="112"/>
        <v>16.666666666666668</v>
      </c>
      <c r="Q506" s="5">
        <f t="shared" si="113"/>
        <v>-0.6</v>
      </c>
      <c r="R506" s="4">
        <f>4*(('01_WHOQOL_Items'!K506 + '01_WHOQOL_Items'!L506 + '01_WHOQOL_Items'!O506 + '01_WHOQOL_Items'!P506 + '01_WHOQOL_Items'!Q506 + '01_WHOQOL_Items'!Z506 + '01_WHOQOL_Items'!AA506 + '01_WHOQOL_Items'!AB506)/8)</f>
        <v>9</v>
      </c>
      <c r="S506" s="4">
        <f>4*(('01_WHOQOL_Items'!AK506 + '01_WHOQOL_Items'!AL506 + '01_WHOQOL_Items'!AO506 + '01_WHOQOL_Items'!AP506 + '01_WHOQOL_Items'!AQ506 + '01_WHOQOL_Items'!AZ506 + '01_WHOQOL_Items'!BA506 + '01_WHOQOL_Items'!BB506)/8)</f>
        <v>8.5</v>
      </c>
      <c r="T506" s="4">
        <f t="shared" si="114"/>
        <v>31.25</v>
      </c>
      <c r="U506" s="4">
        <f t="shared" si="115"/>
        <v>28.125</v>
      </c>
      <c r="V506" s="5">
        <f t="shared" si="116"/>
        <v>-0.1</v>
      </c>
      <c r="W506" s="4">
        <f t="shared" si="117"/>
        <v>44.12202380952381</v>
      </c>
      <c r="X506" s="4">
        <f t="shared" si="118"/>
        <v>36.793154761904759</v>
      </c>
      <c r="Y506" s="5">
        <f t="shared" si="119"/>
        <v>-0.16610455311973027</v>
      </c>
      <c r="Z506" s="1">
        <f>'01_WHOQOL_Items'!D506</f>
        <v>2</v>
      </c>
      <c r="AA506" s="1">
        <f>'01_WHOQOL_Items'!AD506</f>
        <v>2</v>
      </c>
      <c r="AB506" s="1">
        <f>'01_WHOQOL_Items'!E506</f>
        <v>3</v>
      </c>
      <c r="AC506" s="1">
        <f>'01_WHOQOL_Items'!AE506</f>
        <v>3</v>
      </c>
    </row>
    <row r="507" spans="1:29">
      <c r="A507" s="1" t="str">
        <f>'01_WHOQOL_Items'!A507</f>
        <v>CON-225</v>
      </c>
      <c r="B507" s="1" t="str">
        <f>'01_WHOQOL_Items'!B507</f>
        <v>Control</v>
      </c>
      <c r="C507" s="4">
        <f>4*(((6-'01_WHOQOL_Items'!F507) + (6-'01_WHOQOL_Items'!G507) + '01_WHOQOL_Items'!M507 + '01_WHOQOL_Items'!R507 + '01_WHOQOL_Items'!S507 + '01_WHOQOL_Items'!T507 + '01_WHOQOL_Items'!U507)/7)</f>
        <v>11.428571428571429</v>
      </c>
      <c r="D507" s="4">
        <f>4*(((6-'01_WHOQOL_Items'!AF507) + (6-'01_WHOQOL_Items'!AG507) + '01_WHOQOL_Items'!AM507 + '01_WHOQOL_Items'!AR507 + '01_WHOQOL_Items'!AS507 + '01_WHOQOL_Items'!AT507 + '01_WHOQOL_Items'!AU507)/7)</f>
        <v>11.428571428571429</v>
      </c>
      <c r="E507" s="4">
        <f t="shared" si="105"/>
        <v>46.428571428571431</v>
      </c>
      <c r="F507" s="4">
        <f t="shared" si="106"/>
        <v>46.428571428571431</v>
      </c>
      <c r="G507" s="5">
        <f t="shared" si="107"/>
        <v>0</v>
      </c>
      <c r="H507" s="4">
        <f>4*(('01_WHOQOL_Items'!H507 + '01_WHOQOL_Items'!I507 + '01_WHOQOL_Items'!J507 + '01_WHOQOL_Items'!N507 + '01_WHOQOL_Items'!V507 + (6-'01_WHOQOL_Items'!AC507))/6)</f>
        <v>11.333333333333334</v>
      </c>
      <c r="I507" s="4">
        <f>4*(('01_WHOQOL_Items'!AH507 + '01_WHOQOL_Items'!AI507 + '01_WHOQOL_Items'!AJ507 + '01_WHOQOL_Items'!AN507 + '01_WHOQOL_Items'!AV507 + (6-'01_WHOQOL_Items'!BC507))/6)</f>
        <v>9.3333333333333339</v>
      </c>
      <c r="J507" s="4">
        <f t="shared" si="108"/>
        <v>45.833333333333336</v>
      </c>
      <c r="K507" s="4">
        <f t="shared" si="109"/>
        <v>33.333333333333336</v>
      </c>
      <c r="L507" s="5">
        <f t="shared" si="110"/>
        <v>-0.27272727272727271</v>
      </c>
      <c r="M507" s="4">
        <f>4*(('01_WHOQOL_Items'!W507 + '01_WHOQOL_Items'!X507 + '01_WHOQOL_Items'!Y507)/3)</f>
        <v>13.333333333333334</v>
      </c>
      <c r="N507" s="4">
        <f>4*(('01_WHOQOL_Items'!AW507 + '01_WHOQOL_Items'!AX507 + '01_WHOQOL_Items'!AY507)/3)</f>
        <v>13.333333333333334</v>
      </c>
      <c r="O507" s="4">
        <f t="shared" si="111"/>
        <v>58.333333333333336</v>
      </c>
      <c r="P507" s="4">
        <f t="shared" si="112"/>
        <v>58.333333333333336</v>
      </c>
      <c r="Q507" s="5">
        <f t="shared" si="113"/>
        <v>0</v>
      </c>
      <c r="R507" s="4">
        <f>4*(('01_WHOQOL_Items'!K507 + '01_WHOQOL_Items'!L507 + '01_WHOQOL_Items'!O507 + '01_WHOQOL_Items'!P507 + '01_WHOQOL_Items'!Q507 + '01_WHOQOL_Items'!Z507 + '01_WHOQOL_Items'!AA507 + '01_WHOQOL_Items'!AB507)/8)</f>
        <v>14.5</v>
      </c>
      <c r="S507" s="4">
        <f>4*(('01_WHOQOL_Items'!AK507 + '01_WHOQOL_Items'!AL507 + '01_WHOQOL_Items'!AO507 + '01_WHOQOL_Items'!AP507 + '01_WHOQOL_Items'!AQ507 + '01_WHOQOL_Items'!AZ507 + '01_WHOQOL_Items'!BA507 + '01_WHOQOL_Items'!BB507)/8)</f>
        <v>15</v>
      </c>
      <c r="T507" s="4">
        <f t="shared" si="114"/>
        <v>65.625</v>
      </c>
      <c r="U507" s="4">
        <f t="shared" si="115"/>
        <v>68.75</v>
      </c>
      <c r="V507" s="5">
        <f t="shared" si="116"/>
        <v>4.7619047619047616E-2</v>
      </c>
      <c r="W507" s="4">
        <f t="shared" si="117"/>
        <v>54.055059523809526</v>
      </c>
      <c r="X507" s="4">
        <f t="shared" si="118"/>
        <v>51.711309523809526</v>
      </c>
      <c r="Y507" s="5">
        <f t="shared" si="119"/>
        <v>-4.3358568479008944E-2</v>
      </c>
      <c r="Z507" s="1">
        <f>'01_WHOQOL_Items'!D507</f>
        <v>3</v>
      </c>
      <c r="AA507" s="1">
        <f>'01_WHOQOL_Items'!AD507</f>
        <v>3</v>
      </c>
      <c r="AB507" s="1">
        <f>'01_WHOQOL_Items'!E507</f>
        <v>3</v>
      </c>
      <c r="AC507" s="1">
        <f>'01_WHOQOL_Items'!AE507</f>
        <v>3</v>
      </c>
    </row>
    <row r="508" spans="1:29">
      <c r="A508" s="1" t="str">
        <f>'01_WHOQOL_Items'!A508</f>
        <v>CON-226</v>
      </c>
      <c r="B508" s="1" t="str">
        <f>'01_WHOQOL_Items'!B508</f>
        <v>Control</v>
      </c>
      <c r="C508" s="4">
        <f>4*(((6-'01_WHOQOL_Items'!F508) + (6-'01_WHOQOL_Items'!G508) + '01_WHOQOL_Items'!M508 + '01_WHOQOL_Items'!R508 + '01_WHOQOL_Items'!S508 + '01_WHOQOL_Items'!T508 + '01_WHOQOL_Items'!U508)/7)</f>
        <v>9.1428571428571423</v>
      </c>
      <c r="D508" s="4">
        <f>4*(((6-'01_WHOQOL_Items'!AF508) + (6-'01_WHOQOL_Items'!AG508) + '01_WHOQOL_Items'!AM508 + '01_WHOQOL_Items'!AR508 + '01_WHOQOL_Items'!AS508 + '01_WHOQOL_Items'!AT508 + '01_WHOQOL_Items'!AU508)/7)</f>
        <v>11.428571428571429</v>
      </c>
      <c r="E508" s="4">
        <f t="shared" si="105"/>
        <v>32.142857142857139</v>
      </c>
      <c r="F508" s="4">
        <f t="shared" si="106"/>
        <v>46.428571428571431</v>
      </c>
      <c r="G508" s="5">
        <f t="shared" si="107"/>
        <v>0.4444444444444447</v>
      </c>
      <c r="H508" s="4">
        <f>4*(('01_WHOQOL_Items'!H508 + '01_WHOQOL_Items'!I508 + '01_WHOQOL_Items'!J508 + '01_WHOQOL_Items'!N508 + '01_WHOQOL_Items'!V508 + (6-'01_WHOQOL_Items'!AC508))/6)</f>
        <v>10.666666666666666</v>
      </c>
      <c r="I508" s="4">
        <f>4*(('01_WHOQOL_Items'!AH508 + '01_WHOQOL_Items'!AI508 + '01_WHOQOL_Items'!AJ508 + '01_WHOQOL_Items'!AN508 + '01_WHOQOL_Items'!AV508 + (6-'01_WHOQOL_Items'!BC508))/6)</f>
        <v>12</v>
      </c>
      <c r="J508" s="4">
        <f t="shared" si="108"/>
        <v>41.666666666666664</v>
      </c>
      <c r="K508" s="4">
        <f t="shared" si="109"/>
        <v>50</v>
      </c>
      <c r="L508" s="5">
        <f t="shared" si="110"/>
        <v>0.20000000000000007</v>
      </c>
      <c r="M508" s="4">
        <f>4*(('01_WHOQOL_Items'!W508 + '01_WHOQOL_Items'!X508 + '01_WHOQOL_Items'!Y508)/3)</f>
        <v>9.3333333333333339</v>
      </c>
      <c r="N508" s="4">
        <f>4*(('01_WHOQOL_Items'!AW508 + '01_WHOQOL_Items'!AX508 + '01_WHOQOL_Items'!AY508)/3)</f>
        <v>10.666666666666666</v>
      </c>
      <c r="O508" s="4">
        <f t="shared" si="111"/>
        <v>33.333333333333336</v>
      </c>
      <c r="P508" s="4">
        <f t="shared" si="112"/>
        <v>41.666666666666664</v>
      </c>
      <c r="Q508" s="5">
        <f t="shared" si="113"/>
        <v>0.24999999999999983</v>
      </c>
      <c r="R508" s="4">
        <f>4*(('01_WHOQOL_Items'!K508 + '01_WHOQOL_Items'!L508 + '01_WHOQOL_Items'!O508 + '01_WHOQOL_Items'!P508 + '01_WHOQOL_Items'!Q508 + '01_WHOQOL_Items'!Z508 + '01_WHOQOL_Items'!AA508 + '01_WHOQOL_Items'!AB508)/8)</f>
        <v>7.5</v>
      </c>
      <c r="S508" s="4">
        <f>4*(('01_WHOQOL_Items'!AK508 + '01_WHOQOL_Items'!AL508 + '01_WHOQOL_Items'!AO508 + '01_WHOQOL_Items'!AP508 + '01_WHOQOL_Items'!AQ508 + '01_WHOQOL_Items'!AZ508 + '01_WHOQOL_Items'!BA508 + '01_WHOQOL_Items'!BB508)/8)</f>
        <v>9.5</v>
      </c>
      <c r="T508" s="4">
        <f t="shared" si="114"/>
        <v>21.875</v>
      </c>
      <c r="U508" s="4">
        <f t="shared" si="115"/>
        <v>34.375</v>
      </c>
      <c r="V508" s="5">
        <f t="shared" si="116"/>
        <v>0.5714285714285714</v>
      </c>
      <c r="W508" s="4">
        <f t="shared" si="117"/>
        <v>32.254464285714285</v>
      </c>
      <c r="X508" s="4">
        <f t="shared" si="118"/>
        <v>43.117559523809526</v>
      </c>
      <c r="Y508" s="5">
        <f t="shared" si="119"/>
        <v>0.33679354094579017</v>
      </c>
      <c r="Z508" s="1">
        <f>'01_WHOQOL_Items'!D508</f>
        <v>2</v>
      </c>
      <c r="AA508" s="1">
        <f>'01_WHOQOL_Items'!AD508</f>
        <v>3</v>
      </c>
      <c r="AB508" s="1">
        <f>'01_WHOQOL_Items'!E508</f>
        <v>4</v>
      </c>
      <c r="AC508" s="1">
        <f>'01_WHOQOL_Items'!AE508</f>
        <v>3</v>
      </c>
    </row>
    <row r="509" spans="1:29">
      <c r="A509" s="1" t="str">
        <f>'01_WHOQOL_Items'!A509</f>
        <v>CON-227</v>
      </c>
      <c r="B509" s="1" t="str">
        <f>'01_WHOQOL_Items'!B509</f>
        <v>Control</v>
      </c>
      <c r="C509" s="4">
        <f>4*(((6-'01_WHOQOL_Items'!F509) + (6-'01_WHOQOL_Items'!G509) + '01_WHOQOL_Items'!M509 + '01_WHOQOL_Items'!R509 + '01_WHOQOL_Items'!S509 + '01_WHOQOL_Items'!T509 + '01_WHOQOL_Items'!U509)/7)</f>
        <v>10.857142857142858</v>
      </c>
      <c r="D509" s="4">
        <f>4*(((6-'01_WHOQOL_Items'!AF509) + (6-'01_WHOQOL_Items'!AG509) + '01_WHOQOL_Items'!AM509 + '01_WHOQOL_Items'!AR509 + '01_WHOQOL_Items'!AS509 + '01_WHOQOL_Items'!AT509 + '01_WHOQOL_Items'!AU509)/7)</f>
        <v>12</v>
      </c>
      <c r="E509" s="4">
        <f t="shared" si="105"/>
        <v>42.857142857142861</v>
      </c>
      <c r="F509" s="4">
        <f t="shared" si="106"/>
        <v>50</v>
      </c>
      <c r="G509" s="5">
        <f t="shared" si="107"/>
        <v>0.16666666666666655</v>
      </c>
      <c r="H509" s="4">
        <f>4*(('01_WHOQOL_Items'!H509 + '01_WHOQOL_Items'!I509 + '01_WHOQOL_Items'!J509 + '01_WHOQOL_Items'!N509 + '01_WHOQOL_Items'!V509 + (6-'01_WHOQOL_Items'!AC509))/6)</f>
        <v>12.666666666666666</v>
      </c>
      <c r="I509" s="4">
        <f>4*(('01_WHOQOL_Items'!AH509 + '01_WHOQOL_Items'!AI509 + '01_WHOQOL_Items'!AJ509 + '01_WHOQOL_Items'!AN509 + '01_WHOQOL_Items'!AV509 + (6-'01_WHOQOL_Items'!BC509))/6)</f>
        <v>13.333333333333334</v>
      </c>
      <c r="J509" s="4">
        <f t="shared" si="108"/>
        <v>54.166666666666664</v>
      </c>
      <c r="K509" s="4">
        <f t="shared" si="109"/>
        <v>58.333333333333336</v>
      </c>
      <c r="L509" s="5">
        <f t="shared" si="110"/>
        <v>7.6923076923077011E-2</v>
      </c>
      <c r="M509" s="4">
        <f>4*(('01_WHOQOL_Items'!W509 + '01_WHOQOL_Items'!X509 + '01_WHOQOL_Items'!Y509)/3)</f>
        <v>13.333333333333334</v>
      </c>
      <c r="N509" s="4">
        <f>4*(('01_WHOQOL_Items'!AW509 + '01_WHOQOL_Items'!AX509 + '01_WHOQOL_Items'!AY509)/3)</f>
        <v>12</v>
      </c>
      <c r="O509" s="4">
        <f t="shared" si="111"/>
        <v>58.333333333333336</v>
      </c>
      <c r="P509" s="4">
        <f t="shared" si="112"/>
        <v>50</v>
      </c>
      <c r="Q509" s="5">
        <f t="shared" si="113"/>
        <v>-0.1428571428571429</v>
      </c>
      <c r="R509" s="4">
        <f>4*(('01_WHOQOL_Items'!K509 + '01_WHOQOL_Items'!L509 + '01_WHOQOL_Items'!O509 + '01_WHOQOL_Items'!P509 + '01_WHOQOL_Items'!Q509 + '01_WHOQOL_Items'!Z509 + '01_WHOQOL_Items'!AA509 + '01_WHOQOL_Items'!AB509)/8)</f>
        <v>14.5</v>
      </c>
      <c r="S509" s="4">
        <f>4*(('01_WHOQOL_Items'!AK509 + '01_WHOQOL_Items'!AL509 + '01_WHOQOL_Items'!AO509 + '01_WHOQOL_Items'!AP509 + '01_WHOQOL_Items'!AQ509 + '01_WHOQOL_Items'!AZ509 + '01_WHOQOL_Items'!BA509 + '01_WHOQOL_Items'!BB509)/8)</f>
        <v>15.5</v>
      </c>
      <c r="T509" s="4">
        <f t="shared" si="114"/>
        <v>65.625</v>
      </c>
      <c r="U509" s="4">
        <f t="shared" si="115"/>
        <v>71.875</v>
      </c>
      <c r="V509" s="5">
        <f t="shared" si="116"/>
        <v>9.5238095238095233E-2</v>
      </c>
      <c r="W509" s="4">
        <f t="shared" si="117"/>
        <v>55.245535714285715</v>
      </c>
      <c r="X509" s="4">
        <f t="shared" si="118"/>
        <v>57.552083333333336</v>
      </c>
      <c r="Y509" s="5">
        <f t="shared" si="119"/>
        <v>4.1750841750841775E-2</v>
      </c>
      <c r="Z509" s="1">
        <f>'01_WHOQOL_Items'!D509</f>
        <v>4</v>
      </c>
      <c r="AA509" s="1">
        <f>'01_WHOQOL_Items'!AD509</f>
        <v>3</v>
      </c>
      <c r="AB509" s="1">
        <f>'01_WHOQOL_Items'!E509</f>
        <v>3</v>
      </c>
      <c r="AC509" s="1">
        <f>'01_WHOQOL_Items'!AE509</f>
        <v>2</v>
      </c>
    </row>
    <row r="510" spans="1:29">
      <c r="A510" s="1" t="str">
        <f>'01_WHOQOL_Items'!A510</f>
        <v>CON-228</v>
      </c>
      <c r="B510" s="1" t="str">
        <f>'01_WHOQOL_Items'!B510</f>
        <v>Control</v>
      </c>
      <c r="C510" s="4">
        <f>4*(((6-'01_WHOQOL_Items'!F510) + (6-'01_WHOQOL_Items'!G510) + '01_WHOQOL_Items'!M510 + '01_WHOQOL_Items'!R510 + '01_WHOQOL_Items'!S510 + '01_WHOQOL_Items'!T510 + '01_WHOQOL_Items'!U510)/7)</f>
        <v>12</v>
      </c>
      <c r="D510" s="4">
        <f>4*(((6-'01_WHOQOL_Items'!AF510) + (6-'01_WHOQOL_Items'!AG510) + '01_WHOQOL_Items'!AM510 + '01_WHOQOL_Items'!AR510 + '01_WHOQOL_Items'!AS510 + '01_WHOQOL_Items'!AT510 + '01_WHOQOL_Items'!AU510)/7)</f>
        <v>12</v>
      </c>
      <c r="E510" s="4">
        <f t="shared" si="105"/>
        <v>50</v>
      </c>
      <c r="F510" s="4">
        <f t="shared" si="106"/>
        <v>50</v>
      </c>
      <c r="G510" s="5">
        <f t="shared" si="107"/>
        <v>0</v>
      </c>
      <c r="H510" s="4">
        <f>4*(('01_WHOQOL_Items'!H510 + '01_WHOQOL_Items'!I510 + '01_WHOQOL_Items'!J510 + '01_WHOQOL_Items'!N510 + '01_WHOQOL_Items'!V510 + (6-'01_WHOQOL_Items'!AC510))/6)</f>
        <v>11.333333333333334</v>
      </c>
      <c r="I510" s="4">
        <f>4*(('01_WHOQOL_Items'!AH510 + '01_WHOQOL_Items'!AI510 + '01_WHOQOL_Items'!AJ510 + '01_WHOQOL_Items'!AN510 + '01_WHOQOL_Items'!AV510 + (6-'01_WHOQOL_Items'!BC510))/6)</f>
        <v>11.333333333333334</v>
      </c>
      <c r="J510" s="4">
        <f t="shared" si="108"/>
        <v>45.833333333333336</v>
      </c>
      <c r="K510" s="4">
        <f t="shared" si="109"/>
        <v>45.833333333333336</v>
      </c>
      <c r="L510" s="5">
        <f t="shared" si="110"/>
        <v>0</v>
      </c>
      <c r="M510" s="4">
        <f>4*(('01_WHOQOL_Items'!W510 + '01_WHOQOL_Items'!X510 + '01_WHOQOL_Items'!Y510)/3)</f>
        <v>16</v>
      </c>
      <c r="N510" s="4">
        <f>4*(('01_WHOQOL_Items'!AW510 + '01_WHOQOL_Items'!AX510 + '01_WHOQOL_Items'!AY510)/3)</f>
        <v>16</v>
      </c>
      <c r="O510" s="4">
        <f t="shared" si="111"/>
        <v>75</v>
      </c>
      <c r="P510" s="4">
        <f t="shared" si="112"/>
        <v>75</v>
      </c>
      <c r="Q510" s="5">
        <f t="shared" si="113"/>
        <v>0</v>
      </c>
      <c r="R510" s="4">
        <f>4*(('01_WHOQOL_Items'!K510 + '01_WHOQOL_Items'!L510 + '01_WHOQOL_Items'!O510 + '01_WHOQOL_Items'!P510 + '01_WHOQOL_Items'!Q510 + '01_WHOQOL_Items'!Z510 + '01_WHOQOL_Items'!AA510 + '01_WHOQOL_Items'!AB510)/8)</f>
        <v>11.5</v>
      </c>
      <c r="S510" s="4">
        <f>4*(('01_WHOQOL_Items'!AK510 + '01_WHOQOL_Items'!AL510 + '01_WHOQOL_Items'!AO510 + '01_WHOQOL_Items'!AP510 + '01_WHOQOL_Items'!AQ510 + '01_WHOQOL_Items'!AZ510 + '01_WHOQOL_Items'!BA510 + '01_WHOQOL_Items'!BB510)/8)</f>
        <v>16</v>
      </c>
      <c r="T510" s="4">
        <f t="shared" si="114"/>
        <v>46.875</v>
      </c>
      <c r="U510" s="4">
        <f t="shared" si="115"/>
        <v>75</v>
      </c>
      <c r="V510" s="5">
        <f t="shared" si="116"/>
        <v>0.6</v>
      </c>
      <c r="W510" s="4">
        <f t="shared" si="117"/>
        <v>54.427083333333336</v>
      </c>
      <c r="X510" s="4">
        <f t="shared" si="118"/>
        <v>61.458333333333336</v>
      </c>
      <c r="Y510" s="5">
        <f t="shared" si="119"/>
        <v>0.12918660287081341</v>
      </c>
      <c r="Z510" s="1">
        <f>'01_WHOQOL_Items'!D510</f>
        <v>3</v>
      </c>
      <c r="AA510" s="1">
        <f>'01_WHOQOL_Items'!AD510</f>
        <v>4</v>
      </c>
      <c r="AB510" s="1">
        <f>'01_WHOQOL_Items'!E510</f>
        <v>3</v>
      </c>
      <c r="AC510" s="1">
        <f>'01_WHOQOL_Items'!AE510</f>
        <v>3</v>
      </c>
    </row>
    <row r="511" spans="1:29">
      <c r="A511" s="1" t="str">
        <f>'01_WHOQOL_Items'!A511</f>
        <v>CON-229</v>
      </c>
      <c r="B511" s="1" t="str">
        <f>'01_WHOQOL_Items'!B511</f>
        <v>Control</v>
      </c>
      <c r="C511" s="4">
        <f>4*(((6-'01_WHOQOL_Items'!F511) + (6-'01_WHOQOL_Items'!G511) + '01_WHOQOL_Items'!M511 + '01_WHOQOL_Items'!R511 + '01_WHOQOL_Items'!S511 + '01_WHOQOL_Items'!T511 + '01_WHOQOL_Items'!U511)/7)</f>
        <v>14.857142857142858</v>
      </c>
      <c r="D511" s="4">
        <f>4*(((6-'01_WHOQOL_Items'!AF511) + (6-'01_WHOQOL_Items'!AG511) + '01_WHOQOL_Items'!AM511 + '01_WHOQOL_Items'!AR511 + '01_WHOQOL_Items'!AS511 + '01_WHOQOL_Items'!AT511 + '01_WHOQOL_Items'!AU511)/7)</f>
        <v>16.571428571428573</v>
      </c>
      <c r="E511" s="4">
        <f t="shared" si="105"/>
        <v>67.857142857142861</v>
      </c>
      <c r="F511" s="4">
        <f t="shared" si="106"/>
        <v>78.571428571428584</v>
      </c>
      <c r="G511" s="5">
        <f t="shared" si="107"/>
        <v>0.15789473684210537</v>
      </c>
      <c r="H511" s="4">
        <f>4*(('01_WHOQOL_Items'!H511 + '01_WHOQOL_Items'!I511 + '01_WHOQOL_Items'!J511 + '01_WHOQOL_Items'!N511 + '01_WHOQOL_Items'!V511 + (6-'01_WHOQOL_Items'!AC511))/6)</f>
        <v>10.666666666666666</v>
      </c>
      <c r="I511" s="4">
        <f>4*(('01_WHOQOL_Items'!AH511 + '01_WHOQOL_Items'!AI511 + '01_WHOQOL_Items'!AJ511 + '01_WHOQOL_Items'!AN511 + '01_WHOQOL_Items'!AV511 + (6-'01_WHOQOL_Items'!BC511))/6)</f>
        <v>10</v>
      </c>
      <c r="J511" s="4">
        <f t="shared" si="108"/>
        <v>41.666666666666664</v>
      </c>
      <c r="K511" s="4">
        <f t="shared" si="109"/>
        <v>37.5</v>
      </c>
      <c r="L511" s="5">
        <f t="shared" si="110"/>
        <v>-9.999999999999995E-2</v>
      </c>
      <c r="M511" s="4">
        <f>4*(('01_WHOQOL_Items'!W511 + '01_WHOQOL_Items'!X511 + '01_WHOQOL_Items'!Y511)/3)</f>
        <v>12</v>
      </c>
      <c r="N511" s="4">
        <f>4*(('01_WHOQOL_Items'!AW511 + '01_WHOQOL_Items'!AX511 + '01_WHOQOL_Items'!AY511)/3)</f>
        <v>10.666666666666666</v>
      </c>
      <c r="O511" s="4">
        <f t="shared" si="111"/>
        <v>50</v>
      </c>
      <c r="P511" s="4">
        <f t="shared" si="112"/>
        <v>41.666666666666664</v>
      </c>
      <c r="Q511" s="5">
        <f t="shared" si="113"/>
        <v>-0.16666666666666671</v>
      </c>
      <c r="R511" s="4">
        <f>4*(('01_WHOQOL_Items'!K511 + '01_WHOQOL_Items'!L511 + '01_WHOQOL_Items'!O511 + '01_WHOQOL_Items'!P511 + '01_WHOQOL_Items'!Q511 + '01_WHOQOL_Items'!Z511 + '01_WHOQOL_Items'!AA511 + '01_WHOQOL_Items'!AB511)/8)</f>
        <v>18.5</v>
      </c>
      <c r="S511" s="4">
        <f>4*(('01_WHOQOL_Items'!AK511 + '01_WHOQOL_Items'!AL511 + '01_WHOQOL_Items'!AO511 + '01_WHOQOL_Items'!AP511 + '01_WHOQOL_Items'!AQ511 + '01_WHOQOL_Items'!AZ511 + '01_WHOQOL_Items'!BA511 + '01_WHOQOL_Items'!BB511)/8)</f>
        <v>17</v>
      </c>
      <c r="T511" s="4">
        <f t="shared" si="114"/>
        <v>90.625</v>
      </c>
      <c r="U511" s="4">
        <f t="shared" si="115"/>
        <v>81.25</v>
      </c>
      <c r="V511" s="5">
        <f t="shared" si="116"/>
        <v>-0.10344827586206896</v>
      </c>
      <c r="W511" s="4">
        <f t="shared" si="117"/>
        <v>62.53720238095238</v>
      </c>
      <c r="X511" s="4">
        <f t="shared" si="118"/>
        <v>59.74702380952381</v>
      </c>
      <c r="Y511" s="5">
        <f t="shared" si="119"/>
        <v>-4.4616299821534769E-2</v>
      </c>
      <c r="Z511" s="1">
        <f>'01_WHOQOL_Items'!D511</f>
        <v>3</v>
      </c>
      <c r="AA511" s="1">
        <f>'01_WHOQOL_Items'!AD511</f>
        <v>4</v>
      </c>
      <c r="AB511" s="1">
        <f>'01_WHOQOL_Items'!E511</f>
        <v>4</v>
      </c>
      <c r="AC511" s="1">
        <f>'01_WHOQOL_Items'!AE511</f>
        <v>4</v>
      </c>
    </row>
    <row r="512" spans="1:29">
      <c r="A512" s="1" t="str">
        <f>'01_WHOQOL_Items'!A512</f>
        <v>CON-230</v>
      </c>
      <c r="B512" s="1" t="str">
        <f>'01_WHOQOL_Items'!B512</f>
        <v>Control</v>
      </c>
      <c r="C512" s="4">
        <f>4*(((6-'01_WHOQOL_Items'!F512) + (6-'01_WHOQOL_Items'!G512) + '01_WHOQOL_Items'!M512 + '01_WHOQOL_Items'!R512 + '01_WHOQOL_Items'!S512 + '01_WHOQOL_Items'!T512 + '01_WHOQOL_Items'!U512)/7)</f>
        <v>15.428571428571429</v>
      </c>
      <c r="D512" s="4">
        <f>4*(((6-'01_WHOQOL_Items'!AF512) + (6-'01_WHOQOL_Items'!AG512) + '01_WHOQOL_Items'!AM512 + '01_WHOQOL_Items'!AR512 + '01_WHOQOL_Items'!AS512 + '01_WHOQOL_Items'!AT512 + '01_WHOQOL_Items'!AU512)/7)</f>
        <v>14.857142857142858</v>
      </c>
      <c r="E512" s="4">
        <f t="shared" si="105"/>
        <v>71.428571428571431</v>
      </c>
      <c r="F512" s="4">
        <f t="shared" si="106"/>
        <v>67.857142857142861</v>
      </c>
      <c r="G512" s="5">
        <f t="shared" si="107"/>
        <v>-4.9999999999999968E-2</v>
      </c>
      <c r="H512" s="4">
        <f>4*(('01_WHOQOL_Items'!H512 + '01_WHOQOL_Items'!I512 + '01_WHOQOL_Items'!J512 + '01_WHOQOL_Items'!N512 + '01_WHOQOL_Items'!V512 + (6-'01_WHOQOL_Items'!AC512))/6)</f>
        <v>12</v>
      </c>
      <c r="I512" s="4">
        <f>4*(('01_WHOQOL_Items'!AH512 + '01_WHOQOL_Items'!AI512 + '01_WHOQOL_Items'!AJ512 + '01_WHOQOL_Items'!AN512 + '01_WHOQOL_Items'!AV512 + (6-'01_WHOQOL_Items'!BC512))/6)</f>
        <v>12.666666666666666</v>
      </c>
      <c r="J512" s="4">
        <f t="shared" si="108"/>
        <v>50</v>
      </c>
      <c r="K512" s="4">
        <f t="shared" si="109"/>
        <v>54.166666666666664</v>
      </c>
      <c r="L512" s="5">
        <f t="shared" si="110"/>
        <v>8.3333333333333287E-2</v>
      </c>
      <c r="M512" s="4">
        <f>4*(('01_WHOQOL_Items'!W512 + '01_WHOQOL_Items'!X512 + '01_WHOQOL_Items'!Y512)/3)</f>
        <v>13.333333333333334</v>
      </c>
      <c r="N512" s="4">
        <f>4*(('01_WHOQOL_Items'!AW512 + '01_WHOQOL_Items'!AX512 + '01_WHOQOL_Items'!AY512)/3)</f>
        <v>13.333333333333334</v>
      </c>
      <c r="O512" s="4">
        <f t="shared" si="111"/>
        <v>58.333333333333336</v>
      </c>
      <c r="P512" s="4">
        <f t="shared" si="112"/>
        <v>58.333333333333336</v>
      </c>
      <c r="Q512" s="5">
        <f t="shared" si="113"/>
        <v>0</v>
      </c>
      <c r="R512" s="4">
        <f>4*(('01_WHOQOL_Items'!K512 + '01_WHOQOL_Items'!L512 + '01_WHOQOL_Items'!O512 + '01_WHOQOL_Items'!P512 + '01_WHOQOL_Items'!Q512 + '01_WHOQOL_Items'!Z512 + '01_WHOQOL_Items'!AA512 + '01_WHOQOL_Items'!AB512)/8)</f>
        <v>11.5</v>
      </c>
      <c r="S512" s="4">
        <f>4*(('01_WHOQOL_Items'!AK512 + '01_WHOQOL_Items'!AL512 + '01_WHOQOL_Items'!AO512 + '01_WHOQOL_Items'!AP512 + '01_WHOQOL_Items'!AQ512 + '01_WHOQOL_Items'!AZ512 + '01_WHOQOL_Items'!BA512 + '01_WHOQOL_Items'!BB512)/8)</f>
        <v>10.5</v>
      </c>
      <c r="T512" s="4">
        <f t="shared" si="114"/>
        <v>46.875</v>
      </c>
      <c r="U512" s="4">
        <f t="shared" si="115"/>
        <v>40.625</v>
      </c>
      <c r="V512" s="5">
        <f t="shared" si="116"/>
        <v>-0.13333333333333333</v>
      </c>
      <c r="W512" s="4">
        <f t="shared" si="117"/>
        <v>56.65922619047619</v>
      </c>
      <c r="X512" s="4">
        <f t="shared" si="118"/>
        <v>55.245535714285715</v>
      </c>
      <c r="Y512" s="5">
        <f t="shared" si="119"/>
        <v>-2.4950755088640812E-2</v>
      </c>
      <c r="Z512" s="1">
        <f>'01_WHOQOL_Items'!D512</f>
        <v>2</v>
      </c>
      <c r="AA512" s="1">
        <f>'01_WHOQOL_Items'!AD512</f>
        <v>3</v>
      </c>
      <c r="AB512" s="1">
        <f>'01_WHOQOL_Items'!E512</f>
        <v>4</v>
      </c>
      <c r="AC512" s="1">
        <f>'01_WHOQOL_Items'!AE512</f>
        <v>5</v>
      </c>
    </row>
    <row r="513" spans="1:29">
      <c r="A513" s="1" t="str">
        <f>'01_WHOQOL_Items'!A513</f>
        <v>CON-231</v>
      </c>
      <c r="B513" s="1" t="str">
        <f>'01_WHOQOL_Items'!B513</f>
        <v>Control</v>
      </c>
      <c r="C513" s="4">
        <f>4*(((6-'01_WHOQOL_Items'!F513) + (6-'01_WHOQOL_Items'!G513) + '01_WHOQOL_Items'!M513 + '01_WHOQOL_Items'!R513 + '01_WHOQOL_Items'!S513 + '01_WHOQOL_Items'!T513 + '01_WHOQOL_Items'!U513)/7)</f>
        <v>12.571428571428571</v>
      </c>
      <c r="D513" s="4">
        <f>4*(((6-'01_WHOQOL_Items'!AF513) + (6-'01_WHOQOL_Items'!AG513) + '01_WHOQOL_Items'!AM513 + '01_WHOQOL_Items'!AR513 + '01_WHOQOL_Items'!AS513 + '01_WHOQOL_Items'!AT513 + '01_WHOQOL_Items'!AU513)/7)</f>
        <v>14.857142857142858</v>
      </c>
      <c r="E513" s="4">
        <f t="shared" si="105"/>
        <v>53.571428571428569</v>
      </c>
      <c r="F513" s="4">
        <f t="shared" si="106"/>
        <v>67.857142857142861</v>
      </c>
      <c r="G513" s="5">
        <f t="shared" si="107"/>
        <v>0.26666666666666677</v>
      </c>
      <c r="H513" s="4">
        <f>4*(('01_WHOQOL_Items'!H513 + '01_WHOQOL_Items'!I513 + '01_WHOQOL_Items'!J513 + '01_WHOQOL_Items'!N513 + '01_WHOQOL_Items'!V513 + (6-'01_WHOQOL_Items'!AC513))/6)</f>
        <v>13.333333333333334</v>
      </c>
      <c r="I513" s="4">
        <f>4*(('01_WHOQOL_Items'!AH513 + '01_WHOQOL_Items'!AI513 + '01_WHOQOL_Items'!AJ513 + '01_WHOQOL_Items'!AN513 + '01_WHOQOL_Items'!AV513 + (6-'01_WHOQOL_Items'!BC513))/6)</f>
        <v>14</v>
      </c>
      <c r="J513" s="4">
        <f t="shared" si="108"/>
        <v>58.333333333333336</v>
      </c>
      <c r="K513" s="4">
        <f t="shared" si="109"/>
        <v>62.5</v>
      </c>
      <c r="L513" s="5">
        <f t="shared" si="110"/>
        <v>7.1428571428571383E-2</v>
      </c>
      <c r="M513" s="4">
        <f>4*(('01_WHOQOL_Items'!W513 + '01_WHOQOL_Items'!X513 + '01_WHOQOL_Items'!Y513)/3)</f>
        <v>14.666666666666666</v>
      </c>
      <c r="N513" s="4">
        <f>4*(('01_WHOQOL_Items'!AW513 + '01_WHOQOL_Items'!AX513 + '01_WHOQOL_Items'!AY513)/3)</f>
        <v>13.333333333333334</v>
      </c>
      <c r="O513" s="4">
        <f t="shared" si="111"/>
        <v>66.666666666666657</v>
      </c>
      <c r="P513" s="4">
        <f t="shared" si="112"/>
        <v>58.333333333333336</v>
      </c>
      <c r="Q513" s="5">
        <f t="shared" si="113"/>
        <v>-0.12499999999999983</v>
      </c>
      <c r="R513" s="4">
        <f>4*(('01_WHOQOL_Items'!K513 + '01_WHOQOL_Items'!L513 + '01_WHOQOL_Items'!O513 + '01_WHOQOL_Items'!P513 + '01_WHOQOL_Items'!Q513 + '01_WHOQOL_Items'!Z513 + '01_WHOQOL_Items'!AA513 + '01_WHOQOL_Items'!AB513)/8)</f>
        <v>14</v>
      </c>
      <c r="S513" s="4">
        <f>4*(('01_WHOQOL_Items'!AK513 + '01_WHOQOL_Items'!AL513 + '01_WHOQOL_Items'!AO513 + '01_WHOQOL_Items'!AP513 + '01_WHOQOL_Items'!AQ513 + '01_WHOQOL_Items'!AZ513 + '01_WHOQOL_Items'!BA513 + '01_WHOQOL_Items'!BB513)/8)</f>
        <v>14</v>
      </c>
      <c r="T513" s="4">
        <f t="shared" si="114"/>
        <v>62.5</v>
      </c>
      <c r="U513" s="4">
        <f t="shared" si="115"/>
        <v>62.5</v>
      </c>
      <c r="V513" s="5">
        <f t="shared" si="116"/>
        <v>0</v>
      </c>
      <c r="W513" s="4">
        <f t="shared" si="117"/>
        <v>60.267857142857139</v>
      </c>
      <c r="X513" s="4">
        <f t="shared" si="118"/>
        <v>62.797619047619051</v>
      </c>
      <c r="Y513" s="5">
        <f t="shared" si="119"/>
        <v>4.1975308641975434E-2</v>
      </c>
      <c r="Z513" s="1">
        <f>'01_WHOQOL_Items'!D513</f>
        <v>4</v>
      </c>
      <c r="AA513" s="1">
        <f>'01_WHOQOL_Items'!AD513</f>
        <v>3</v>
      </c>
      <c r="AB513" s="1">
        <f>'01_WHOQOL_Items'!E513</f>
        <v>3</v>
      </c>
      <c r="AC513" s="1">
        <f>'01_WHOQOL_Items'!AE513</f>
        <v>3</v>
      </c>
    </row>
    <row r="514" spans="1:29">
      <c r="A514" s="1" t="str">
        <f>'01_WHOQOL_Items'!A514</f>
        <v>CON-232</v>
      </c>
      <c r="B514" s="1" t="str">
        <f>'01_WHOQOL_Items'!B514</f>
        <v>Control</v>
      </c>
      <c r="C514" s="4">
        <f>4*(((6-'01_WHOQOL_Items'!F514) + (6-'01_WHOQOL_Items'!G514) + '01_WHOQOL_Items'!M514 + '01_WHOQOL_Items'!R514 + '01_WHOQOL_Items'!S514 + '01_WHOQOL_Items'!T514 + '01_WHOQOL_Items'!U514)/7)</f>
        <v>13.714285714285714</v>
      </c>
      <c r="D514" s="4">
        <f>4*(((6-'01_WHOQOL_Items'!AF514) + (6-'01_WHOQOL_Items'!AG514) + '01_WHOQOL_Items'!AM514 + '01_WHOQOL_Items'!AR514 + '01_WHOQOL_Items'!AS514 + '01_WHOQOL_Items'!AT514 + '01_WHOQOL_Items'!AU514)/7)</f>
        <v>13.714285714285714</v>
      </c>
      <c r="E514" s="4">
        <f t="shared" ref="E514:E563" si="120">(C514-4)*100/16</f>
        <v>60.714285714285708</v>
      </c>
      <c r="F514" s="4">
        <f t="shared" ref="F514:F563" si="121">(D514-4)*100/16</f>
        <v>60.714285714285708</v>
      </c>
      <c r="G514" s="5">
        <f t="shared" ref="G514:G577" si="122">IFERROR((F514-E514)/E514,"")</f>
        <v>0</v>
      </c>
      <c r="H514" s="4">
        <f>4*(('01_WHOQOL_Items'!H514 + '01_WHOQOL_Items'!I514 + '01_WHOQOL_Items'!J514 + '01_WHOQOL_Items'!N514 + '01_WHOQOL_Items'!V514 + (6-'01_WHOQOL_Items'!AC514))/6)</f>
        <v>10.666666666666666</v>
      </c>
      <c r="I514" s="4">
        <f>4*(('01_WHOQOL_Items'!AH514 + '01_WHOQOL_Items'!AI514 + '01_WHOQOL_Items'!AJ514 + '01_WHOQOL_Items'!AN514 + '01_WHOQOL_Items'!AV514 + (6-'01_WHOQOL_Items'!BC514))/6)</f>
        <v>10.666666666666666</v>
      </c>
      <c r="J514" s="4">
        <f t="shared" ref="J514:J563" si="123">(H514-4)*100/16</f>
        <v>41.666666666666664</v>
      </c>
      <c r="K514" s="4">
        <f t="shared" ref="K514:K563" si="124">(I514-4)*100/16</f>
        <v>41.666666666666664</v>
      </c>
      <c r="L514" s="5">
        <f t="shared" ref="L514:L577" si="125">IFERROR((K514-J514)/J514,"")</f>
        <v>0</v>
      </c>
      <c r="M514" s="4">
        <f>4*(('01_WHOQOL_Items'!W514 + '01_WHOQOL_Items'!X514 + '01_WHOQOL_Items'!Y514)/3)</f>
        <v>12</v>
      </c>
      <c r="N514" s="4">
        <f>4*(('01_WHOQOL_Items'!AW514 + '01_WHOQOL_Items'!AX514 + '01_WHOQOL_Items'!AY514)/3)</f>
        <v>10.666666666666666</v>
      </c>
      <c r="O514" s="4">
        <f t="shared" ref="O514:O563" si="126">(M514-4)*100/16</f>
        <v>50</v>
      </c>
      <c r="P514" s="4">
        <f t="shared" ref="P514:P563" si="127">(N514-4)*100/16</f>
        <v>41.666666666666664</v>
      </c>
      <c r="Q514" s="5">
        <f t="shared" ref="Q514:Q577" si="128">IFERROR((P514-O514)/O514,"")</f>
        <v>-0.16666666666666671</v>
      </c>
      <c r="R514" s="4">
        <f>4*(('01_WHOQOL_Items'!K514 + '01_WHOQOL_Items'!L514 + '01_WHOQOL_Items'!O514 + '01_WHOQOL_Items'!P514 + '01_WHOQOL_Items'!Q514 + '01_WHOQOL_Items'!Z514 + '01_WHOQOL_Items'!AA514 + '01_WHOQOL_Items'!AB514)/8)</f>
        <v>17</v>
      </c>
      <c r="S514" s="4">
        <f>4*(('01_WHOQOL_Items'!AK514 + '01_WHOQOL_Items'!AL514 + '01_WHOQOL_Items'!AO514 + '01_WHOQOL_Items'!AP514 + '01_WHOQOL_Items'!AQ514 + '01_WHOQOL_Items'!AZ514 + '01_WHOQOL_Items'!BA514 + '01_WHOQOL_Items'!BB514)/8)</f>
        <v>18</v>
      </c>
      <c r="T514" s="4">
        <f t="shared" ref="T514:T563" si="129">(R514-4)*100/16</f>
        <v>81.25</v>
      </c>
      <c r="U514" s="4">
        <f t="shared" ref="U514:U563" si="130">(S514-4)*100/16</f>
        <v>87.5</v>
      </c>
      <c r="V514" s="5">
        <f t="shared" ref="V514:V577" si="131">IFERROR((U514-T514)/T514,"")</f>
        <v>7.6923076923076927E-2</v>
      </c>
      <c r="W514" s="4">
        <f t="shared" ref="W514:W563" si="132">AVERAGE(E514,J514,O514,T514)</f>
        <v>58.407738095238095</v>
      </c>
      <c r="X514" s="4">
        <f t="shared" ref="X514:X563" si="133">AVERAGE(F514,K514,P514,U514)</f>
        <v>57.886904761904759</v>
      </c>
      <c r="Y514" s="5">
        <f t="shared" ref="Y514:Y577" si="134">IFERROR((X514-W514)/W514,"")</f>
        <v>-8.9171974522293408E-3</v>
      </c>
      <c r="Z514" s="1">
        <f>'01_WHOQOL_Items'!D514</f>
        <v>3</v>
      </c>
      <c r="AA514" s="1">
        <f>'01_WHOQOL_Items'!AD514</f>
        <v>4</v>
      </c>
      <c r="AB514" s="1">
        <f>'01_WHOQOL_Items'!E514</f>
        <v>5</v>
      </c>
      <c r="AC514" s="1">
        <f>'01_WHOQOL_Items'!AE514</f>
        <v>3</v>
      </c>
    </row>
    <row r="515" spans="1:29">
      <c r="A515" s="1" t="str">
        <f>'01_WHOQOL_Items'!A515</f>
        <v>CON-233</v>
      </c>
      <c r="B515" s="1" t="str">
        <f>'01_WHOQOL_Items'!B515</f>
        <v>Control</v>
      </c>
      <c r="C515" s="4">
        <f>4*(((6-'01_WHOQOL_Items'!F515) + (6-'01_WHOQOL_Items'!G515) + '01_WHOQOL_Items'!M515 + '01_WHOQOL_Items'!R515 + '01_WHOQOL_Items'!S515 + '01_WHOQOL_Items'!T515 + '01_WHOQOL_Items'!U515)/7)</f>
        <v>13.142857142857142</v>
      </c>
      <c r="D515" s="4">
        <f>4*(((6-'01_WHOQOL_Items'!AF515) + (6-'01_WHOQOL_Items'!AG515) + '01_WHOQOL_Items'!AM515 + '01_WHOQOL_Items'!AR515 + '01_WHOQOL_Items'!AS515 + '01_WHOQOL_Items'!AT515 + '01_WHOQOL_Items'!AU515)/7)</f>
        <v>12.571428571428571</v>
      </c>
      <c r="E515" s="4">
        <f t="shared" si="120"/>
        <v>57.142857142857139</v>
      </c>
      <c r="F515" s="4">
        <f t="shared" si="121"/>
        <v>53.571428571428569</v>
      </c>
      <c r="G515" s="5">
        <f t="shared" si="122"/>
        <v>-6.2499999999999972E-2</v>
      </c>
      <c r="H515" s="4">
        <f>4*(('01_WHOQOL_Items'!H515 + '01_WHOQOL_Items'!I515 + '01_WHOQOL_Items'!J515 + '01_WHOQOL_Items'!N515 + '01_WHOQOL_Items'!V515 + (6-'01_WHOQOL_Items'!AC515))/6)</f>
        <v>14</v>
      </c>
      <c r="I515" s="4">
        <f>4*(('01_WHOQOL_Items'!AH515 + '01_WHOQOL_Items'!AI515 + '01_WHOQOL_Items'!AJ515 + '01_WHOQOL_Items'!AN515 + '01_WHOQOL_Items'!AV515 + (6-'01_WHOQOL_Items'!BC515))/6)</f>
        <v>14</v>
      </c>
      <c r="J515" s="4">
        <f t="shared" si="123"/>
        <v>62.5</v>
      </c>
      <c r="K515" s="4">
        <f t="shared" si="124"/>
        <v>62.5</v>
      </c>
      <c r="L515" s="5">
        <f t="shared" si="125"/>
        <v>0</v>
      </c>
      <c r="M515" s="4">
        <f>4*(('01_WHOQOL_Items'!W515 + '01_WHOQOL_Items'!X515 + '01_WHOQOL_Items'!Y515)/3)</f>
        <v>9.3333333333333339</v>
      </c>
      <c r="N515" s="4">
        <f>4*(('01_WHOQOL_Items'!AW515 + '01_WHOQOL_Items'!AX515 + '01_WHOQOL_Items'!AY515)/3)</f>
        <v>12</v>
      </c>
      <c r="O515" s="4">
        <f t="shared" si="126"/>
        <v>33.333333333333336</v>
      </c>
      <c r="P515" s="4">
        <f t="shared" si="127"/>
        <v>50</v>
      </c>
      <c r="Q515" s="5">
        <f t="shared" si="128"/>
        <v>0.49999999999999989</v>
      </c>
      <c r="R515" s="4">
        <f>4*(('01_WHOQOL_Items'!K515 + '01_WHOQOL_Items'!L515 + '01_WHOQOL_Items'!O515 + '01_WHOQOL_Items'!P515 + '01_WHOQOL_Items'!Q515 + '01_WHOQOL_Items'!Z515 + '01_WHOQOL_Items'!AA515 + '01_WHOQOL_Items'!AB515)/8)</f>
        <v>11.5</v>
      </c>
      <c r="S515" s="4">
        <f>4*(('01_WHOQOL_Items'!AK515 + '01_WHOQOL_Items'!AL515 + '01_WHOQOL_Items'!AO515 + '01_WHOQOL_Items'!AP515 + '01_WHOQOL_Items'!AQ515 + '01_WHOQOL_Items'!AZ515 + '01_WHOQOL_Items'!BA515 + '01_WHOQOL_Items'!BB515)/8)</f>
        <v>14</v>
      </c>
      <c r="T515" s="4">
        <f t="shared" si="129"/>
        <v>46.875</v>
      </c>
      <c r="U515" s="4">
        <f t="shared" si="130"/>
        <v>62.5</v>
      </c>
      <c r="V515" s="5">
        <f t="shared" si="131"/>
        <v>0.33333333333333331</v>
      </c>
      <c r="W515" s="4">
        <f t="shared" si="132"/>
        <v>49.96279761904762</v>
      </c>
      <c r="X515" s="4">
        <f t="shared" si="133"/>
        <v>57.142857142857139</v>
      </c>
      <c r="Y515" s="5">
        <f t="shared" si="134"/>
        <v>0.14370811615785545</v>
      </c>
      <c r="Z515" s="1">
        <f>'01_WHOQOL_Items'!D515</f>
        <v>4</v>
      </c>
      <c r="AA515" s="1">
        <f>'01_WHOQOL_Items'!AD515</f>
        <v>4</v>
      </c>
      <c r="AB515" s="1">
        <f>'01_WHOQOL_Items'!E515</f>
        <v>3</v>
      </c>
      <c r="AC515" s="1">
        <f>'01_WHOQOL_Items'!AE515</f>
        <v>3</v>
      </c>
    </row>
    <row r="516" spans="1:29">
      <c r="A516" s="1" t="str">
        <f>'01_WHOQOL_Items'!A516</f>
        <v>CON-234</v>
      </c>
      <c r="B516" s="1" t="str">
        <f>'01_WHOQOL_Items'!B516</f>
        <v>Control</v>
      </c>
      <c r="C516" s="4">
        <f>4*(((6-'01_WHOQOL_Items'!F516) + (6-'01_WHOQOL_Items'!G516) + '01_WHOQOL_Items'!M516 + '01_WHOQOL_Items'!R516 + '01_WHOQOL_Items'!S516 + '01_WHOQOL_Items'!T516 + '01_WHOQOL_Items'!U516)/7)</f>
        <v>13.714285714285714</v>
      </c>
      <c r="D516" s="4">
        <f>4*(((6-'01_WHOQOL_Items'!AF516) + (6-'01_WHOQOL_Items'!AG516) + '01_WHOQOL_Items'!AM516 + '01_WHOQOL_Items'!AR516 + '01_WHOQOL_Items'!AS516 + '01_WHOQOL_Items'!AT516 + '01_WHOQOL_Items'!AU516)/7)</f>
        <v>12.571428571428571</v>
      </c>
      <c r="E516" s="4">
        <f t="shared" si="120"/>
        <v>60.714285714285708</v>
      </c>
      <c r="F516" s="4">
        <f t="shared" si="121"/>
        <v>53.571428571428569</v>
      </c>
      <c r="G516" s="5">
        <f t="shared" si="122"/>
        <v>-0.11764705882352935</v>
      </c>
      <c r="H516" s="4">
        <f>4*(('01_WHOQOL_Items'!H516 + '01_WHOQOL_Items'!I516 + '01_WHOQOL_Items'!J516 + '01_WHOQOL_Items'!N516 + '01_WHOQOL_Items'!V516 + (6-'01_WHOQOL_Items'!AC516))/6)</f>
        <v>9.3333333333333339</v>
      </c>
      <c r="I516" s="4">
        <f>4*(('01_WHOQOL_Items'!AH516 + '01_WHOQOL_Items'!AI516 + '01_WHOQOL_Items'!AJ516 + '01_WHOQOL_Items'!AN516 + '01_WHOQOL_Items'!AV516 + (6-'01_WHOQOL_Items'!BC516))/6)</f>
        <v>12</v>
      </c>
      <c r="J516" s="4">
        <f t="shared" si="123"/>
        <v>33.333333333333336</v>
      </c>
      <c r="K516" s="4">
        <f t="shared" si="124"/>
        <v>50</v>
      </c>
      <c r="L516" s="5">
        <f t="shared" si="125"/>
        <v>0.49999999999999989</v>
      </c>
      <c r="M516" s="4">
        <f>4*(('01_WHOQOL_Items'!W516 + '01_WHOQOL_Items'!X516 + '01_WHOQOL_Items'!Y516)/3)</f>
        <v>14.666666666666666</v>
      </c>
      <c r="N516" s="4">
        <f>4*(('01_WHOQOL_Items'!AW516 + '01_WHOQOL_Items'!AX516 + '01_WHOQOL_Items'!AY516)/3)</f>
        <v>14.666666666666666</v>
      </c>
      <c r="O516" s="4">
        <f t="shared" si="126"/>
        <v>66.666666666666657</v>
      </c>
      <c r="P516" s="4">
        <f t="shared" si="127"/>
        <v>66.666666666666657</v>
      </c>
      <c r="Q516" s="5">
        <f t="shared" si="128"/>
        <v>0</v>
      </c>
      <c r="R516" s="4">
        <f>4*(('01_WHOQOL_Items'!K516 + '01_WHOQOL_Items'!L516 + '01_WHOQOL_Items'!O516 + '01_WHOQOL_Items'!P516 + '01_WHOQOL_Items'!Q516 + '01_WHOQOL_Items'!Z516 + '01_WHOQOL_Items'!AA516 + '01_WHOQOL_Items'!AB516)/8)</f>
        <v>13.5</v>
      </c>
      <c r="S516" s="4">
        <f>4*(('01_WHOQOL_Items'!AK516 + '01_WHOQOL_Items'!AL516 + '01_WHOQOL_Items'!AO516 + '01_WHOQOL_Items'!AP516 + '01_WHOQOL_Items'!AQ516 + '01_WHOQOL_Items'!AZ516 + '01_WHOQOL_Items'!BA516 + '01_WHOQOL_Items'!BB516)/8)</f>
        <v>15.5</v>
      </c>
      <c r="T516" s="4">
        <f t="shared" si="129"/>
        <v>59.375</v>
      </c>
      <c r="U516" s="4">
        <f t="shared" si="130"/>
        <v>71.875</v>
      </c>
      <c r="V516" s="5">
        <f t="shared" si="131"/>
        <v>0.21052631578947367</v>
      </c>
      <c r="W516" s="4">
        <f t="shared" si="132"/>
        <v>55.022321428571423</v>
      </c>
      <c r="X516" s="4">
        <f t="shared" si="133"/>
        <v>60.52827380952381</v>
      </c>
      <c r="Y516" s="5">
        <f t="shared" si="134"/>
        <v>0.10006761325219754</v>
      </c>
      <c r="Z516" s="1">
        <f>'01_WHOQOL_Items'!D516</f>
        <v>4</v>
      </c>
      <c r="AA516" s="1">
        <f>'01_WHOQOL_Items'!AD516</f>
        <v>3</v>
      </c>
      <c r="AB516" s="1">
        <f>'01_WHOQOL_Items'!E516</f>
        <v>2</v>
      </c>
      <c r="AC516" s="1">
        <f>'01_WHOQOL_Items'!AE516</f>
        <v>4</v>
      </c>
    </row>
    <row r="517" spans="1:29">
      <c r="A517" s="1" t="str">
        <f>'01_WHOQOL_Items'!A517</f>
        <v>CON-235</v>
      </c>
      <c r="B517" s="1" t="str">
        <f>'01_WHOQOL_Items'!B517</f>
        <v>Control</v>
      </c>
      <c r="C517" s="4">
        <f>4*(((6-'01_WHOQOL_Items'!F517) + (6-'01_WHOQOL_Items'!G517) + '01_WHOQOL_Items'!M517 + '01_WHOQOL_Items'!R517 + '01_WHOQOL_Items'!S517 + '01_WHOQOL_Items'!T517 + '01_WHOQOL_Items'!U517)/7)</f>
        <v>10.857142857142858</v>
      </c>
      <c r="D517" s="4">
        <f>4*(((6-'01_WHOQOL_Items'!AF517) + (6-'01_WHOQOL_Items'!AG517) + '01_WHOQOL_Items'!AM517 + '01_WHOQOL_Items'!AR517 + '01_WHOQOL_Items'!AS517 + '01_WHOQOL_Items'!AT517 + '01_WHOQOL_Items'!AU517)/7)</f>
        <v>14.285714285714286</v>
      </c>
      <c r="E517" s="4">
        <f t="shared" si="120"/>
        <v>42.857142857142861</v>
      </c>
      <c r="F517" s="4">
        <f t="shared" si="121"/>
        <v>64.285714285714292</v>
      </c>
      <c r="G517" s="5">
        <f t="shared" si="122"/>
        <v>0.5</v>
      </c>
      <c r="H517" s="4">
        <f>4*(('01_WHOQOL_Items'!H517 + '01_WHOQOL_Items'!I517 + '01_WHOQOL_Items'!J517 + '01_WHOQOL_Items'!N517 + '01_WHOQOL_Items'!V517 + (6-'01_WHOQOL_Items'!AC517))/6)</f>
        <v>12.666666666666666</v>
      </c>
      <c r="I517" s="4">
        <f>4*(('01_WHOQOL_Items'!AH517 + '01_WHOQOL_Items'!AI517 + '01_WHOQOL_Items'!AJ517 + '01_WHOQOL_Items'!AN517 + '01_WHOQOL_Items'!AV517 + (6-'01_WHOQOL_Items'!BC517))/6)</f>
        <v>12</v>
      </c>
      <c r="J517" s="4">
        <f t="shared" si="123"/>
        <v>54.166666666666664</v>
      </c>
      <c r="K517" s="4">
        <f t="shared" si="124"/>
        <v>50</v>
      </c>
      <c r="L517" s="5">
        <f t="shared" si="125"/>
        <v>-7.6923076923076886E-2</v>
      </c>
      <c r="M517" s="4">
        <f>4*(('01_WHOQOL_Items'!W517 + '01_WHOQOL_Items'!X517 + '01_WHOQOL_Items'!Y517)/3)</f>
        <v>10.666666666666666</v>
      </c>
      <c r="N517" s="4">
        <f>4*(('01_WHOQOL_Items'!AW517 + '01_WHOQOL_Items'!AX517 + '01_WHOQOL_Items'!AY517)/3)</f>
        <v>12</v>
      </c>
      <c r="O517" s="4">
        <f t="shared" si="126"/>
        <v>41.666666666666664</v>
      </c>
      <c r="P517" s="4">
        <f t="shared" si="127"/>
        <v>50</v>
      </c>
      <c r="Q517" s="5">
        <f t="shared" si="128"/>
        <v>0.20000000000000007</v>
      </c>
      <c r="R517" s="4">
        <f>4*(('01_WHOQOL_Items'!K517 + '01_WHOQOL_Items'!L517 + '01_WHOQOL_Items'!O517 + '01_WHOQOL_Items'!P517 + '01_WHOQOL_Items'!Q517 + '01_WHOQOL_Items'!Z517 + '01_WHOQOL_Items'!AA517 + '01_WHOQOL_Items'!AB517)/8)</f>
        <v>13.5</v>
      </c>
      <c r="S517" s="4">
        <f>4*(('01_WHOQOL_Items'!AK517 + '01_WHOQOL_Items'!AL517 + '01_WHOQOL_Items'!AO517 + '01_WHOQOL_Items'!AP517 + '01_WHOQOL_Items'!AQ517 + '01_WHOQOL_Items'!AZ517 + '01_WHOQOL_Items'!BA517 + '01_WHOQOL_Items'!BB517)/8)</f>
        <v>14.5</v>
      </c>
      <c r="T517" s="4">
        <f t="shared" si="129"/>
        <v>59.375</v>
      </c>
      <c r="U517" s="4">
        <f t="shared" si="130"/>
        <v>65.625</v>
      </c>
      <c r="V517" s="5">
        <f t="shared" si="131"/>
        <v>0.10526315789473684</v>
      </c>
      <c r="W517" s="4">
        <f t="shared" si="132"/>
        <v>49.516369047619044</v>
      </c>
      <c r="X517" s="4">
        <f t="shared" si="133"/>
        <v>57.477678571428569</v>
      </c>
      <c r="Y517" s="5">
        <f t="shared" si="134"/>
        <v>0.16078136739293769</v>
      </c>
      <c r="Z517" s="1">
        <f>'01_WHOQOL_Items'!D517</f>
        <v>4</v>
      </c>
      <c r="AA517" s="1">
        <f>'01_WHOQOL_Items'!AD517</f>
        <v>4</v>
      </c>
      <c r="AB517" s="1">
        <f>'01_WHOQOL_Items'!E517</f>
        <v>2</v>
      </c>
      <c r="AC517" s="1">
        <f>'01_WHOQOL_Items'!AE517</f>
        <v>3</v>
      </c>
    </row>
    <row r="518" spans="1:29">
      <c r="A518" s="1" t="str">
        <f>'01_WHOQOL_Items'!A518</f>
        <v>CON-236</v>
      </c>
      <c r="B518" s="1" t="str">
        <f>'01_WHOQOL_Items'!B518</f>
        <v>Control</v>
      </c>
      <c r="C518" s="4">
        <f>4*(((6-'01_WHOQOL_Items'!F518) + (6-'01_WHOQOL_Items'!G518) + '01_WHOQOL_Items'!M518 + '01_WHOQOL_Items'!R518 + '01_WHOQOL_Items'!S518 + '01_WHOQOL_Items'!T518 + '01_WHOQOL_Items'!U518)/7)</f>
        <v>19.428571428571427</v>
      </c>
      <c r="D518" s="4">
        <f>4*(((6-'01_WHOQOL_Items'!AF518) + (6-'01_WHOQOL_Items'!AG518) + '01_WHOQOL_Items'!AM518 + '01_WHOQOL_Items'!AR518 + '01_WHOQOL_Items'!AS518 + '01_WHOQOL_Items'!AT518 + '01_WHOQOL_Items'!AU518)/7)</f>
        <v>15.428571428571429</v>
      </c>
      <c r="E518" s="4">
        <f t="shared" si="120"/>
        <v>96.428571428571416</v>
      </c>
      <c r="F518" s="4">
        <f t="shared" si="121"/>
        <v>71.428571428571431</v>
      </c>
      <c r="G518" s="5">
        <f t="shared" si="122"/>
        <v>-0.25925925925925913</v>
      </c>
      <c r="H518" s="4">
        <f>4*(('01_WHOQOL_Items'!H518 + '01_WHOQOL_Items'!I518 + '01_WHOQOL_Items'!J518 + '01_WHOQOL_Items'!N518 + '01_WHOQOL_Items'!V518 + (6-'01_WHOQOL_Items'!AC518))/6)</f>
        <v>10</v>
      </c>
      <c r="I518" s="4">
        <f>4*(('01_WHOQOL_Items'!AH518 + '01_WHOQOL_Items'!AI518 + '01_WHOQOL_Items'!AJ518 + '01_WHOQOL_Items'!AN518 + '01_WHOQOL_Items'!AV518 + (6-'01_WHOQOL_Items'!BC518))/6)</f>
        <v>10.666666666666666</v>
      </c>
      <c r="J518" s="4">
        <f t="shared" si="123"/>
        <v>37.5</v>
      </c>
      <c r="K518" s="4">
        <f t="shared" si="124"/>
        <v>41.666666666666664</v>
      </c>
      <c r="L518" s="5">
        <f t="shared" si="125"/>
        <v>0.11111111111111105</v>
      </c>
      <c r="M518" s="4">
        <f>4*(('01_WHOQOL_Items'!W518 + '01_WHOQOL_Items'!X518 + '01_WHOQOL_Items'!Y518)/3)</f>
        <v>9.3333333333333339</v>
      </c>
      <c r="N518" s="4">
        <f>4*(('01_WHOQOL_Items'!AW518 + '01_WHOQOL_Items'!AX518 + '01_WHOQOL_Items'!AY518)/3)</f>
        <v>9.3333333333333339</v>
      </c>
      <c r="O518" s="4">
        <f t="shared" si="126"/>
        <v>33.333333333333336</v>
      </c>
      <c r="P518" s="4">
        <f t="shared" si="127"/>
        <v>33.333333333333336</v>
      </c>
      <c r="Q518" s="5">
        <f t="shared" si="128"/>
        <v>0</v>
      </c>
      <c r="R518" s="4">
        <f>4*(('01_WHOQOL_Items'!K518 + '01_WHOQOL_Items'!L518 + '01_WHOQOL_Items'!O518 + '01_WHOQOL_Items'!P518 + '01_WHOQOL_Items'!Q518 + '01_WHOQOL_Items'!Z518 + '01_WHOQOL_Items'!AA518 + '01_WHOQOL_Items'!AB518)/8)</f>
        <v>14</v>
      </c>
      <c r="S518" s="4">
        <f>4*(('01_WHOQOL_Items'!AK518 + '01_WHOQOL_Items'!AL518 + '01_WHOQOL_Items'!AO518 + '01_WHOQOL_Items'!AP518 + '01_WHOQOL_Items'!AQ518 + '01_WHOQOL_Items'!AZ518 + '01_WHOQOL_Items'!BA518 + '01_WHOQOL_Items'!BB518)/8)</f>
        <v>13</v>
      </c>
      <c r="T518" s="4">
        <f t="shared" si="129"/>
        <v>62.5</v>
      </c>
      <c r="U518" s="4">
        <f t="shared" si="130"/>
        <v>56.25</v>
      </c>
      <c r="V518" s="5">
        <f t="shared" si="131"/>
        <v>-0.1</v>
      </c>
      <c r="W518" s="4">
        <f t="shared" si="132"/>
        <v>57.44047619047619</v>
      </c>
      <c r="X518" s="4">
        <f t="shared" si="133"/>
        <v>50.669642857142861</v>
      </c>
      <c r="Y518" s="5">
        <f t="shared" si="134"/>
        <v>-0.1178756476683937</v>
      </c>
      <c r="Z518" s="1">
        <f>'01_WHOQOL_Items'!D518</f>
        <v>3</v>
      </c>
      <c r="AA518" s="1">
        <f>'01_WHOQOL_Items'!AD518</f>
        <v>3</v>
      </c>
      <c r="AB518" s="1">
        <f>'01_WHOQOL_Items'!E518</f>
        <v>5</v>
      </c>
      <c r="AC518" s="1">
        <f>'01_WHOQOL_Items'!AE518</f>
        <v>4</v>
      </c>
    </row>
    <row r="519" spans="1:29">
      <c r="A519" s="1" t="str">
        <f>'01_WHOQOL_Items'!A519</f>
        <v>CON-237</v>
      </c>
      <c r="B519" s="1" t="str">
        <f>'01_WHOQOL_Items'!B519</f>
        <v>Control</v>
      </c>
      <c r="C519" s="4">
        <f>4*(((6-'01_WHOQOL_Items'!F519) + (6-'01_WHOQOL_Items'!G519) + '01_WHOQOL_Items'!M519 + '01_WHOQOL_Items'!R519 + '01_WHOQOL_Items'!S519 + '01_WHOQOL_Items'!T519 + '01_WHOQOL_Items'!U519)/7)</f>
        <v>12.571428571428571</v>
      </c>
      <c r="D519" s="4">
        <f>4*(((6-'01_WHOQOL_Items'!AF519) + (6-'01_WHOQOL_Items'!AG519) + '01_WHOQOL_Items'!AM519 + '01_WHOQOL_Items'!AR519 + '01_WHOQOL_Items'!AS519 + '01_WHOQOL_Items'!AT519 + '01_WHOQOL_Items'!AU519)/7)</f>
        <v>11.428571428571429</v>
      </c>
      <c r="E519" s="4">
        <f t="shared" si="120"/>
        <v>53.571428571428569</v>
      </c>
      <c r="F519" s="4">
        <f t="shared" si="121"/>
        <v>46.428571428571431</v>
      </c>
      <c r="G519" s="5">
        <f t="shared" si="122"/>
        <v>-0.13333333333333328</v>
      </c>
      <c r="H519" s="4">
        <f>4*(('01_WHOQOL_Items'!H519 + '01_WHOQOL_Items'!I519 + '01_WHOQOL_Items'!J519 + '01_WHOQOL_Items'!N519 + '01_WHOQOL_Items'!V519 + (6-'01_WHOQOL_Items'!AC519))/6)</f>
        <v>15.333333333333334</v>
      </c>
      <c r="I519" s="4">
        <f>4*(('01_WHOQOL_Items'!AH519 + '01_WHOQOL_Items'!AI519 + '01_WHOQOL_Items'!AJ519 + '01_WHOQOL_Items'!AN519 + '01_WHOQOL_Items'!AV519 + (6-'01_WHOQOL_Items'!BC519))/6)</f>
        <v>14</v>
      </c>
      <c r="J519" s="4">
        <f t="shared" si="123"/>
        <v>70.833333333333343</v>
      </c>
      <c r="K519" s="4">
        <f t="shared" si="124"/>
        <v>62.5</v>
      </c>
      <c r="L519" s="5">
        <f t="shared" si="125"/>
        <v>-0.11764705882352954</v>
      </c>
      <c r="M519" s="4">
        <f>4*(('01_WHOQOL_Items'!W519 + '01_WHOQOL_Items'!X519 + '01_WHOQOL_Items'!Y519)/3)</f>
        <v>10.666666666666666</v>
      </c>
      <c r="N519" s="4">
        <f>4*(('01_WHOQOL_Items'!AW519 + '01_WHOQOL_Items'!AX519 + '01_WHOQOL_Items'!AY519)/3)</f>
        <v>12</v>
      </c>
      <c r="O519" s="4">
        <f t="shared" si="126"/>
        <v>41.666666666666664</v>
      </c>
      <c r="P519" s="4">
        <f t="shared" si="127"/>
        <v>50</v>
      </c>
      <c r="Q519" s="5">
        <f t="shared" si="128"/>
        <v>0.20000000000000007</v>
      </c>
      <c r="R519" s="4">
        <f>4*(('01_WHOQOL_Items'!K519 + '01_WHOQOL_Items'!L519 + '01_WHOQOL_Items'!O519 + '01_WHOQOL_Items'!P519 + '01_WHOQOL_Items'!Q519 + '01_WHOQOL_Items'!Z519 + '01_WHOQOL_Items'!AA519 + '01_WHOQOL_Items'!AB519)/8)</f>
        <v>12</v>
      </c>
      <c r="S519" s="4">
        <f>4*(('01_WHOQOL_Items'!AK519 + '01_WHOQOL_Items'!AL519 + '01_WHOQOL_Items'!AO519 + '01_WHOQOL_Items'!AP519 + '01_WHOQOL_Items'!AQ519 + '01_WHOQOL_Items'!AZ519 + '01_WHOQOL_Items'!BA519 + '01_WHOQOL_Items'!BB519)/8)</f>
        <v>10</v>
      </c>
      <c r="T519" s="4">
        <f t="shared" si="129"/>
        <v>50</v>
      </c>
      <c r="U519" s="4">
        <f t="shared" si="130"/>
        <v>37.5</v>
      </c>
      <c r="V519" s="5">
        <f t="shared" si="131"/>
        <v>-0.25</v>
      </c>
      <c r="W519" s="4">
        <f t="shared" si="132"/>
        <v>54.017857142857146</v>
      </c>
      <c r="X519" s="4">
        <f t="shared" si="133"/>
        <v>49.107142857142861</v>
      </c>
      <c r="Y519" s="5">
        <f t="shared" si="134"/>
        <v>-9.0909090909090884E-2</v>
      </c>
      <c r="Z519" s="1">
        <f>'01_WHOQOL_Items'!D519</f>
        <v>3</v>
      </c>
      <c r="AA519" s="1">
        <f>'01_WHOQOL_Items'!AD519</f>
        <v>3</v>
      </c>
      <c r="AB519" s="1">
        <f>'01_WHOQOL_Items'!E519</f>
        <v>2</v>
      </c>
      <c r="AC519" s="1">
        <f>'01_WHOQOL_Items'!AE519</f>
        <v>3</v>
      </c>
    </row>
    <row r="520" spans="1:29">
      <c r="A520" s="1" t="str">
        <f>'01_WHOQOL_Items'!A520</f>
        <v>CON-238</v>
      </c>
      <c r="B520" s="1" t="str">
        <f>'01_WHOQOL_Items'!B520</f>
        <v>Control</v>
      </c>
      <c r="C520" s="4">
        <f>4*(((6-'01_WHOQOL_Items'!F520) + (6-'01_WHOQOL_Items'!G520) + '01_WHOQOL_Items'!M520 + '01_WHOQOL_Items'!R520 + '01_WHOQOL_Items'!S520 + '01_WHOQOL_Items'!T520 + '01_WHOQOL_Items'!U520)/7)</f>
        <v>8.5714285714285712</v>
      </c>
      <c r="D520" s="4">
        <f>4*(((6-'01_WHOQOL_Items'!AF520) + (6-'01_WHOQOL_Items'!AG520) + '01_WHOQOL_Items'!AM520 + '01_WHOQOL_Items'!AR520 + '01_WHOQOL_Items'!AS520 + '01_WHOQOL_Items'!AT520 + '01_WHOQOL_Items'!AU520)/7)</f>
        <v>9.7142857142857135</v>
      </c>
      <c r="E520" s="4">
        <f t="shared" si="120"/>
        <v>28.571428571428569</v>
      </c>
      <c r="F520" s="4">
        <f t="shared" si="121"/>
        <v>35.714285714285708</v>
      </c>
      <c r="G520" s="5">
        <f t="shared" si="122"/>
        <v>0.24999999999999989</v>
      </c>
      <c r="H520" s="4">
        <f>4*(('01_WHOQOL_Items'!H520 + '01_WHOQOL_Items'!I520 + '01_WHOQOL_Items'!J520 + '01_WHOQOL_Items'!N520 + '01_WHOQOL_Items'!V520 + (6-'01_WHOQOL_Items'!AC520))/6)</f>
        <v>10</v>
      </c>
      <c r="I520" s="4">
        <f>4*(('01_WHOQOL_Items'!AH520 + '01_WHOQOL_Items'!AI520 + '01_WHOQOL_Items'!AJ520 + '01_WHOQOL_Items'!AN520 + '01_WHOQOL_Items'!AV520 + (6-'01_WHOQOL_Items'!BC520))/6)</f>
        <v>10.666666666666666</v>
      </c>
      <c r="J520" s="4">
        <f t="shared" si="123"/>
        <v>37.5</v>
      </c>
      <c r="K520" s="4">
        <f t="shared" si="124"/>
        <v>41.666666666666664</v>
      </c>
      <c r="L520" s="5">
        <f t="shared" si="125"/>
        <v>0.11111111111111105</v>
      </c>
      <c r="M520" s="4">
        <f>4*(('01_WHOQOL_Items'!W520 + '01_WHOQOL_Items'!X520 + '01_WHOQOL_Items'!Y520)/3)</f>
        <v>9.3333333333333339</v>
      </c>
      <c r="N520" s="4">
        <f>4*(('01_WHOQOL_Items'!AW520 + '01_WHOQOL_Items'!AX520 + '01_WHOQOL_Items'!AY520)/3)</f>
        <v>6.666666666666667</v>
      </c>
      <c r="O520" s="4">
        <f t="shared" si="126"/>
        <v>33.333333333333336</v>
      </c>
      <c r="P520" s="4">
        <f t="shared" si="127"/>
        <v>16.666666666666668</v>
      </c>
      <c r="Q520" s="5">
        <f t="shared" si="128"/>
        <v>-0.5</v>
      </c>
      <c r="R520" s="4">
        <f>4*(('01_WHOQOL_Items'!K520 + '01_WHOQOL_Items'!L520 + '01_WHOQOL_Items'!O520 + '01_WHOQOL_Items'!P520 + '01_WHOQOL_Items'!Q520 + '01_WHOQOL_Items'!Z520 + '01_WHOQOL_Items'!AA520 + '01_WHOQOL_Items'!AB520)/8)</f>
        <v>15</v>
      </c>
      <c r="S520" s="4">
        <f>4*(('01_WHOQOL_Items'!AK520 + '01_WHOQOL_Items'!AL520 + '01_WHOQOL_Items'!AO520 + '01_WHOQOL_Items'!AP520 + '01_WHOQOL_Items'!AQ520 + '01_WHOQOL_Items'!AZ520 + '01_WHOQOL_Items'!BA520 + '01_WHOQOL_Items'!BB520)/8)</f>
        <v>14</v>
      </c>
      <c r="T520" s="4">
        <f t="shared" si="129"/>
        <v>68.75</v>
      </c>
      <c r="U520" s="4">
        <f t="shared" si="130"/>
        <v>62.5</v>
      </c>
      <c r="V520" s="5">
        <f t="shared" si="131"/>
        <v>-9.0909090909090912E-2</v>
      </c>
      <c r="W520" s="4">
        <f t="shared" si="132"/>
        <v>42.038690476190474</v>
      </c>
      <c r="X520" s="4">
        <f t="shared" si="133"/>
        <v>39.136904761904759</v>
      </c>
      <c r="Y520" s="5">
        <f t="shared" si="134"/>
        <v>-6.9026548672566398E-2</v>
      </c>
      <c r="Z520" s="1">
        <f>'01_WHOQOL_Items'!D520</f>
        <v>3</v>
      </c>
      <c r="AA520" s="1">
        <f>'01_WHOQOL_Items'!AD520</f>
        <v>2</v>
      </c>
      <c r="AB520" s="1">
        <f>'01_WHOQOL_Items'!E520</f>
        <v>3</v>
      </c>
      <c r="AC520" s="1">
        <f>'01_WHOQOL_Items'!AE520</f>
        <v>2</v>
      </c>
    </row>
    <row r="521" spans="1:29">
      <c r="A521" s="1" t="str">
        <f>'01_WHOQOL_Items'!A521</f>
        <v>CON-239</v>
      </c>
      <c r="B521" s="1" t="str">
        <f>'01_WHOQOL_Items'!B521</f>
        <v>Control</v>
      </c>
      <c r="C521" s="4">
        <f>4*(((6-'01_WHOQOL_Items'!F521) + (6-'01_WHOQOL_Items'!G521) + '01_WHOQOL_Items'!M521 + '01_WHOQOL_Items'!R521 + '01_WHOQOL_Items'!S521 + '01_WHOQOL_Items'!T521 + '01_WHOQOL_Items'!U521)/7)</f>
        <v>12.571428571428571</v>
      </c>
      <c r="D521" s="4">
        <f>4*(((6-'01_WHOQOL_Items'!AF521) + (6-'01_WHOQOL_Items'!AG521) + '01_WHOQOL_Items'!AM521 + '01_WHOQOL_Items'!AR521 + '01_WHOQOL_Items'!AS521 + '01_WHOQOL_Items'!AT521 + '01_WHOQOL_Items'!AU521)/7)</f>
        <v>12.571428571428571</v>
      </c>
      <c r="E521" s="4">
        <f t="shared" si="120"/>
        <v>53.571428571428569</v>
      </c>
      <c r="F521" s="4">
        <f t="shared" si="121"/>
        <v>53.571428571428569</v>
      </c>
      <c r="G521" s="5">
        <f t="shared" si="122"/>
        <v>0</v>
      </c>
      <c r="H521" s="4">
        <f>4*(('01_WHOQOL_Items'!H521 + '01_WHOQOL_Items'!I521 + '01_WHOQOL_Items'!J521 + '01_WHOQOL_Items'!N521 + '01_WHOQOL_Items'!V521 + (6-'01_WHOQOL_Items'!AC521))/6)</f>
        <v>13.333333333333334</v>
      </c>
      <c r="I521" s="4">
        <f>4*(('01_WHOQOL_Items'!AH521 + '01_WHOQOL_Items'!AI521 + '01_WHOQOL_Items'!AJ521 + '01_WHOQOL_Items'!AN521 + '01_WHOQOL_Items'!AV521 + (6-'01_WHOQOL_Items'!BC521))/6)</f>
        <v>14</v>
      </c>
      <c r="J521" s="4">
        <f t="shared" si="123"/>
        <v>58.333333333333336</v>
      </c>
      <c r="K521" s="4">
        <f t="shared" si="124"/>
        <v>62.5</v>
      </c>
      <c r="L521" s="5">
        <f t="shared" si="125"/>
        <v>7.1428571428571383E-2</v>
      </c>
      <c r="M521" s="4">
        <f>4*(('01_WHOQOL_Items'!W521 + '01_WHOQOL_Items'!X521 + '01_WHOQOL_Items'!Y521)/3)</f>
        <v>10.666666666666666</v>
      </c>
      <c r="N521" s="4">
        <f>4*(('01_WHOQOL_Items'!AW521 + '01_WHOQOL_Items'!AX521 + '01_WHOQOL_Items'!AY521)/3)</f>
        <v>10.666666666666666</v>
      </c>
      <c r="O521" s="4">
        <f t="shared" si="126"/>
        <v>41.666666666666664</v>
      </c>
      <c r="P521" s="4">
        <f t="shared" si="127"/>
        <v>41.666666666666664</v>
      </c>
      <c r="Q521" s="5">
        <f t="shared" si="128"/>
        <v>0</v>
      </c>
      <c r="R521" s="4">
        <f>4*(('01_WHOQOL_Items'!K521 + '01_WHOQOL_Items'!L521 + '01_WHOQOL_Items'!O521 + '01_WHOQOL_Items'!P521 + '01_WHOQOL_Items'!Q521 + '01_WHOQOL_Items'!Z521 + '01_WHOQOL_Items'!AA521 + '01_WHOQOL_Items'!AB521)/8)</f>
        <v>12</v>
      </c>
      <c r="S521" s="4">
        <f>4*(('01_WHOQOL_Items'!AK521 + '01_WHOQOL_Items'!AL521 + '01_WHOQOL_Items'!AO521 + '01_WHOQOL_Items'!AP521 + '01_WHOQOL_Items'!AQ521 + '01_WHOQOL_Items'!AZ521 + '01_WHOQOL_Items'!BA521 + '01_WHOQOL_Items'!BB521)/8)</f>
        <v>11.5</v>
      </c>
      <c r="T521" s="4">
        <f t="shared" si="129"/>
        <v>50</v>
      </c>
      <c r="U521" s="4">
        <f t="shared" si="130"/>
        <v>46.875</v>
      </c>
      <c r="V521" s="5">
        <f t="shared" si="131"/>
        <v>-6.25E-2</v>
      </c>
      <c r="W521" s="4">
        <f t="shared" si="132"/>
        <v>50.892857142857139</v>
      </c>
      <c r="X521" s="4">
        <f t="shared" si="133"/>
        <v>51.15327380952381</v>
      </c>
      <c r="Y521" s="5">
        <f t="shared" si="134"/>
        <v>5.1169590643275788E-3</v>
      </c>
      <c r="Z521" s="1">
        <f>'01_WHOQOL_Items'!D521</f>
        <v>3</v>
      </c>
      <c r="AA521" s="1">
        <f>'01_WHOQOL_Items'!AD521</f>
        <v>4</v>
      </c>
      <c r="AB521" s="1">
        <f>'01_WHOQOL_Items'!E521</f>
        <v>3</v>
      </c>
      <c r="AC521" s="1">
        <f>'01_WHOQOL_Items'!AE521</f>
        <v>4</v>
      </c>
    </row>
    <row r="522" spans="1:29">
      <c r="A522" s="1" t="str">
        <f>'01_WHOQOL_Items'!A522</f>
        <v>CON-240</v>
      </c>
      <c r="B522" s="1" t="str">
        <f>'01_WHOQOL_Items'!B522</f>
        <v>Control</v>
      </c>
      <c r="C522" s="4">
        <f>4*(((6-'01_WHOQOL_Items'!F522) + (6-'01_WHOQOL_Items'!G522) + '01_WHOQOL_Items'!M522 + '01_WHOQOL_Items'!R522 + '01_WHOQOL_Items'!S522 + '01_WHOQOL_Items'!T522 + '01_WHOQOL_Items'!U522)/7)</f>
        <v>11.428571428571429</v>
      </c>
      <c r="D522" s="4">
        <f>4*(((6-'01_WHOQOL_Items'!AF522) + (6-'01_WHOQOL_Items'!AG522) + '01_WHOQOL_Items'!AM522 + '01_WHOQOL_Items'!AR522 + '01_WHOQOL_Items'!AS522 + '01_WHOQOL_Items'!AT522 + '01_WHOQOL_Items'!AU522)/7)</f>
        <v>10.857142857142858</v>
      </c>
      <c r="E522" s="4">
        <f t="shared" si="120"/>
        <v>46.428571428571431</v>
      </c>
      <c r="F522" s="4">
        <f t="shared" si="121"/>
        <v>42.857142857142861</v>
      </c>
      <c r="G522" s="5">
        <f t="shared" si="122"/>
        <v>-7.6923076923076872E-2</v>
      </c>
      <c r="H522" s="4">
        <f>4*(('01_WHOQOL_Items'!H522 + '01_WHOQOL_Items'!I522 + '01_WHOQOL_Items'!J522 + '01_WHOQOL_Items'!N522 + '01_WHOQOL_Items'!V522 + (6-'01_WHOQOL_Items'!AC522))/6)</f>
        <v>12</v>
      </c>
      <c r="I522" s="4">
        <f>4*(('01_WHOQOL_Items'!AH522 + '01_WHOQOL_Items'!AI522 + '01_WHOQOL_Items'!AJ522 + '01_WHOQOL_Items'!AN522 + '01_WHOQOL_Items'!AV522 + (6-'01_WHOQOL_Items'!BC522))/6)</f>
        <v>14</v>
      </c>
      <c r="J522" s="4">
        <f t="shared" si="123"/>
        <v>50</v>
      </c>
      <c r="K522" s="4">
        <f t="shared" si="124"/>
        <v>62.5</v>
      </c>
      <c r="L522" s="5">
        <f t="shared" si="125"/>
        <v>0.25</v>
      </c>
      <c r="M522" s="4">
        <f>4*(('01_WHOQOL_Items'!W522 + '01_WHOQOL_Items'!X522 + '01_WHOQOL_Items'!Y522)/3)</f>
        <v>10.666666666666666</v>
      </c>
      <c r="N522" s="4">
        <f>4*(('01_WHOQOL_Items'!AW522 + '01_WHOQOL_Items'!AX522 + '01_WHOQOL_Items'!AY522)/3)</f>
        <v>10.666666666666666</v>
      </c>
      <c r="O522" s="4">
        <f t="shared" si="126"/>
        <v>41.666666666666664</v>
      </c>
      <c r="P522" s="4">
        <f t="shared" si="127"/>
        <v>41.666666666666664</v>
      </c>
      <c r="Q522" s="5">
        <f t="shared" si="128"/>
        <v>0</v>
      </c>
      <c r="R522" s="4">
        <f>4*(('01_WHOQOL_Items'!K522 + '01_WHOQOL_Items'!L522 + '01_WHOQOL_Items'!O522 + '01_WHOQOL_Items'!P522 + '01_WHOQOL_Items'!Q522 + '01_WHOQOL_Items'!Z522 + '01_WHOQOL_Items'!AA522 + '01_WHOQOL_Items'!AB522)/8)</f>
        <v>14</v>
      </c>
      <c r="S522" s="4">
        <f>4*(('01_WHOQOL_Items'!AK522 + '01_WHOQOL_Items'!AL522 + '01_WHOQOL_Items'!AO522 + '01_WHOQOL_Items'!AP522 + '01_WHOQOL_Items'!AQ522 + '01_WHOQOL_Items'!AZ522 + '01_WHOQOL_Items'!BA522 + '01_WHOQOL_Items'!BB522)/8)</f>
        <v>15</v>
      </c>
      <c r="T522" s="4">
        <f t="shared" si="129"/>
        <v>62.5</v>
      </c>
      <c r="U522" s="4">
        <f t="shared" si="130"/>
        <v>68.75</v>
      </c>
      <c r="V522" s="5">
        <f t="shared" si="131"/>
        <v>0.1</v>
      </c>
      <c r="W522" s="4">
        <f t="shared" si="132"/>
        <v>50.148809523809526</v>
      </c>
      <c r="X522" s="4">
        <f t="shared" si="133"/>
        <v>53.94345238095238</v>
      </c>
      <c r="Y522" s="5">
        <f t="shared" si="134"/>
        <v>7.5667655786350083E-2</v>
      </c>
      <c r="Z522" s="1">
        <f>'01_WHOQOL_Items'!D522</f>
        <v>2</v>
      </c>
      <c r="AA522" s="1">
        <f>'01_WHOQOL_Items'!AD522</f>
        <v>3</v>
      </c>
      <c r="AB522" s="1">
        <f>'01_WHOQOL_Items'!E522</f>
        <v>3</v>
      </c>
      <c r="AC522" s="1">
        <f>'01_WHOQOL_Items'!AE522</f>
        <v>3</v>
      </c>
    </row>
    <row r="523" spans="1:29">
      <c r="A523" s="1" t="str">
        <f>'01_WHOQOL_Items'!A523</f>
        <v>CON-241</v>
      </c>
      <c r="B523" s="1" t="str">
        <f>'01_WHOQOL_Items'!B523</f>
        <v>Control</v>
      </c>
      <c r="C523" s="4">
        <f>4*(((6-'01_WHOQOL_Items'!F523) + (6-'01_WHOQOL_Items'!G523) + '01_WHOQOL_Items'!M523 + '01_WHOQOL_Items'!R523 + '01_WHOQOL_Items'!S523 + '01_WHOQOL_Items'!T523 + '01_WHOQOL_Items'!U523)/7)</f>
        <v>16</v>
      </c>
      <c r="D523" s="4">
        <f>4*(((6-'01_WHOQOL_Items'!AF523) + (6-'01_WHOQOL_Items'!AG523) + '01_WHOQOL_Items'!AM523 + '01_WHOQOL_Items'!AR523 + '01_WHOQOL_Items'!AS523 + '01_WHOQOL_Items'!AT523 + '01_WHOQOL_Items'!AU523)/7)</f>
        <v>17.142857142857142</v>
      </c>
      <c r="E523" s="4">
        <f t="shared" si="120"/>
        <v>75</v>
      </c>
      <c r="F523" s="4">
        <f t="shared" si="121"/>
        <v>82.142857142857139</v>
      </c>
      <c r="G523" s="5">
        <f t="shared" si="122"/>
        <v>9.5238095238095177E-2</v>
      </c>
      <c r="H523" s="4">
        <f>4*(('01_WHOQOL_Items'!H523 + '01_WHOQOL_Items'!I523 + '01_WHOQOL_Items'!J523 + '01_WHOQOL_Items'!N523 + '01_WHOQOL_Items'!V523 + (6-'01_WHOQOL_Items'!AC523))/6)</f>
        <v>15.333333333333334</v>
      </c>
      <c r="I523" s="4">
        <f>4*(('01_WHOQOL_Items'!AH523 + '01_WHOQOL_Items'!AI523 + '01_WHOQOL_Items'!AJ523 + '01_WHOQOL_Items'!AN523 + '01_WHOQOL_Items'!AV523 + (6-'01_WHOQOL_Items'!BC523))/6)</f>
        <v>14.666666666666666</v>
      </c>
      <c r="J523" s="4">
        <f t="shared" si="123"/>
        <v>70.833333333333343</v>
      </c>
      <c r="K523" s="4">
        <f t="shared" si="124"/>
        <v>66.666666666666657</v>
      </c>
      <c r="L523" s="5">
        <f t="shared" si="125"/>
        <v>-5.8823529411764969E-2</v>
      </c>
      <c r="M523" s="4">
        <f>4*(('01_WHOQOL_Items'!W523 + '01_WHOQOL_Items'!X523 + '01_WHOQOL_Items'!Y523)/3)</f>
        <v>13.333333333333334</v>
      </c>
      <c r="N523" s="4">
        <f>4*(('01_WHOQOL_Items'!AW523 + '01_WHOQOL_Items'!AX523 + '01_WHOQOL_Items'!AY523)/3)</f>
        <v>14.666666666666666</v>
      </c>
      <c r="O523" s="4">
        <f t="shared" si="126"/>
        <v>58.333333333333336</v>
      </c>
      <c r="P523" s="4">
        <f t="shared" si="127"/>
        <v>66.666666666666657</v>
      </c>
      <c r="Q523" s="5">
        <f t="shared" si="128"/>
        <v>0.14285714285714265</v>
      </c>
      <c r="R523" s="4">
        <f>4*(('01_WHOQOL_Items'!K523 + '01_WHOQOL_Items'!L523 + '01_WHOQOL_Items'!O523 + '01_WHOQOL_Items'!P523 + '01_WHOQOL_Items'!Q523 + '01_WHOQOL_Items'!Z523 + '01_WHOQOL_Items'!AA523 + '01_WHOQOL_Items'!AB523)/8)</f>
        <v>12</v>
      </c>
      <c r="S523" s="4">
        <f>4*(('01_WHOQOL_Items'!AK523 + '01_WHOQOL_Items'!AL523 + '01_WHOQOL_Items'!AO523 + '01_WHOQOL_Items'!AP523 + '01_WHOQOL_Items'!AQ523 + '01_WHOQOL_Items'!AZ523 + '01_WHOQOL_Items'!BA523 + '01_WHOQOL_Items'!BB523)/8)</f>
        <v>11.5</v>
      </c>
      <c r="T523" s="4">
        <f t="shared" si="129"/>
        <v>50</v>
      </c>
      <c r="U523" s="4">
        <f t="shared" si="130"/>
        <v>46.875</v>
      </c>
      <c r="V523" s="5">
        <f t="shared" si="131"/>
        <v>-6.25E-2</v>
      </c>
      <c r="W523" s="4">
        <f t="shared" si="132"/>
        <v>63.541666666666671</v>
      </c>
      <c r="X523" s="4">
        <f t="shared" si="133"/>
        <v>65.58779761904762</v>
      </c>
      <c r="Y523" s="5">
        <f t="shared" si="134"/>
        <v>3.220140515222477E-2</v>
      </c>
      <c r="Z523" s="1">
        <f>'01_WHOQOL_Items'!D523</f>
        <v>3</v>
      </c>
      <c r="AA523" s="1">
        <f>'01_WHOQOL_Items'!AD523</f>
        <v>4</v>
      </c>
      <c r="AB523" s="1">
        <f>'01_WHOQOL_Items'!E523</f>
        <v>4</v>
      </c>
      <c r="AC523" s="1">
        <f>'01_WHOQOL_Items'!AE523</f>
        <v>5</v>
      </c>
    </row>
    <row r="524" spans="1:29">
      <c r="A524" s="1" t="str">
        <f>'01_WHOQOL_Items'!A524</f>
        <v>CON-242</v>
      </c>
      <c r="B524" s="1" t="str">
        <f>'01_WHOQOL_Items'!B524</f>
        <v>Control</v>
      </c>
      <c r="C524" s="4">
        <f>4*(((6-'01_WHOQOL_Items'!F524) + (6-'01_WHOQOL_Items'!G524) + '01_WHOQOL_Items'!M524 + '01_WHOQOL_Items'!R524 + '01_WHOQOL_Items'!S524 + '01_WHOQOL_Items'!T524 + '01_WHOQOL_Items'!U524)/7)</f>
        <v>13.714285714285714</v>
      </c>
      <c r="D524" s="4">
        <f>4*(((6-'01_WHOQOL_Items'!AF524) + (6-'01_WHOQOL_Items'!AG524) + '01_WHOQOL_Items'!AM524 + '01_WHOQOL_Items'!AR524 + '01_WHOQOL_Items'!AS524 + '01_WHOQOL_Items'!AT524 + '01_WHOQOL_Items'!AU524)/7)</f>
        <v>14.285714285714286</v>
      </c>
      <c r="E524" s="4">
        <f t="shared" si="120"/>
        <v>60.714285714285708</v>
      </c>
      <c r="F524" s="4">
        <f t="shared" si="121"/>
        <v>64.285714285714292</v>
      </c>
      <c r="G524" s="5">
        <f t="shared" si="122"/>
        <v>5.8823529411764913E-2</v>
      </c>
      <c r="H524" s="4">
        <f>4*(('01_WHOQOL_Items'!H524 + '01_WHOQOL_Items'!I524 + '01_WHOQOL_Items'!J524 + '01_WHOQOL_Items'!N524 + '01_WHOQOL_Items'!V524 + (6-'01_WHOQOL_Items'!AC524))/6)</f>
        <v>9.3333333333333339</v>
      </c>
      <c r="I524" s="4">
        <f>4*(('01_WHOQOL_Items'!AH524 + '01_WHOQOL_Items'!AI524 + '01_WHOQOL_Items'!AJ524 + '01_WHOQOL_Items'!AN524 + '01_WHOQOL_Items'!AV524 + (6-'01_WHOQOL_Items'!BC524))/6)</f>
        <v>7.333333333333333</v>
      </c>
      <c r="J524" s="4">
        <f t="shared" si="123"/>
        <v>33.333333333333336</v>
      </c>
      <c r="K524" s="4">
        <f t="shared" si="124"/>
        <v>20.833333333333332</v>
      </c>
      <c r="L524" s="5">
        <f t="shared" si="125"/>
        <v>-0.37500000000000006</v>
      </c>
      <c r="M524" s="4">
        <f>4*(('01_WHOQOL_Items'!W524 + '01_WHOQOL_Items'!X524 + '01_WHOQOL_Items'!Y524)/3)</f>
        <v>12</v>
      </c>
      <c r="N524" s="4">
        <f>4*(('01_WHOQOL_Items'!AW524 + '01_WHOQOL_Items'!AX524 + '01_WHOQOL_Items'!AY524)/3)</f>
        <v>16</v>
      </c>
      <c r="O524" s="4">
        <f t="shared" si="126"/>
        <v>50</v>
      </c>
      <c r="P524" s="4">
        <f t="shared" si="127"/>
        <v>75</v>
      </c>
      <c r="Q524" s="5">
        <f t="shared" si="128"/>
        <v>0.5</v>
      </c>
      <c r="R524" s="4">
        <f>4*(('01_WHOQOL_Items'!K524 + '01_WHOQOL_Items'!L524 + '01_WHOQOL_Items'!O524 + '01_WHOQOL_Items'!P524 + '01_WHOQOL_Items'!Q524 + '01_WHOQOL_Items'!Z524 + '01_WHOQOL_Items'!AA524 + '01_WHOQOL_Items'!AB524)/8)</f>
        <v>11.5</v>
      </c>
      <c r="S524" s="4">
        <f>4*(('01_WHOQOL_Items'!AK524 + '01_WHOQOL_Items'!AL524 + '01_WHOQOL_Items'!AO524 + '01_WHOQOL_Items'!AP524 + '01_WHOQOL_Items'!AQ524 + '01_WHOQOL_Items'!AZ524 + '01_WHOQOL_Items'!BA524 + '01_WHOQOL_Items'!BB524)/8)</f>
        <v>13.5</v>
      </c>
      <c r="T524" s="4">
        <f t="shared" si="129"/>
        <v>46.875</v>
      </c>
      <c r="U524" s="4">
        <f t="shared" si="130"/>
        <v>59.375</v>
      </c>
      <c r="V524" s="5">
        <f t="shared" si="131"/>
        <v>0.26666666666666666</v>
      </c>
      <c r="W524" s="4">
        <f t="shared" si="132"/>
        <v>47.730654761904759</v>
      </c>
      <c r="X524" s="4">
        <f t="shared" si="133"/>
        <v>54.873511904761905</v>
      </c>
      <c r="Y524" s="5">
        <f t="shared" si="134"/>
        <v>0.14964925954793459</v>
      </c>
      <c r="Z524" s="1">
        <f>'01_WHOQOL_Items'!D524</f>
        <v>4</v>
      </c>
      <c r="AA524" s="1">
        <f>'01_WHOQOL_Items'!AD524</f>
        <v>3</v>
      </c>
      <c r="AB524" s="1">
        <f>'01_WHOQOL_Items'!E524</f>
        <v>3</v>
      </c>
      <c r="AC524" s="1">
        <f>'01_WHOQOL_Items'!AE524</f>
        <v>4</v>
      </c>
    </row>
    <row r="525" spans="1:29">
      <c r="A525" s="1" t="str">
        <f>'01_WHOQOL_Items'!A525</f>
        <v>CON-243</v>
      </c>
      <c r="B525" s="1" t="str">
        <f>'01_WHOQOL_Items'!B525</f>
        <v>Control</v>
      </c>
      <c r="C525" s="4">
        <f>4*(((6-'01_WHOQOL_Items'!F525) + (6-'01_WHOQOL_Items'!G525) + '01_WHOQOL_Items'!M525 + '01_WHOQOL_Items'!R525 + '01_WHOQOL_Items'!S525 + '01_WHOQOL_Items'!T525 + '01_WHOQOL_Items'!U525)/7)</f>
        <v>13.714285714285714</v>
      </c>
      <c r="D525" s="4">
        <f>4*(((6-'01_WHOQOL_Items'!AF525) + (6-'01_WHOQOL_Items'!AG525) + '01_WHOQOL_Items'!AM525 + '01_WHOQOL_Items'!AR525 + '01_WHOQOL_Items'!AS525 + '01_WHOQOL_Items'!AT525 + '01_WHOQOL_Items'!AU525)/7)</f>
        <v>13.714285714285714</v>
      </c>
      <c r="E525" s="4">
        <f t="shared" si="120"/>
        <v>60.714285714285708</v>
      </c>
      <c r="F525" s="4">
        <f t="shared" si="121"/>
        <v>60.714285714285708</v>
      </c>
      <c r="G525" s="5">
        <f t="shared" si="122"/>
        <v>0</v>
      </c>
      <c r="H525" s="4">
        <f>4*(('01_WHOQOL_Items'!H525 + '01_WHOQOL_Items'!I525 + '01_WHOQOL_Items'!J525 + '01_WHOQOL_Items'!N525 + '01_WHOQOL_Items'!V525 + (6-'01_WHOQOL_Items'!AC525))/6)</f>
        <v>10</v>
      </c>
      <c r="I525" s="4">
        <f>4*(('01_WHOQOL_Items'!AH525 + '01_WHOQOL_Items'!AI525 + '01_WHOQOL_Items'!AJ525 + '01_WHOQOL_Items'!AN525 + '01_WHOQOL_Items'!AV525 + (6-'01_WHOQOL_Items'!BC525))/6)</f>
        <v>8</v>
      </c>
      <c r="J525" s="4">
        <f t="shared" si="123"/>
        <v>37.5</v>
      </c>
      <c r="K525" s="4">
        <f t="shared" si="124"/>
        <v>25</v>
      </c>
      <c r="L525" s="5">
        <f t="shared" si="125"/>
        <v>-0.33333333333333331</v>
      </c>
      <c r="M525" s="4">
        <f>4*(('01_WHOQOL_Items'!W525 + '01_WHOQOL_Items'!X525 + '01_WHOQOL_Items'!Y525)/3)</f>
        <v>12</v>
      </c>
      <c r="N525" s="4">
        <f>4*(('01_WHOQOL_Items'!AW525 + '01_WHOQOL_Items'!AX525 + '01_WHOQOL_Items'!AY525)/3)</f>
        <v>10.666666666666666</v>
      </c>
      <c r="O525" s="4">
        <f t="shared" si="126"/>
        <v>50</v>
      </c>
      <c r="P525" s="4">
        <f t="shared" si="127"/>
        <v>41.666666666666664</v>
      </c>
      <c r="Q525" s="5">
        <f t="shared" si="128"/>
        <v>-0.16666666666666671</v>
      </c>
      <c r="R525" s="4">
        <f>4*(('01_WHOQOL_Items'!K525 + '01_WHOQOL_Items'!L525 + '01_WHOQOL_Items'!O525 + '01_WHOQOL_Items'!P525 + '01_WHOQOL_Items'!Q525 + '01_WHOQOL_Items'!Z525 + '01_WHOQOL_Items'!AA525 + '01_WHOQOL_Items'!AB525)/8)</f>
        <v>13.5</v>
      </c>
      <c r="S525" s="4">
        <f>4*(('01_WHOQOL_Items'!AK525 + '01_WHOQOL_Items'!AL525 + '01_WHOQOL_Items'!AO525 + '01_WHOQOL_Items'!AP525 + '01_WHOQOL_Items'!AQ525 + '01_WHOQOL_Items'!AZ525 + '01_WHOQOL_Items'!BA525 + '01_WHOQOL_Items'!BB525)/8)</f>
        <v>14.5</v>
      </c>
      <c r="T525" s="4">
        <f t="shared" si="129"/>
        <v>59.375</v>
      </c>
      <c r="U525" s="4">
        <f t="shared" si="130"/>
        <v>65.625</v>
      </c>
      <c r="V525" s="5">
        <f t="shared" si="131"/>
        <v>0.10526315789473684</v>
      </c>
      <c r="W525" s="4">
        <f t="shared" si="132"/>
        <v>51.897321428571431</v>
      </c>
      <c r="X525" s="4">
        <f t="shared" si="133"/>
        <v>48.251488095238095</v>
      </c>
      <c r="Y525" s="5">
        <f t="shared" si="134"/>
        <v>-7.0250896057347717E-2</v>
      </c>
      <c r="Z525" s="1">
        <f>'01_WHOQOL_Items'!D525</f>
        <v>3</v>
      </c>
      <c r="AA525" s="1">
        <f>'01_WHOQOL_Items'!AD525</f>
        <v>3</v>
      </c>
      <c r="AB525" s="1">
        <f>'01_WHOQOL_Items'!E525</f>
        <v>4</v>
      </c>
      <c r="AC525" s="1">
        <f>'01_WHOQOL_Items'!AE525</f>
        <v>3</v>
      </c>
    </row>
    <row r="526" spans="1:29">
      <c r="A526" s="1" t="str">
        <f>'01_WHOQOL_Items'!A526</f>
        <v>CON-244</v>
      </c>
      <c r="B526" s="1" t="str">
        <f>'01_WHOQOL_Items'!B526</f>
        <v>Control</v>
      </c>
      <c r="C526" s="4">
        <f>4*(((6-'01_WHOQOL_Items'!F526) + (6-'01_WHOQOL_Items'!G526) + '01_WHOQOL_Items'!M526 + '01_WHOQOL_Items'!R526 + '01_WHOQOL_Items'!S526 + '01_WHOQOL_Items'!T526 + '01_WHOQOL_Items'!U526)/7)</f>
        <v>12.571428571428571</v>
      </c>
      <c r="D526" s="4">
        <f>4*(((6-'01_WHOQOL_Items'!AF526) + (6-'01_WHOQOL_Items'!AG526) + '01_WHOQOL_Items'!AM526 + '01_WHOQOL_Items'!AR526 + '01_WHOQOL_Items'!AS526 + '01_WHOQOL_Items'!AT526 + '01_WHOQOL_Items'!AU526)/7)</f>
        <v>13.142857142857142</v>
      </c>
      <c r="E526" s="4">
        <f t="shared" si="120"/>
        <v>53.571428571428569</v>
      </c>
      <c r="F526" s="4">
        <f t="shared" si="121"/>
        <v>57.142857142857139</v>
      </c>
      <c r="G526" s="5">
        <f t="shared" si="122"/>
        <v>6.6666666666666638E-2</v>
      </c>
      <c r="H526" s="4">
        <f>4*(('01_WHOQOL_Items'!H526 + '01_WHOQOL_Items'!I526 + '01_WHOQOL_Items'!J526 + '01_WHOQOL_Items'!N526 + '01_WHOQOL_Items'!V526 + (6-'01_WHOQOL_Items'!AC526))/6)</f>
        <v>13.333333333333334</v>
      </c>
      <c r="I526" s="4">
        <f>4*(('01_WHOQOL_Items'!AH526 + '01_WHOQOL_Items'!AI526 + '01_WHOQOL_Items'!AJ526 + '01_WHOQOL_Items'!AN526 + '01_WHOQOL_Items'!AV526 + (6-'01_WHOQOL_Items'!BC526))/6)</f>
        <v>13.333333333333334</v>
      </c>
      <c r="J526" s="4">
        <f t="shared" si="123"/>
        <v>58.333333333333336</v>
      </c>
      <c r="K526" s="4">
        <f t="shared" si="124"/>
        <v>58.333333333333336</v>
      </c>
      <c r="L526" s="5">
        <f t="shared" si="125"/>
        <v>0</v>
      </c>
      <c r="M526" s="4">
        <f>4*(('01_WHOQOL_Items'!W526 + '01_WHOQOL_Items'!X526 + '01_WHOQOL_Items'!Y526)/3)</f>
        <v>10.666666666666666</v>
      </c>
      <c r="N526" s="4">
        <f>4*(('01_WHOQOL_Items'!AW526 + '01_WHOQOL_Items'!AX526 + '01_WHOQOL_Items'!AY526)/3)</f>
        <v>9.3333333333333339</v>
      </c>
      <c r="O526" s="4">
        <f t="shared" si="126"/>
        <v>41.666666666666664</v>
      </c>
      <c r="P526" s="4">
        <f t="shared" si="127"/>
        <v>33.333333333333336</v>
      </c>
      <c r="Q526" s="5">
        <f t="shared" si="128"/>
        <v>-0.1999999999999999</v>
      </c>
      <c r="R526" s="4">
        <f>4*(('01_WHOQOL_Items'!K526 + '01_WHOQOL_Items'!L526 + '01_WHOQOL_Items'!O526 + '01_WHOQOL_Items'!P526 + '01_WHOQOL_Items'!Q526 + '01_WHOQOL_Items'!Z526 + '01_WHOQOL_Items'!AA526 + '01_WHOQOL_Items'!AB526)/8)</f>
        <v>18</v>
      </c>
      <c r="S526" s="4">
        <f>4*(('01_WHOQOL_Items'!AK526 + '01_WHOQOL_Items'!AL526 + '01_WHOQOL_Items'!AO526 + '01_WHOQOL_Items'!AP526 + '01_WHOQOL_Items'!AQ526 + '01_WHOQOL_Items'!AZ526 + '01_WHOQOL_Items'!BA526 + '01_WHOQOL_Items'!BB526)/8)</f>
        <v>15</v>
      </c>
      <c r="T526" s="4">
        <f t="shared" si="129"/>
        <v>87.5</v>
      </c>
      <c r="U526" s="4">
        <f t="shared" si="130"/>
        <v>68.75</v>
      </c>
      <c r="V526" s="5">
        <f t="shared" si="131"/>
        <v>-0.21428571428571427</v>
      </c>
      <c r="W526" s="4">
        <f t="shared" si="132"/>
        <v>60.267857142857139</v>
      </c>
      <c r="X526" s="4">
        <f t="shared" si="133"/>
        <v>54.389880952380956</v>
      </c>
      <c r="Y526" s="5">
        <f t="shared" si="134"/>
        <v>-9.7530864197530737E-2</v>
      </c>
      <c r="Z526" s="1">
        <f>'01_WHOQOL_Items'!D526</f>
        <v>4</v>
      </c>
      <c r="AA526" s="1">
        <f>'01_WHOQOL_Items'!AD526</f>
        <v>3</v>
      </c>
      <c r="AB526" s="1">
        <f>'01_WHOQOL_Items'!E526</f>
        <v>3</v>
      </c>
      <c r="AC526" s="1">
        <f>'01_WHOQOL_Items'!AE526</f>
        <v>3</v>
      </c>
    </row>
    <row r="527" spans="1:29">
      <c r="A527" s="1" t="str">
        <f>'01_WHOQOL_Items'!A527</f>
        <v>CON-245</v>
      </c>
      <c r="B527" s="1" t="str">
        <f>'01_WHOQOL_Items'!B527</f>
        <v>Control</v>
      </c>
      <c r="C527" s="4">
        <f>4*(((6-'01_WHOQOL_Items'!F527) + (6-'01_WHOQOL_Items'!G527) + '01_WHOQOL_Items'!M527 + '01_WHOQOL_Items'!R527 + '01_WHOQOL_Items'!S527 + '01_WHOQOL_Items'!T527 + '01_WHOQOL_Items'!U527)/7)</f>
        <v>16</v>
      </c>
      <c r="D527" s="4">
        <f>4*(((6-'01_WHOQOL_Items'!AF527) + (6-'01_WHOQOL_Items'!AG527) + '01_WHOQOL_Items'!AM527 + '01_WHOQOL_Items'!AR527 + '01_WHOQOL_Items'!AS527 + '01_WHOQOL_Items'!AT527 + '01_WHOQOL_Items'!AU527)/7)</f>
        <v>14.857142857142858</v>
      </c>
      <c r="E527" s="4">
        <f t="shared" si="120"/>
        <v>75</v>
      </c>
      <c r="F527" s="4">
        <f t="shared" si="121"/>
        <v>67.857142857142861</v>
      </c>
      <c r="G527" s="5">
        <f t="shared" si="122"/>
        <v>-9.5238095238095177E-2</v>
      </c>
      <c r="H527" s="4">
        <f>4*(('01_WHOQOL_Items'!H527 + '01_WHOQOL_Items'!I527 + '01_WHOQOL_Items'!J527 + '01_WHOQOL_Items'!N527 + '01_WHOQOL_Items'!V527 + (6-'01_WHOQOL_Items'!AC527))/6)</f>
        <v>8.6666666666666661</v>
      </c>
      <c r="I527" s="4">
        <f>4*(('01_WHOQOL_Items'!AH527 + '01_WHOQOL_Items'!AI527 + '01_WHOQOL_Items'!AJ527 + '01_WHOQOL_Items'!AN527 + '01_WHOQOL_Items'!AV527 + (6-'01_WHOQOL_Items'!BC527))/6)</f>
        <v>8.6666666666666661</v>
      </c>
      <c r="J527" s="4">
        <f t="shared" si="123"/>
        <v>29.166666666666664</v>
      </c>
      <c r="K527" s="4">
        <f t="shared" si="124"/>
        <v>29.166666666666664</v>
      </c>
      <c r="L527" s="5">
        <f t="shared" si="125"/>
        <v>0</v>
      </c>
      <c r="M527" s="4">
        <f>4*(('01_WHOQOL_Items'!W527 + '01_WHOQOL_Items'!X527 + '01_WHOQOL_Items'!Y527)/3)</f>
        <v>9.3333333333333339</v>
      </c>
      <c r="N527" s="4">
        <f>4*(('01_WHOQOL_Items'!AW527 + '01_WHOQOL_Items'!AX527 + '01_WHOQOL_Items'!AY527)/3)</f>
        <v>10.666666666666666</v>
      </c>
      <c r="O527" s="4">
        <f t="shared" si="126"/>
        <v>33.333333333333336</v>
      </c>
      <c r="P527" s="4">
        <f t="shared" si="127"/>
        <v>41.666666666666664</v>
      </c>
      <c r="Q527" s="5">
        <f t="shared" si="128"/>
        <v>0.24999999999999983</v>
      </c>
      <c r="R527" s="4">
        <f>4*(('01_WHOQOL_Items'!K527 + '01_WHOQOL_Items'!L527 + '01_WHOQOL_Items'!O527 + '01_WHOQOL_Items'!P527 + '01_WHOQOL_Items'!Q527 + '01_WHOQOL_Items'!Z527 + '01_WHOQOL_Items'!AA527 + '01_WHOQOL_Items'!AB527)/8)</f>
        <v>13</v>
      </c>
      <c r="S527" s="4">
        <f>4*(('01_WHOQOL_Items'!AK527 + '01_WHOQOL_Items'!AL527 + '01_WHOQOL_Items'!AO527 + '01_WHOQOL_Items'!AP527 + '01_WHOQOL_Items'!AQ527 + '01_WHOQOL_Items'!AZ527 + '01_WHOQOL_Items'!BA527 + '01_WHOQOL_Items'!BB527)/8)</f>
        <v>14</v>
      </c>
      <c r="T527" s="4">
        <f t="shared" si="129"/>
        <v>56.25</v>
      </c>
      <c r="U527" s="4">
        <f t="shared" si="130"/>
        <v>62.5</v>
      </c>
      <c r="V527" s="5">
        <f t="shared" si="131"/>
        <v>0.1111111111111111</v>
      </c>
      <c r="W527" s="4">
        <f t="shared" si="132"/>
        <v>48.4375</v>
      </c>
      <c r="X527" s="4">
        <f t="shared" si="133"/>
        <v>50.297619047619044</v>
      </c>
      <c r="Y527" s="5">
        <f t="shared" si="134"/>
        <v>3.8402457757296393E-2</v>
      </c>
      <c r="Z527" s="1">
        <f>'01_WHOQOL_Items'!D527</f>
        <v>3</v>
      </c>
      <c r="AA527" s="1">
        <f>'01_WHOQOL_Items'!AD527</f>
        <v>4</v>
      </c>
      <c r="AB527" s="1">
        <f>'01_WHOQOL_Items'!E527</f>
        <v>3</v>
      </c>
      <c r="AC527" s="1">
        <f>'01_WHOQOL_Items'!AE527</f>
        <v>4</v>
      </c>
    </row>
    <row r="528" spans="1:29">
      <c r="A528" s="1" t="str">
        <f>'01_WHOQOL_Items'!A528</f>
        <v>CON-246</v>
      </c>
      <c r="B528" s="1" t="str">
        <f>'01_WHOQOL_Items'!B528</f>
        <v>Control</v>
      </c>
      <c r="C528" s="4">
        <f>4*(((6-'01_WHOQOL_Items'!F528) + (6-'01_WHOQOL_Items'!G528) + '01_WHOQOL_Items'!M528 + '01_WHOQOL_Items'!R528 + '01_WHOQOL_Items'!S528 + '01_WHOQOL_Items'!T528 + '01_WHOQOL_Items'!U528)/7)</f>
        <v>14.285714285714286</v>
      </c>
      <c r="D528" s="4">
        <f>4*(((6-'01_WHOQOL_Items'!AF528) + (6-'01_WHOQOL_Items'!AG528) + '01_WHOQOL_Items'!AM528 + '01_WHOQOL_Items'!AR528 + '01_WHOQOL_Items'!AS528 + '01_WHOQOL_Items'!AT528 + '01_WHOQOL_Items'!AU528)/7)</f>
        <v>15.428571428571429</v>
      </c>
      <c r="E528" s="4">
        <f t="shared" si="120"/>
        <v>64.285714285714292</v>
      </c>
      <c r="F528" s="4">
        <f t="shared" si="121"/>
        <v>71.428571428571431</v>
      </c>
      <c r="G528" s="5">
        <f t="shared" si="122"/>
        <v>0.11111111111111104</v>
      </c>
      <c r="H528" s="4">
        <f>4*(('01_WHOQOL_Items'!H528 + '01_WHOQOL_Items'!I528 + '01_WHOQOL_Items'!J528 + '01_WHOQOL_Items'!N528 + '01_WHOQOL_Items'!V528 + (6-'01_WHOQOL_Items'!AC528))/6)</f>
        <v>14</v>
      </c>
      <c r="I528" s="4">
        <f>4*(('01_WHOQOL_Items'!AH528 + '01_WHOQOL_Items'!AI528 + '01_WHOQOL_Items'!AJ528 + '01_WHOQOL_Items'!AN528 + '01_WHOQOL_Items'!AV528 + (6-'01_WHOQOL_Items'!BC528))/6)</f>
        <v>13.333333333333334</v>
      </c>
      <c r="J528" s="4">
        <f t="shared" si="123"/>
        <v>62.5</v>
      </c>
      <c r="K528" s="4">
        <f t="shared" si="124"/>
        <v>58.333333333333336</v>
      </c>
      <c r="L528" s="5">
        <f t="shared" si="125"/>
        <v>-6.6666666666666624E-2</v>
      </c>
      <c r="M528" s="4">
        <f>4*(('01_WHOQOL_Items'!W528 + '01_WHOQOL_Items'!X528 + '01_WHOQOL_Items'!Y528)/3)</f>
        <v>8</v>
      </c>
      <c r="N528" s="4">
        <f>4*(('01_WHOQOL_Items'!AW528 + '01_WHOQOL_Items'!AX528 + '01_WHOQOL_Items'!AY528)/3)</f>
        <v>10.666666666666666</v>
      </c>
      <c r="O528" s="4">
        <f t="shared" si="126"/>
        <v>25</v>
      </c>
      <c r="P528" s="4">
        <f t="shared" si="127"/>
        <v>41.666666666666664</v>
      </c>
      <c r="Q528" s="5">
        <f t="shared" si="128"/>
        <v>0.66666666666666652</v>
      </c>
      <c r="R528" s="4">
        <f>4*(('01_WHOQOL_Items'!K528 + '01_WHOQOL_Items'!L528 + '01_WHOQOL_Items'!O528 + '01_WHOQOL_Items'!P528 + '01_WHOQOL_Items'!Q528 + '01_WHOQOL_Items'!Z528 + '01_WHOQOL_Items'!AA528 + '01_WHOQOL_Items'!AB528)/8)</f>
        <v>9</v>
      </c>
      <c r="S528" s="4">
        <f>4*(('01_WHOQOL_Items'!AK528 + '01_WHOQOL_Items'!AL528 + '01_WHOQOL_Items'!AO528 + '01_WHOQOL_Items'!AP528 + '01_WHOQOL_Items'!AQ528 + '01_WHOQOL_Items'!AZ528 + '01_WHOQOL_Items'!BA528 + '01_WHOQOL_Items'!BB528)/8)</f>
        <v>8.5</v>
      </c>
      <c r="T528" s="4">
        <f t="shared" si="129"/>
        <v>31.25</v>
      </c>
      <c r="U528" s="4">
        <f t="shared" si="130"/>
        <v>28.125</v>
      </c>
      <c r="V528" s="5">
        <f t="shared" si="131"/>
        <v>-0.1</v>
      </c>
      <c r="W528" s="4">
        <f t="shared" si="132"/>
        <v>45.758928571428569</v>
      </c>
      <c r="X528" s="4">
        <f t="shared" si="133"/>
        <v>49.888392857142854</v>
      </c>
      <c r="Y528" s="5">
        <f t="shared" si="134"/>
        <v>9.0243902439024373E-2</v>
      </c>
      <c r="Z528" s="1">
        <f>'01_WHOQOL_Items'!D528</f>
        <v>2</v>
      </c>
      <c r="AA528" s="1">
        <f>'01_WHOQOL_Items'!AD528</f>
        <v>4</v>
      </c>
      <c r="AB528" s="1">
        <f>'01_WHOQOL_Items'!E528</f>
        <v>4</v>
      </c>
      <c r="AC528" s="1">
        <f>'01_WHOQOL_Items'!AE528</f>
        <v>3</v>
      </c>
    </row>
    <row r="529" spans="1:29">
      <c r="A529" s="1" t="str">
        <f>'01_WHOQOL_Items'!A529</f>
        <v>CON-247</v>
      </c>
      <c r="B529" s="1" t="str">
        <f>'01_WHOQOL_Items'!B529</f>
        <v>Control</v>
      </c>
      <c r="C529" s="4">
        <f>4*(((6-'01_WHOQOL_Items'!F529) + (6-'01_WHOQOL_Items'!G529) + '01_WHOQOL_Items'!M529 + '01_WHOQOL_Items'!R529 + '01_WHOQOL_Items'!S529 + '01_WHOQOL_Items'!T529 + '01_WHOQOL_Items'!U529)/7)</f>
        <v>10.857142857142858</v>
      </c>
      <c r="D529" s="4">
        <f>4*(((6-'01_WHOQOL_Items'!AF529) + (6-'01_WHOQOL_Items'!AG529) + '01_WHOQOL_Items'!AM529 + '01_WHOQOL_Items'!AR529 + '01_WHOQOL_Items'!AS529 + '01_WHOQOL_Items'!AT529 + '01_WHOQOL_Items'!AU529)/7)</f>
        <v>11.428571428571429</v>
      </c>
      <c r="E529" s="4">
        <f t="shared" si="120"/>
        <v>42.857142857142861</v>
      </c>
      <c r="F529" s="4">
        <f t="shared" si="121"/>
        <v>46.428571428571431</v>
      </c>
      <c r="G529" s="5">
        <f t="shared" si="122"/>
        <v>8.3333333333333273E-2</v>
      </c>
      <c r="H529" s="4">
        <f>4*(('01_WHOQOL_Items'!H529 + '01_WHOQOL_Items'!I529 + '01_WHOQOL_Items'!J529 + '01_WHOQOL_Items'!N529 + '01_WHOQOL_Items'!V529 + (6-'01_WHOQOL_Items'!AC529))/6)</f>
        <v>11.333333333333334</v>
      </c>
      <c r="I529" s="4">
        <f>4*(('01_WHOQOL_Items'!AH529 + '01_WHOQOL_Items'!AI529 + '01_WHOQOL_Items'!AJ529 + '01_WHOQOL_Items'!AN529 + '01_WHOQOL_Items'!AV529 + (6-'01_WHOQOL_Items'!BC529))/6)</f>
        <v>10</v>
      </c>
      <c r="J529" s="4">
        <f t="shared" si="123"/>
        <v>45.833333333333336</v>
      </c>
      <c r="K529" s="4">
        <f t="shared" si="124"/>
        <v>37.5</v>
      </c>
      <c r="L529" s="5">
        <f t="shared" si="125"/>
        <v>-0.18181818181818185</v>
      </c>
      <c r="M529" s="4">
        <f>4*(('01_WHOQOL_Items'!W529 + '01_WHOQOL_Items'!X529 + '01_WHOQOL_Items'!Y529)/3)</f>
        <v>9.3333333333333339</v>
      </c>
      <c r="N529" s="4">
        <f>4*(('01_WHOQOL_Items'!AW529 + '01_WHOQOL_Items'!AX529 + '01_WHOQOL_Items'!AY529)/3)</f>
        <v>10.666666666666666</v>
      </c>
      <c r="O529" s="4">
        <f t="shared" si="126"/>
        <v>33.333333333333336</v>
      </c>
      <c r="P529" s="4">
        <f t="shared" si="127"/>
        <v>41.666666666666664</v>
      </c>
      <c r="Q529" s="5">
        <f t="shared" si="128"/>
        <v>0.24999999999999983</v>
      </c>
      <c r="R529" s="4">
        <f>4*(('01_WHOQOL_Items'!K529 + '01_WHOQOL_Items'!L529 + '01_WHOQOL_Items'!O529 + '01_WHOQOL_Items'!P529 + '01_WHOQOL_Items'!Q529 + '01_WHOQOL_Items'!Z529 + '01_WHOQOL_Items'!AA529 + '01_WHOQOL_Items'!AB529)/8)</f>
        <v>14</v>
      </c>
      <c r="S529" s="4">
        <f>4*(('01_WHOQOL_Items'!AK529 + '01_WHOQOL_Items'!AL529 + '01_WHOQOL_Items'!AO529 + '01_WHOQOL_Items'!AP529 + '01_WHOQOL_Items'!AQ529 + '01_WHOQOL_Items'!AZ529 + '01_WHOQOL_Items'!BA529 + '01_WHOQOL_Items'!BB529)/8)</f>
        <v>14.5</v>
      </c>
      <c r="T529" s="4">
        <f t="shared" si="129"/>
        <v>62.5</v>
      </c>
      <c r="U529" s="4">
        <f t="shared" si="130"/>
        <v>65.625</v>
      </c>
      <c r="V529" s="5">
        <f t="shared" si="131"/>
        <v>0.05</v>
      </c>
      <c r="W529" s="4">
        <f t="shared" si="132"/>
        <v>46.130952380952387</v>
      </c>
      <c r="X529" s="4">
        <f t="shared" si="133"/>
        <v>47.805059523809526</v>
      </c>
      <c r="Y529" s="5">
        <f t="shared" si="134"/>
        <v>3.6290322580645067E-2</v>
      </c>
      <c r="Z529" s="1">
        <f>'01_WHOQOL_Items'!D529</f>
        <v>3</v>
      </c>
      <c r="AA529" s="1">
        <f>'01_WHOQOL_Items'!AD529</f>
        <v>3</v>
      </c>
      <c r="AB529" s="1">
        <f>'01_WHOQOL_Items'!E529</f>
        <v>3</v>
      </c>
      <c r="AC529" s="1">
        <f>'01_WHOQOL_Items'!AE529</f>
        <v>3</v>
      </c>
    </row>
    <row r="530" spans="1:29">
      <c r="A530" s="1" t="str">
        <f>'01_WHOQOL_Items'!A530</f>
        <v>CON-248</v>
      </c>
      <c r="B530" s="1" t="str">
        <f>'01_WHOQOL_Items'!B530</f>
        <v>Control</v>
      </c>
      <c r="C530" s="4">
        <f>4*(((6-'01_WHOQOL_Items'!F530) + (6-'01_WHOQOL_Items'!G530) + '01_WHOQOL_Items'!M530 + '01_WHOQOL_Items'!R530 + '01_WHOQOL_Items'!S530 + '01_WHOQOL_Items'!T530 + '01_WHOQOL_Items'!U530)/7)</f>
        <v>14.285714285714286</v>
      </c>
      <c r="D530" s="4">
        <f>4*(((6-'01_WHOQOL_Items'!AF530) + (6-'01_WHOQOL_Items'!AG530) + '01_WHOQOL_Items'!AM530 + '01_WHOQOL_Items'!AR530 + '01_WHOQOL_Items'!AS530 + '01_WHOQOL_Items'!AT530 + '01_WHOQOL_Items'!AU530)/7)</f>
        <v>16</v>
      </c>
      <c r="E530" s="4">
        <f t="shared" si="120"/>
        <v>64.285714285714292</v>
      </c>
      <c r="F530" s="4">
        <f t="shared" si="121"/>
        <v>75</v>
      </c>
      <c r="G530" s="5">
        <f t="shared" si="122"/>
        <v>0.16666666666666655</v>
      </c>
      <c r="H530" s="4">
        <f>4*(('01_WHOQOL_Items'!H530 + '01_WHOQOL_Items'!I530 + '01_WHOQOL_Items'!J530 + '01_WHOQOL_Items'!N530 + '01_WHOQOL_Items'!V530 + (6-'01_WHOQOL_Items'!AC530))/6)</f>
        <v>14.666666666666666</v>
      </c>
      <c r="I530" s="4">
        <f>4*(('01_WHOQOL_Items'!AH530 + '01_WHOQOL_Items'!AI530 + '01_WHOQOL_Items'!AJ530 + '01_WHOQOL_Items'!AN530 + '01_WHOQOL_Items'!AV530 + (6-'01_WHOQOL_Items'!BC530))/6)</f>
        <v>13.333333333333334</v>
      </c>
      <c r="J530" s="4">
        <f t="shared" si="123"/>
        <v>66.666666666666657</v>
      </c>
      <c r="K530" s="4">
        <f t="shared" si="124"/>
        <v>58.333333333333336</v>
      </c>
      <c r="L530" s="5">
        <f t="shared" si="125"/>
        <v>-0.12499999999999983</v>
      </c>
      <c r="M530" s="4">
        <f>4*(('01_WHOQOL_Items'!W530 + '01_WHOQOL_Items'!X530 + '01_WHOQOL_Items'!Y530)/3)</f>
        <v>8</v>
      </c>
      <c r="N530" s="4">
        <f>4*(('01_WHOQOL_Items'!AW530 + '01_WHOQOL_Items'!AX530 + '01_WHOQOL_Items'!AY530)/3)</f>
        <v>9.3333333333333339</v>
      </c>
      <c r="O530" s="4">
        <f t="shared" si="126"/>
        <v>25</v>
      </c>
      <c r="P530" s="4">
        <f t="shared" si="127"/>
        <v>33.333333333333336</v>
      </c>
      <c r="Q530" s="5">
        <f t="shared" si="128"/>
        <v>0.33333333333333343</v>
      </c>
      <c r="R530" s="4">
        <f>4*(('01_WHOQOL_Items'!K530 + '01_WHOQOL_Items'!L530 + '01_WHOQOL_Items'!O530 + '01_WHOQOL_Items'!P530 + '01_WHOQOL_Items'!Q530 + '01_WHOQOL_Items'!Z530 + '01_WHOQOL_Items'!AA530 + '01_WHOQOL_Items'!AB530)/8)</f>
        <v>14</v>
      </c>
      <c r="S530" s="4">
        <f>4*(('01_WHOQOL_Items'!AK530 + '01_WHOQOL_Items'!AL530 + '01_WHOQOL_Items'!AO530 + '01_WHOQOL_Items'!AP530 + '01_WHOQOL_Items'!AQ530 + '01_WHOQOL_Items'!AZ530 + '01_WHOQOL_Items'!BA530 + '01_WHOQOL_Items'!BB530)/8)</f>
        <v>14</v>
      </c>
      <c r="T530" s="4">
        <f t="shared" si="129"/>
        <v>62.5</v>
      </c>
      <c r="U530" s="4">
        <f t="shared" si="130"/>
        <v>62.5</v>
      </c>
      <c r="V530" s="5">
        <f t="shared" si="131"/>
        <v>0</v>
      </c>
      <c r="W530" s="4">
        <f t="shared" si="132"/>
        <v>54.613095238095241</v>
      </c>
      <c r="X530" s="4">
        <f t="shared" si="133"/>
        <v>57.291666666666671</v>
      </c>
      <c r="Y530" s="5">
        <f t="shared" si="134"/>
        <v>4.9046321525885596E-2</v>
      </c>
      <c r="Z530" s="1">
        <f>'01_WHOQOL_Items'!D530</f>
        <v>3</v>
      </c>
      <c r="AA530" s="1">
        <f>'01_WHOQOL_Items'!AD530</f>
        <v>4</v>
      </c>
      <c r="AB530" s="1">
        <f>'01_WHOQOL_Items'!E530</f>
        <v>3</v>
      </c>
      <c r="AC530" s="1">
        <f>'01_WHOQOL_Items'!AE530</f>
        <v>3</v>
      </c>
    </row>
    <row r="531" spans="1:29">
      <c r="A531" s="1" t="str">
        <f>'01_WHOQOL_Items'!A531</f>
        <v>CON-249</v>
      </c>
      <c r="B531" s="1" t="str">
        <f>'01_WHOQOL_Items'!B531</f>
        <v>Control</v>
      </c>
      <c r="C531" s="4">
        <f>4*(((6-'01_WHOQOL_Items'!F531) + (6-'01_WHOQOL_Items'!G531) + '01_WHOQOL_Items'!M531 + '01_WHOQOL_Items'!R531 + '01_WHOQOL_Items'!S531 + '01_WHOQOL_Items'!T531 + '01_WHOQOL_Items'!U531)/7)</f>
        <v>13.714285714285714</v>
      </c>
      <c r="D531" s="4">
        <f>4*(((6-'01_WHOQOL_Items'!AF531) + (6-'01_WHOQOL_Items'!AG531) + '01_WHOQOL_Items'!AM531 + '01_WHOQOL_Items'!AR531 + '01_WHOQOL_Items'!AS531 + '01_WHOQOL_Items'!AT531 + '01_WHOQOL_Items'!AU531)/7)</f>
        <v>15.428571428571429</v>
      </c>
      <c r="E531" s="4">
        <f t="shared" si="120"/>
        <v>60.714285714285708</v>
      </c>
      <c r="F531" s="4">
        <f t="shared" si="121"/>
        <v>71.428571428571431</v>
      </c>
      <c r="G531" s="5">
        <f t="shared" si="122"/>
        <v>0.17647058823529427</v>
      </c>
      <c r="H531" s="4">
        <f>4*(('01_WHOQOL_Items'!H531 + '01_WHOQOL_Items'!I531 + '01_WHOQOL_Items'!J531 + '01_WHOQOL_Items'!N531 + '01_WHOQOL_Items'!V531 + (6-'01_WHOQOL_Items'!AC531))/6)</f>
        <v>12.666666666666666</v>
      </c>
      <c r="I531" s="4">
        <f>4*(('01_WHOQOL_Items'!AH531 + '01_WHOQOL_Items'!AI531 + '01_WHOQOL_Items'!AJ531 + '01_WHOQOL_Items'!AN531 + '01_WHOQOL_Items'!AV531 + (6-'01_WHOQOL_Items'!BC531))/6)</f>
        <v>14</v>
      </c>
      <c r="J531" s="4">
        <f t="shared" si="123"/>
        <v>54.166666666666664</v>
      </c>
      <c r="K531" s="4">
        <f t="shared" si="124"/>
        <v>62.5</v>
      </c>
      <c r="L531" s="5">
        <f t="shared" si="125"/>
        <v>0.15384615384615391</v>
      </c>
      <c r="M531" s="4">
        <f>4*(('01_WHOQOL_Items'!W531 + '01_WHOQOL_Items'!X531 + '01_WHOQOL_Items'!Y531)/3)</f>
        <v>13.333333333333334</v>
      </c>
      <c r="N531" s="4">
        <f>4*(('01_WHOQOL_Items'!AW531 + '01_WHOQOL_Items'!AX531 + '01_WHOQOL_Items'!AY531)/3)</f>
        <v>14.666666666666666</v>
      </c>
      <c r="O531" s="4">
        <f t="shared" si="126"/>
        <v>58.333333333333336</v>
      </c>
      <c r="P531" s="4">
        <f t="shared" si="127"/>
        <v>66.666666666666657</v>
      </c>
      <c r="Q531" s="5">
        <f t="shared" si="128"/>
        <v>0.14285714285714265</v>
      </c>
      <c r="R531" s="4">
        <f>4*(('01_WHOQOL_Items'!K531 + '01_WHOQOL_Items'!L531 + '01_WHOQOL_Items'!O531 + '01_WHOQOL_Items'!P531 + '01_WHOQOL_Items'!Q531 + '01_WHOQOL_Items'!Z531 + '01_WHOQOL_Items'!AA531 + '01_WHOQOL_Items'!AB531)/8)</f>
        <v>12</v>
      </c>
      <c r="S531" s="4">
        <f>4*(('01_WHOQOL_Items'!AK531 + '01_WHOQOL_Items'!AL531 + '01_WHOQOL_Items'!AO531 + '01_WHOQOL_Items'!AP531 + '01_WHOQOL_Items'!AQ531 + '01_WHOQOL_Items'!AZ531 + '01_WHOQOL_Items'!BA531 + '01_WHOQOL_Items'!BB531)/8)</f>
        <v>14.5</v>
      </c>
      <c r="T531" s="4">
        <f t="shared" si="129"/>
        <v>50</v>
      </c>
      <c r="U531" s="4">
        <f t="shared" si="130"/>
        <v>65.625</v>
      </c>
      <c r="V531" s="5">
        <f t="shared" si="131"/>
        <v>0.3125</v>
      </c>
      <c r="W531" s="4">
        <f t="shared" si="132"/>
        <v>55.803571428571431</v>
      </c>
      <c r="X531" s="4">
        <f t="shared" si="133"/>
        <v>66.555059523809518</v>
      </c>
      <c r="Y531" s="5">
        <f t="shared" si="134"/>
        <v>0.19266666666666651</v>
      </c>
      <c r="Z531" s="1">
        <f>'01_WHOQOL_Items'!D531</f>
        <v>3</v>
      </c>
      <c r="AA531" s="1">
        <f>'01_WHOQOL_Items'!AD531</f>
        <v>3</v>
      </c>
      <c r="AB531" s="1">
        <f>'01_WHOQOL_Items'!E531</f>
        <v>3</v>
      </c>
      <c r="AC531" s="1">
        <f>'01_WHOQOL_Items'!AE531</f>
        <v>4</v>
      </c>
    </row>
    <row r="532" spans="1:29">
      <c r="A532" s="1" t="str">
        <f>'01_WHOQOL_Items'!A532</f>
        <v>CON-250</v>
      </c>
      <c r="B532" s="1" t="str">
        <f>'01_WHOQOL_Items'!B532</f>
        <v>Control</v>
      </c>
      <c r="C532" s="4">
        <f>4*(((6-'01_WHOQOL_Items'!F532) + (6-'01_WHOQOL_Items'!G532) + '01_WHOQOL_Items'!M532 + '01_WHOQOL_Items'!R532 + '01_WHOQOL_Items'!S532 + '01_WHOQOL_Items'!T532 + '01_WHOQOL_Items'!U532)/7)</f>
        <v>16.571428571428573</v>
      </c>
      <c r="D532" s="4">
        <f>4*(((6-'01_WHOQOL_Items'!AF532) + (6-'01_WHOQOL_Items'!AG532) + '01_WHOQOL_Items'!AM532 + '01_WHOQOL_Items'!AR532 + '01_WHOQOL_Items'!AS532 + '01_WHOQOL_Items'!AT532 + '01_WHOQOL_Items'!AU532)/7)</f>
        <v>17.142857142857142</v>
      </c>
      <c r="E532" s="4">
        <f t="shared" si="120"/>
        <v>78.571428571428584</v>
      </c>
      <c r="F532" s="4">
        <f t="shared" si="121"/>
        <v>82.142857142857139</v>
      </c>
      <c r="G532" s="5">
        <f t="shared" si="122"/>
        <v>4.5454545454545241E-2</v>
      </c>
      <c r="H532" s="4">
        <f>4*(('01_WHOQOL_Items'!H532 + '01_WHOQOL_Items'!I532 + '01_WHOQOL_Items'!J532 + '01_WHOQOL_Items'!N532 + '01_WHOQOL_Items'!V532 + (6-'01_WHOQOL_Items'!AC532))/6)</f>
        <v>12</v>
      </c>
      <c r="I532" s="4">
        <f>4*(('01_WHOQOL_Items'!AH532 + '01_WHOQOL_Items'!AI532 + '01_WHOQOL_Items'!AJ532 + '01_WHOQOL_Items'!AN532 + '01_WHOQOL_Items'!AV532 + (6-'01_WHOQOL_Items'!BC532))/6)</f>
        <v>10.666666666666666</v>
      </c>
      <c r="J532" s="4">
        <f t="shared" si="123"/>
        <v>50</v>
      </c>
      <c r="K532" s="4">
        <f t="shared" si="124"/>
        <v>41.666666666666664</v>
      </c>
      <c r="L532" s="5">
        <f t="shared" si="125"/>
        <v>-0.16666666666666671</v>
      </c>
      <c r="M532" s="4">
        <f>4*(('01_WHOQOL_Items'!W532 + '01_WHOQOL_Items'!X532 + '01_WHOQOL_Items'!Y532)/3)</f>
        <v>12</v>
      </c>
      <c r="N532" s="4">
        <f>4*(('01_WHOQOL_Items'!AW532 + '01_WHOQOL_Items'!AX532 + '01_WHOQOL_Items'!AY532)/3)</f>
        <v>13.333333333333334</v>
      </c>
      <c r="O532" s="4">
        <f t="shared" si="126"/>
        <v>50</v>
      </c>
      <c r="P532" s="4">
        <f t="shared" si="127"/>
        <v>58.333333333333336</v>
      </c>
      <c r="Q532" s="5">
        <f t="shared" si="128"/>
        <v>0.16666666666666671</v>
      </c>
      <c r="R532" s="4">
        <f>4*(('01_WHOQOL_Items'!K532 + '01_WHOQOL_Items'!L532 + '01_WHOQOL_Items'!O532 + '01_WHOQOL_Items'!P532 + '01_WHOQOL_Items'!Q532 + '01_WHOQOL_Items'!Z532 + '01_WHOQOL_Items'!AA532 + '01_WHOQOL_Items'!AB532)/8)</f>
        <v>9.5</v>
      </c>
      <c r="S532" s="4">
        <f>4*(('01_WHOQOL_Items'!AK532 + '01_WHOQOL_Items'!AL532 + '01_WHOQOL_Items'!AO532 + '01_WHOQOL_Items'!AP532 + '01_WHOQOL_Items'!AQ532 + '01_WHOQOL_Items'!AZ532 + '01_WHOQOL_Items'!BA532 + '01_WHOQOL_Items'!BB532)/8)</f>
        <v>9.5</v>
      </c>
      <c r="T532" s="4">
        <f t="shared" si="129"/>
        <v>34.375</v>
      </c>
      <c r="U532" s="4">
        <f t="shared" si="130"/>
        <v>34.375</v>
      </c>
      <c r="V532" s="5">
        <f t="shared" si="131"/>
        <v>0</v>
      </c>
      <c r="W532" s="4">
        <f t="shared" si="132"/>
        <v>53.236607142857146</v>
      </c>
      <c r="X532" s="4">
        <f t="shared" si="133"/>
        <v>54.129464285714285</v>
      </c>
      <c r="Y532" s="5">
        <f t="shared" si="134"/>
        <v>1.6771488469601598E-2</v>
      </c>
      <c r="Z532" s="1">
        <f>'01_WHOQOL_Items'!D532</f>
        <v>4</v>
      </c>
      <c r="AA532" s="1">
        <f>'01_WHOQOL_Items'!AD532</f>
        <v>4</v>
      </c>
      <c r="AB532" s="1">
        <f>'01_WHOQOL_Items'!E532</f>
        <v>4</v>
      </c>
      <c r="AC532" s="1">
        <f>'01_WHOQOL_Items'!AE532</f>
        <v>4</v>
      </c>
    </row>
    <row r="533" spans="1:29">
      <c r="A533" s="1" t="str">
        <f>'01_WHOQOL_Items'!A533</f>
        <v>CON-251</v>
      </c>
      <c r="B533" s="1" t="str">
        <f>'01_WHOQOL_Items'!B533</f>
        <v>Control</v>
      </c>
      <c r="C533" s="4">
        <f>4*(((6-'01_WHOQOL_Items'!F533) + (6-'01_WHOQOL_Items'!G533) + '01_WHOQOL_Items'!M533 + '01_WHOQOL_Items'!R533 + '01_WHOQOL_Items'!S533 + '01_WHOQOL_Items'!T533 + '01_WHOQOL_Items'!U533)/7)</f>
        <v>9.7142857142857135</v>
      </c>
      <c r="D533" s="4">
        <f>4*(((6-'01_WHOQOL_Items'!AF533) + (6-'01_WHOQOL_Items'!AG533) + '01_WHOQOL_Items'!AM533 + '01_WHOQOL_Items'!AR533 + '01_WHOQOL_Items'!AS533 + '01_WHOQOL_Items'!AT533 + '01_WHOQOL_Items'!AU533)/7)</f>
        <v>9.7142857142857135</v>
      </c>
      <c r="E533" s="4">
        <f t="shared" si="120"/>
        <v>35.714285714285708</v>
      </c>
      <c r="F533" s="4">
        <f t="shared" si="121"/>
        <v>35.714285714285708</v>
      </c>
      <c r="G533" s="5">
        <f t="shared" si="122"/>
        <v>0</v>
      </c>
      <c r="H533" s="4">
        <f>4*(('01_WHOQOL_Items'!H533 + '01_WHOQOL_Items'!I533 + '01_WHOQOL_Items'!J533 + '01_WHOQOL_Items'!N533 + '01_WHOQOL_Items'!V533 + (6-'01_WHOQOL_Items'!AC533))/6)</f>
        <v>14.666666666666666</v>
      </c>
      <c r="I533" s="4">
        <f>4*(('01_WHOQOL_Items'!AH533 + '01_WHOQOL_Items'!AI533 + '01_WHOQOL_Items'!AJ533 + '01_WHOQOL_Items'!AN533 + '01_WHOQOL_Items'!AV533 + (6-'01_WHOQOL_Items'!BC533))/6)</f>
        <v>11.333333333333334</v>
      </c>
      <c r="J533" s="4">
        <f t="shared" si="123"/>
        <v>66.666666666666657</v>
      </c>
      <c r="K533" s="4">
        <f t="shared" si="124"/>
        <v>45.833333333333336</v>
      </c>
      <c r="L533" s="5">
        <f t="shared" si="125"/>
        <v>-0.31249999999999989</v>
      </c>
      <c r="M533" s="4">
        <f>4*(('01_WHOQOL_Items'!W533 + '01_WHOQOL_Items'!X533 + '01_WHOQOL_Items'!Y533)/3)</f>
        <v>12</v>
      </c>
      <c r="N533" s="4">
        <f>4*(('01_WHOQOL_Items'!AW533 + '01_WHOQOL_Items'!AX533 + '01_WHOQOL_Items'!AY533)/3)</f>
        <v>12</v>
      </c>
      <c r="O533" s="4">
        <f t="shared" si="126"/>
        <v>50</v>
      </c>
      <c r="P533" s="4">
        <f t="shared" si="127"/>
        <v>50</v>
      </c>
      <c r="Q533" s="5">
        <f t="shared" si="128"/>
        <v>0</v>
      </c>
      <c r="R533" s="4">
        <f>4*(('01_WHOQOL_Items'!K533 + '01_WHOQOL_Items'!L533 + '01_WHOQOL_Items'!O533 + '01_WHOQOL_Items'!P533 + '01_WHOQOL_Items'!Q533 + '01_WHOQOL_Items'!Z533 + '01_WHOQOL_Items'!AA533 + '01_WHOQOL_Items'!AB533)/8)</f>
        <v>14</v>
      </c>
      <c r="S533" s="4">
        <f>4*(('01_WHOQOL_Items'!AK533 + '01_WHOQOL_Items'!AL533 + '01_WHOQOL_Items'!AO533 + '01_WHOQOL_Items'!AP533 + '01_WHOQOL_Items'!AQ533 + '01_WHOQOL_Items'!AZ533 + '01_WHOQOL_Items'!BA533 + '01_WHOQOL_Items'!BB533)/8)</f>
        <v>13</v>
      </c>
      <c r="T533" s="4">
        <f t="shared" si="129"/>
        <v>62.5</v>
      </c>
      <c r="U533" s="4">
        <f t="shared" si="130"/>
        <v>56.25</v>
      </c>
      <c r="V533" s="5">
        <f t="shared" si="131"/>
        <v>-0.1</v>
      </c>
      <c r="W533" s="4">
        <f t="shared" si="132"/>
        <v>53.720238095238088</v>
      </c>
      <c r="X533" s="4">
        <f t="shared" si="133"/>
        <v>46.949404761904759</v>
      </c>
      <c r="Y533" s="5">
        <f t="shared" si="134"/>
        <v>-0.12603878116343484</v>
      </c>
      <c r="Z533" s="1">
        <f>'01_WHOQOL_Items'!D533</f>
        <v>3</v>
      </c>
      <c r="AA533" s="1">
        <f>'01_WHOQOL_Items'!AD533</f>
        <v>3</v>
      </c>
      <c r="AB533" s="1">
        <f>'01_WHOQOL_Items'!E533</f>
        <v>3</v>
      </c>
      <c r="AC533" s="1">
        <f>'01_WHOQOL_Items'!AE533</f>
        <v>2</v>
      </c>
    </row>
    <row r="534" spans="1:29">
      <c r="A534" s="1" t="str">
        <f>'01_WHOQOL_Items'!A534</f>
        <v>CON-252</v>
      </c>
      <c r="B534" s="1" t="str">
        <f>'01_WHOQOL_Items'!B534</f>
        <v>Control</v>
      </c>
      <c r="C534" s="4">
        <f>4*(((6-'01_WHOQOL_Items'!F534) + (6-'01_WHOQOL_Items'!G534) + '01_WHOQOL_Items'!M534 + '01_WHOQOL_Items'!R534 + '01_WHOQOL_Items'!S534 + '01_WHOQOL_Items'!T534 + '01_WHOQOL_Items'!U534)/7)</f>
        <v>14.285714285714286</v>
      </c>
      <c r="D534" s="4">
        <f>4*(((6-'01_WHOQOL_Items'!AF534) + (6-'01_WHOQOL_Items'!AG534) + '01_WHOQOL_Items'!AM534 + '01_WHOQOL_Items'!AR534 + '01_WHOQOL_Items'!AS534 + '01_WHOQOL_Items'!AT534 + '01_WHOQOL_Items'!AU534)/7)</f>
        <v>14.285714285714286</v>
      </c>
      <c r="E534" s="4">
        <f t="shared" si="120"/>
        <v>64.285714285714292</v>
      </c>
      <c r="F534" s="4">
        <f t="shared" si="121"/>
        <v>64.285714285714292</v>
      </c>
      <c r="G534" s="5">
        <f t="shared" si="122"/>
        <v>0</v>
      </c>
      <c r="H534" s="4">
        <f>4*(('01_WHOQOL_Items'!H534 + '01_WHOQOL_Items'!I534 + '01_WHOQOL_Items'!J534 + '01_WHOQOL_Items'!N534 + '01_WHOQOL_Items'!V534 + (6-'01_WHOQOL_Items'!AC534))/6)</f>
        <v>11.333333333333334</v>
      </c>
      <c r="I534" s="4">
        <f>4*(('01_WHOQOL_Items'!AH534 + '01_WHOQOL_Items'!AI534 + '01_WHOQOL_Items'!AJ534 + '01_WHOQOL_Items'!AN534 + '01_WHOQOL_Items'!AV534 + (6-'01_WHOQOL_Items'!BC534))/6)</f>
        <v>11.333333333333334</v>
      </c>
      <c r="J534" s="4">
        <f t="shared" si="123"/>
        <v>45.833333333333336</v>
      </c>
      <c r="K534" s="4">
        <f t="shared" si="124"/>
        <v>45.833333333333336</v>
      </c>
      <c r="L534" s="5">
        <f t="shared" si="125"/>
        <v>0</v>
      </c>
      <c r="M534" s="4">
        <f>4*(('01_WHOQOL_Items'!W534 + '01_WHOQOL_Items'!X534 + '01_WHOQOL_Items'!Y534)/3)</f>
        <v>12</v>
      </c>
      <c r="N534" s="4">
        <f>4*(('01_WHOQOL_Items'!AW534 + '01_WHOQOL_Items'!AX534 + '01_WHOQOL_Items'!AY534)/3)</f>
        <v>10.666666666666666</v>
      </c>
      <c r="O534" s="4">
        <f t="shared" si="126"/>
        <v>50</v>
      </c>
      <c r="P534" s="4">
        <f t="shared" si="127"/>
        <v>41.666666666666664</v>
      </c>
      <c r="Q534" s="5">
        <f t="shared" si="128"/>
        <v>-0.16666666666666671</v>
      </c>
      <c r="R534" s="4">
        <f>4*(('01_WHOQOL_Items'!K534 + '01_WHOQOL_Items'!L534 + '01_WHOQOL_Items'!O534 + '01_WHOQOL_Items'!P534 + '01_WHOQOL_Items'!Q534 + '01_WHOQOL_Items'!Z534 + '01_WHOQOL_Items'!AA534 + '01_WHOQOL_Items'!AB534)/8)</f>
        <v>12</v>
      </c>
      <c r="S534" s="4">
        <f>4*(('01_WHOQOL_Items'!AK534 + '01_WHOQOL_Items'!AL534 + '01_WHOQOL_Items'!AO534 + '01_WHOQOL_Items'!AP534 + '01_WHOQOL_Items'!AQ534 + '01_WHOQOL_Items'!AZ534 + '01_WHOQOL_Items'!BA534 + '01_WHOQOL_Items'!BB534)/8)</f>
        <v>14.5</v>
      </c>
      <c r="T534" s="4">
        <f t="shared" si="129"/>
        <v>50</v>
      </c>
      <c r="U534" s="4">
        <f t="shared" si="130"/>
        <v>65.625</v>
      </c>
      <c r="V534" s="5">
        <f t="shared" si="131"/>
        <v>0.3125</v>
      </c>
      <c r="W534" s="4">
        <f t="shared" si="132"/>
        <v>52.529761904761905</v>
      </c>
      <c r="X534" s="4">
        <f t="shared" si="133"/>
        <v>54.352678571428569</v>
      </c>
      <c r="Y534" s="5">
        <f t="shared" si="134"/>
        <v>3.4702549575070775E-2</v>
      </c>
      <c r="Z534" s="1">
        <f>'01_WHOQOL_Items'!D534</f>
        <v>4</v>
      </c>
      <c r="AA534" s="1">
        <f>'01_WHOQOL_Items'!AD534</f>
        <v>4</v>
      </c>
      <c r="AB534" s="1">
        <f>'01_WHOQOL_Items'!E534</f>
        <v>4</v>
      </c>
      <c r="AC534" s="1">
        <f>'01_WHOQOL_Items'!AE534</f>
        <v>3</v>
      </c>
    </row>
    <row r="535" spans="1:29">
      <c r="A535" s="1" t="str">
        <f>'01_WHOQOL_Items'!A535</f>
        <v>CON-253</v>
      </c>
      <c r="B535" s="1" t="str">
        <f>'01_WHOQOL_Items'!B535</f>
        <v>Control</v>
      </c>
      <c r="C535" s="4">
        <f>4*(((6-'01_WHOQOL_Items'!F535) + (6-'01_WHOQOL_Items'!G535) + '01_WHOQOL_Items'!M535 + '01_WHOQOL_Items'!R535 + '01_WHOQOL_Items'!S535 + '01_WHOQOL_Items'!T535 + '01_WHOQOL_Items'!U535)/7)</f>
        <v>16.571428571428573</v>
      </c>
      <c r="D535" s="4">
        <f>4*(((6-'01_WHOQOL_Items'!AF535) + (6-'01_WHOQOL_Items'!AG535) + '01_WHOQOL_Items'!AM535 + '01_WHOQOL_Items'!AR535 + '01_WHOQOL_Items'!AS535 + '01_WHOQOL_Items'!AT535 + '01_WHOQOL_Items'!AU535)/7)</f>
        <v>15.428571428571429</v>
      </c>
      <c r="E535" s="4">
        <f t="shared" si="120"/>
        <v>78.571428571428584</v>
      </c>
      <c r="F535" s="4">
        <f t="shared" si="121"/>
        <v>71.428571428571431</v>
      </c>
      <c r="G535" s="5">
        <f t="shared" si="122"/>
        <v>-9.0909090909091023E-2</v>
      </c>
      <c r="H535" s="4">
        <f>4*(('01_WHOQOL_Items'!H535 + '01_WHOQOL_Items'!I535 + '01_WHOQOL_Items'!J535 + '01_WHOQOL_Items'!N535 + '01_WHOQOL_Items'!V535 + (6-'01_WHOQOL_Items'!AC535))/6)</f>
        <v>12</v>
      </c>
      <c r="I535" s="4">
        <f>4*(('01_WHOQOL_Items'!AH535 + '01_WHOQOL_Items'!AI535 + '01_WHOQOL_Items'!AJ535 + '01_WHOQOL_Items'!AN535 + '01_WHOQOL_Items'!AV535 + (6-'01_WHOQOL_Items'!BC535))/6)</f>
        <v>13.333333333333334</v>
      </c>
      <c r="J535" s="4">
        <f t="shared" si="123"/>
        <v>50</v>
      </c>
      <c r="K535" s="4">
        <f t="shared" si="124"/>
        <v>58.333333333333336</v>
      </c>
      <c r="L535" s="5">
        <f t="shared" si="125"/>
        <v>0.16666666666666671</v>
      </c>
      <c r="M535" s="4">
        <f>4*(('01_WHOQOL_Items'!W535 + '01_WHOQOL_Items'!X535 + '01_WHOQOL_Items'!Y535)/3)</f>
        <v>10.666666666666666</v>
      </c>
      <c r="N535" s="4">
        <f>4*(('01_WHOQOL_Items'!AW535 + '01_WHOQOL_Items'!AX535 + '01_WHOQOL_Items'!AY535)/3)</f>
        <v>5.333333333333333</v>
      </c>
      <c r="O535" s="4">
        <f t="shared" si="126"/>
        <v>41.666666666666664</v>
      </c>
      <c r="P535" s="4">
        <f t="shared" si="127"/>
        <v>8.3333333333333321</v>
      </c>
      <c r="Q535" s="5">
        <f t="shared" si="128"/>
        <v>-0.79999999999999993</v>
      </c>
      <c r="R535" s="4">
        <f>4*(('01_WHOQOL_Items'!K535 + '01_WHOQOL_Items'!L535 + '01_WHOQOL_Items'!O535 + '01_WHOQOL_Items'!P535 + '01_WHOQOL_Items'!Q535 + '01_WHOQOL_Items'!Z535 + '01_WHOQOL_Items'!AA535 + '01_WHOQOL_Items'!AB535)/8)</f>
        <v>15.5</v>
      </c>
      <c r="S535" s="4">
        <f>4*(('01_WHOQOL_Items'!AK535 + '01_WHOQOL_Items'!AL535 + '01_WHOQOL_Items'!AO535 + '01_WHOQOL_Items'!AP535 + '01_WHOQOL_Items'!AQ535 + '01_WHOQOL_Items'!AZ535 + '01_WHOQOL_Items'!BA535 + '01_WHOQOL_Items'!BB535)/8)</f>
        <v>15</v>
      </c>
      <c r="T535" s="4">
        <f t="shared" si="129"/>
        <v>71.875</v>
      </c>
      <c r="U535" s="4">
        <f t="shared" si="130"/>
        <v>68.75</v>
      </c>
      <c r="V535" s="5">
        <f t="shared" si="131"/>
        <v>-4.3478260869565216E-2</v>
      </c>
      <c r="W535" s="4">
        <f t="shared" si="132"/>
        <v>60.52827380952381</v>
      </c>
      <c r="X535" s="4">
        <f t="shared" si="133"/>
        <v>51.711309523809526</v>
      </c>
      <c r="Y535" s="5">
        <f t="shared" si="134"/>
        <v>-0.14566687154271662</v>
      </c>
      <c r="Z535" s="1">
        <f>'01_WHOQOL_Items'!D535</f>
        <v>3</v>
      </c>
      <c r="AA535" s="1">
        <f>'01_WHOQOL_Items'!AD535</f>
        <v>3</v>
      </c>
      <c r="AB535" s="1">
        <f>'01_WHOQOL_Items'!E535</f>
        <v>4</v>
      </c>
      <c r="AC535" s="1">
        <f>'01_WHOQOL_Items'!AE535</f>
        <v>4</v>
      </c>
    </row>
    <row r="536" spans="1:29">
      <c r="A536" s="1" t="str">
        <f>'01_WHOQOL_Items'!A536</f>
        <v>CON-254</v>
      </c>
      <c r="B536" s="1" t="str">
        <f>'01_WHOQOL_Items'!B536</f>
        <v>Control</v>
      </c>
      <c r="C536" s="4">
        <f>4*(((6-'01_WHOQOL_Items'!F536) + (6-'01_WHOQOL_Items'!G536) + '01_WHOQOL_Items'!M536 + '01_WHOQOL_Items'!R536 + '01_WHOQOL_Items'!S536 + '01_WHOQOL_Items'!T536 + '01_WHOQOL_Items'!U536)/7)</f>
        <v>12.571428571428571</v>
      </c>
      <c r="D536" s="4">
        <f>4*(((6-'01_WHOQOL_Items'!AF536) + (6-'01_WHOQOL_Items'!AG536) + '01_WHOQOL_Items'!AM536 + '01_WHOQOL_Items'!AR536 + '01_WHOQOL_Items'!AS536 + '01_WHOQOL_Items'!AT536 + '01_WHOQOL_Items'!AU536)/7)</f>
        <v>14.285714285714286</v>
      </c>
      <c r="E536" s="4">
        <f t="shared" si="120"/>
        <v>53.571428571428569</v>
      </c>
      <c r="F536" s="4">
        <f t="shared" si="121"/>
        <v>64.285714285714292</v>
      </c>
      <c r="G536" s="5">
        <f t="shared" si="122"/>
        <v>0.20000000000000015</v>
      </c>
      <c r="H536" s="4">
        <f>4*(('01_WHOQOL_Items'!H536 + '01_WHOQOL_Items'!I536 + '01_WHOQOL_Items'!J536 + '01_WHOQOL_Items'!N536 + '01_WHOQOL_Items'!V536 + (6-'01_WHOQOL_Items'!AC536))/6)</f>
        <v>11.333333333333334</v>
      </c>
      <c r="I536" s="4">
        <f>4*(('01_WHOQOL_Items'!AH536 + '01_WHOQOL_Items'!AI536 + '01_WHOQOL_Items'!AJ536 + '01_WHOQOL_Items'!AN536 + '01_WHOQOL_Items'!AV536 + (6-'01_WHOQOL_Items'!BC536))/6)</f>
        <v>12.666666666666666</v>
      </c>
      <c r="J536" s="4">
        <f t="shared" si="123"/>
        <v>45.833333333333336</v>
      </c>
      <c r="K536" s="4">
        <f t="shared" si="124"/>
        <v>54.166666666666664</v>
      </c>
      <c r="L536" s="5">
        <f t="shared" si="125"/>
        <v>0.18181818181818171</v>
      </c>
      <c r="M536" s="4">
        <f>4*(('01_WHOQOL_Items'!W536 + '01_WHOQOL_Items'!X536 + '01_WHOQOL_Items'!Y536)/3)</f>
        <v>16</v>
      </c>
      <c r="N536" s="4">
        <f>4*(('01_WHOQOL_Items'!AW536 + '01_WHOQOL_Items'!AX536 + '01_WHOQOL_Items'!AY536)/3)</f>
        <v>16</v>
      </c>
      <c r="O536" s="4">
        <f t="shared" si="126"/>
        <v>75</v>
      </c>
      <c r="P536" s="4">
        <f t="shared" si="127"/>
        <v>75</v>
      </c>
      <c r="Q536" s="5">
        <f t="shared" si="128"/>
        <v>0</v>
      </c>
      <c r="R536" s="4">
        <f>4*(('01_WHOQOL_Items'!K536 + '01_WHOQOL_Items'!L536 + '01_WHOQOL_Items'!O536 + '01_WHOQOL_Items'!P536 + '01_WHOQOL_Items'!Q536 + '01_WHOQOL_Items'!Z536 + '01_WHOQOL_Items'!AA536 + '01_WHOQOL_Items'!AB536)/8)</f>
        <v>11</v>
      </c>
      <c r="S536" s="4">
        <f>4*(('01_WHOQOL_Items'!AK536 + '01_WHOQOL_Items'!AL536 + '01_WHOQOL_Items'!AO536 + '01_WHOQOL_Items'!AP536 + '01_WHOQOL_Items'!AQ536 + '01_WHOQOL_Items'!AZ536 + '01_WHOQOL_Items'!BA536 + '01_WHOQOL_Items'!BB536)/8)</f>
        <v>11</v>
      </c>
      <c r="T536" s="4">
        <f t="shared" si="129"/>
        <v>43.75</v>
      </c>
      <c r="U536" s="4">
        <f t="shared" si="130"/>
        <v>43.75</v>
      </c>
      <c r="V536" s="5">
        <f t="shared" si="131"/>
        <v>0</v>
      </c>
      <c r="W536" s="4">
        <f t="shared" si="132"/>
        <v>54.538690476190474</v>
      </c>
      <c r="X536" s="4">
        <f t="shared" si="133"/>
        <v>59.300595238095241</v>
      </c>
      <c r="Y536" s="5">
        <f t="shared" si="134"/>
        <v>8.731241473397007E-2</v>
      </c>
      <c r="Z536" s="1">
        <f>'01_WHOQOL_Items'!D536</f>
        <v>3</v>
      </c>
      <c r="AA536" s="1">
        <f>'01_WHOQOL_Items'!AD536</f>
        <v>3</v>
      </c>
      <c r="AB536" s="1">
        <f>'01_WHOQOL_Items'!E536</f>
        <v>4</v>
      </c>
      <c r="AC536" s="1">
        <f>'01_WHOQOL_Items'!AE536</f>
        <v>4</v>
      </c>
    </row>
    <row r="537" spans="1:29">
      <c r="A537" s="1" t="str">
        <f>'01_WHOQOL_Items'!A537</f>
        <v>CON-255</v>
      </c>
      <c r="B537" s="1" t="str">
        <f>'01_WHOQOL_Items'!B537</f>
        <v>Control</v>
      </c>
      <c r="C537" s="4">
        <f>4*(((6-'01_WHOQOL_Items'!F537) + (6-'01_WHOQOL_Items'!G537) + '01_WHOQOL_Items'!M537 + '01_WHOQOL_Items'!R537 + '01_WHOQOL_Items'!S537 + '01_WHOQOL_Items'!T537 + '01_WHOQOL_Items'!U537)/7)</f>
        <v>12.571428571428571</v>
      </c>
      <c r="D537" s="4">
        <f>4*(((6-'01_WHOQOL_Items'!AF537) + (6-'01_WHOQOL_Items'!AG537) + '01_WHOQOL_Items'!AM537 + '01_WHOQOL_Items'!AR537 + '01_WHOQOL_Items'!AS537 + '01_WHOQOL_Items'!AT537 + '01_WHOQOL_Items'!AU537)/7)</f>
        <v>10.857142857142858</v>
      </c>
      <c r="E537" s="4">
        <f t="shared" si="120"/>
        <v>53.571428571428569</v>
      </c>
      <c r="F537" s="4">
        <f t="shared" si="121"/>
        <v>42.857142857142861</v>
      </c>
      <c r="G537" s="5">
        <f t="shared" si="122"/>
        <v>-0.1999999999999999</v>
      </c>
      <c r="H537" s="4">
        <f>4*(('01_WHOQOL_Items'!H537 + '01_WHOQOL_Items'!I537 + '01_WHOQOL_Items'!J537 + '01_WHOQOL_Items'!N537 + '01_WHOQOL_Items'!V537 + (6-'01_WHOQOL_Items'!AC537))/6)</f>
        <v>11.333333333333334</v>
      </c>
      <c r="I537" s="4">
        <f>4*(('01_WHOQOL_Items'!AH537 + '01_WHOQOL_Items'!AI537 + '01_WHOQOL_Items'!AJ537 + '01_WHOQOL_Items'!AN537 + '01_WHOQOL_Items'!AV537 + (6-'01_WHOQOL_Items'!BC537))/6)</f>
        <v>11.333333333333334</v>
      </c>
      <c r="J537" s="4">
        <f t="shared" si="123"/>
        <v>45.833333333333336</v>
      </c>
      <c r="K537" s="4">
        <f t="shared" si="124"/>
        <v>45.833333333333336</v>
      </c>
      <c r="L537" s="5">
        <f t="shared" si="125"/>
        <v>0</v>
      </c>
      <c r="M537" s="4">
        <f>4*(('01_WHOQOL_Items'!W537 + '01_WHOQOL_Items'!X537 + '01_WHOQOL_Items'!Y537)/3)</f>
        <v>12</v>
      </c>
      <c r="N537" s="4">
        <f>4*(('01_WHOQOL_Items'!AW537 + '01_WHOQOL_Items'!AX537 + '01_WHOQOL_Items'!AY537)/3)</f>
        <v>16</v>
      </c>
      <c r="O537" s="4">
        <f t="shared" si="126"/>
        <v>50</v>
      </c>
      <c r="P537" s="4">
        <f t="shared" si="127"/>
        <v>75</v>
      </c>
      <c r="Q537" s="5">
        <f t="shared" si="128"/>
        <v>0.5</v>
      </c>
      <c r="R537" s="4">
        <f>4*(('01_WHOQOL_Items'!K537 + '01_WHOQOL_Items'!L537 + '01_WHOQOL_Items'!O537 + '01_WHOQOL_Items'!P537 + '01_WHOQOL_Items'!Q537 + '01_WHOQOL_Items'!Z537 + '01_WHOQOL_Items'!AA537 + '01_WHOQOL_Items'!AB537)/8)</f>
        <v>13.5</v>
      </c>
      <c r="S537" s="4">
        <f>4*(('01_WHOQOL_Items'!AK537 + '01_WHOQOL_Items'!AL537 + '01_WHOQOL_Items'!AO537 + '01_WHOQOL_Items'!AP537 + '01_WHOQOL_Items'!AQ537 + '01_WHOQOL_Items'!AZ537 + '01_WHOQOL_Items'!BA537 + '01_WHOQOL_Items'!BB537)/8)</f>
        <v>16</v>
      </c>
      <c r="T537" s="4">
        <f t="shared" si="129"/>
        <v>59.375</v>
      </c>
      <c r="U537" s="4">
        <f t="shared" si="130"/>
        <v>75</v>
      </c>
      <c r="V537" s="5">
        <f t="shared" si="131"/>
        <v>0.26315789473684209</v>
      </c>
      <c r="W537" s="4">
        <f t="shared" si="132"/>
        <v>52.194940476190474</v>
      </c>
      <c r="X537" s="4">
        <f t="shared" si="133"/>
        <v>59.672619047619051</v>
      </c>
      <c r="Y537" s="5">
        <f t="shared" si="134"/>
        <v>0.14326443335709205</v>
      </c>
      <c r="Z537" s="1">
        <f>'01_WHOQOL_Items'!D537</f>
        <v>3</v>
      </c>
      <c r="AA537" s="1">
        <f>'01_WHOQOL_Items'!AD537</f>
        <v>3</v>
      </c>
      <c r="AB537" s="1">
        <f>'01_WHOQOL_Items'!E537</f>
        <v>2</v>
      </c>
      <c r="AC537" s="1">
        <f>'01_WHOQOL_Items'!AE537</f>
        <v>3</v>
      </c>
    </row>
    <row r="538" spans="1:29">
      <c r="A538" s="1" t="str">
        <f>'01_WHOQOL_Items'!A538</f>
        <v>CON-256</v>
      </c>
      <c r="B538" s="1" t="str">
        <f>'01_WHOQOL_Items'!B538</f>
        <v>Control</v>
      </c>
      <c r="C538" s="4">
        <f>4*(((6-'01_WHOQOL_Items'!F538) + (6-'01_WHOQOL_Items'!G538) + '01_WHOQOL_Items'!M538 + '01_WHOQOL_Items'!R538 + '01_WHOQOL_Items'!S538 + '01_WHOQOL_Items'!T538 + '01_WHOQOL_Items'!U538)/7)</f>
        <v>10.857142857142858</v>
      </c>
      <c r="D538" s="4">
        <f>4*(((6-'01_WHOQOL_Items'!AF538) + (6-'01_WHOQOL_Items'!AG538) + '01_WHOQOL_Items'!AM538 + '01_WHOQOL_Items'!AR538 + '01_WHOQOL_Items'!AS538 + '01_WHOQOL_Items'!AT538 + '01_WHOQOL_Items'!AU538)/7)</f>
        <v>11.428571428571429</v>
      </c>
      <c r="E538" s="4">
        <f t="shared" si="120"/>
        <v>42.857142857142861</v>
      </c>
      <c r="F538" s="4">
        <f t="shared" si="121"/>
        <v>46.428571428571431</v>
      </c>
      <c r="G538" s="5">
        <f t="shared" si="122"/>
        <v>8.3333333333333273E-2</v>
      </c>
      <c r="H538" s="4">
        <f>4*(('01_WHOQOL_Items'!H538 + '01_WHOQOL_Items'!I538 + '01_WHOQOL_Items'!J538 + '01_WHOQOL_Items'!N538 + '01_WHOQOL_Items'!V538 + (6-'01_WHOQOL_Items'!AC538))/6)</f>
        <v>8</v>
      </c>
      <c r="I538" s="4">
        <f>4*(('01_WHOQOL_Items'!AH538 + '01_WHOQOL_Items'!AI538 + '01_WHOQOL_Items'!AJ538 + '01_WHOQOL_Items'!AN538 + '01_WHOQOL_Items'!AV538 + (6-'01_WHOQOL_Items'!BC538))/6)</f>
        <v>8.6666666666666661</v>
      </c>
      <c r="J538" s="4">
        <f t="shared" si="123"/>
        <v>25</v>
      </c>
      <c r="K538" s="4">
        <f t="shared" si="124"/>
        <v>29.166666666666664</v>
      </c>
      <c r="L538" s="5">
        <f t="shared" si="125"/>
        <v>0.16666666666666657</v>
      </c>
      <c r="M538" s="4">
        <f>4*(('01_WHOQOL_Items'!W538 + '01_WHOQOL_Items'!X538 + '01_WHOQOL_Items'!Y538)/3)</f>
        <v>14.666666666666666</v>
      </c>
      <c r="N538" s="4">
        <f>4*(('01_WHOQOL_Items'!AW538 + '01_WHOQOL_Items'!AX538 + '01_WHOQOL_Items'!AY538)/3)</f>
        <v>12</v>
      </c>
      <c r="O538" s="4">
        <f t="shared" si="126"/>
        <v>66.666666666666657</v>
      </c>
      <c r="P538" s="4">
        <f t="shared" si="127"/>
        <v>50</v>
      </c>
      <c r="Q538" s="5">
        <f t="shared" si="128"/>
        <v>-0.24999999999999989</v>
      </c>
      <c r="R538" s="4">
        <f>4*(('01_WHOQOL_Items'!K538 + '01_WHOQOL_Items'!L538 + '01_WHOQOL_Items'!O538 + '01_WHOQOL_Items'!P538 + '01_WHOQOL_Items'!Q538 + '01_WHOQOL_Items'!Z538 + '01_WHOQOL_Items'!AA538 + '01_WHOQOL_Items'!AB538)/8)</f>
        <v>11</v>
      </c>
      <c r="S538" s="4">
        <f>4*(('01_WHOQOL_Items'!AK538 + '01_WHOQOL_Items'!AL538 + '01_WHOQOL_Items'!AO538 + '01_WHOQOL_Items'!AP538 + '01_WHOQOL_Items'!AQ538 + '01_WHOQOL_Items'!AZ538 + '01_WHOQOL_Items'!BA538 + '01_WHOQOL_Items'!BB538)/8)</f>
        <v>10.5</v>
      </c>
      <c r="T538" s="4">
        <f t="shared" si="129"/>
        <v>43.75</v>
      </c>
      <c r="U538" s="4">
        <f t="shared" si="130"/>
        <v>40.625</v>
      </c>
      <c r="V538" s="5">
        <f t="shared" si="131"/>
        <v>-7.1428571428571425E-2</v>
      </c>
      <c r="W538" s="4">
        <f t="shared" si="132"/>
        <v>44.56845238095238</v>
      </c>
      <c r="X538" s="4">
        <f t="shared" si="133"/>
        <v>41.555059523809526</v>
      </c>
      <c r="Y538" s="5">
        <f t="shared" si="134"/>
        <v>-6.7612687813021641E-2</v>
      </c>
      <c r="Z538" s="1">
        <f>'01_WHOQOL_Items'!D538</f>
        <v>3</v>
      </c>
      <c r="AA538" s="1">
        <f>'01_WHOQOL_Items'!AD538</f>
        <v>2</v>
      </c>
      <c r="AB538" s="1">
        <f>'01_WHOQOL_Items'!E538</f>
        <v>3</v>
      </c>
      <c r="AC538" s="1">
        <f>'01_WHOQOL_Items'!AE538</f>
        <v>3</v>
      </c>
    </row>
    <row r="539" spans="1:29">
      <c r="A539" s="1" t="str">
        <f>'01_WHOQOL_Items'!A539</f>
        <v>CON-257</v>
      </c>
      <c r="B539" s="1" t="str">
        <f>'01_WHOQOL_Items'!B539</f>
        <v>Control</v>
      </c>
      <c r="C539" s="4">
        <f>4*(((6-'01_WHOQOL_Items'!F539) + (6-'01_WHOQOL_Items'!G539) + '01_WHOQOL_Items'!M539 + '01_WHOQOL_Items'!R539 + '01_WHOQOL_Items'!S539 + '01_WHOQOL_Items'!T539 + '01_WHOQOL_Items'!U539)/7)</f>
        <v>14.857142857142858</v>
      </c>
      <c r="D539" s="4">
        <f>4*(((6-'01_WHOQOL_Items'!AF539) + (6-'01_WHOQOL_Items'!AG539) + '01_WHOQOL_Items'!AM539 + '01_WHOQOL_Items'!AR539 + '01_WHOQOL_Items'!AS539 + '01_WHOQOL_Items'!AT539 + '01_WHOQOL_Items'!AU539)/7)</f>
        <v>14.285714285714286</v>
      </c>
      <c r="E539" s="4">
        <f t="shared" si="120"/>
        <v>67.857142857142861</v>
      </c>
      <c r="F539" s="4">
        <f t="shared" si="121"/>
        <v>64.285714285714292</v>
      </c>
      <c r="G539" s="5">
        <f t="shared" si="122"/>
        <v>-5.263157894736839E-2</v>
      </c>
      <c r="H539" s="4">
        <f>4*(('01_WHOQOL_Items'!H539 + '01_WHOQOL_Items'!I539 + '01_WHOQOL_Items'!J539 + '01_WHOQOL_Items'!N539 + '01_WHOQOL_Items'!V539 + (6-'01_WHOQOL_Items'!AC539))/6)</f>
        <v>10.666666666666666</v>
      </c>
      <c r="I539" s="4">
        <f>4*(('01_WHOQOL_Items'!AH539 + '01_WHOQOL_Items'!AI539 + '01_WHOQOL_Items'!AJ539 + '01_WHOQOL_Items'!AN539 + '01_WHOQOL_Items'!AV539 + (6-'01_WHOQOL_Items'!BC539))/6)</f>
        <v>9.3333333333333339</v>
      </c>
      <c r="J539" s="4">
        <f t="shared" si="123"/>
        <v>41.666666666666664</v>
      </c>
      <c r="K539" s="4">
        <f t="shared" si="124"/>
        <v>33.333333333333336</v>
      </c>
      <c r="L539" s="5">
        <f t="shared" si="125"/>
        <v>-0.1999999999999999</v>
      </c>
      <c r="M539" s="4">
        <f>4*(('01_WHOQOL_Items'!W539 + '01_WHOQOL_Items'!X539 + '01_WHOQOL_Items'!Y539)/3)</f>
        <v>10.666666666666666</v>
      </c>
      <c r="N539" s="4">
        <f>4*(('01_WHOQOL_Items'!AW539 + '01_WHOQOL_Items'!AX539 + '01_WHOQOL_Items'!AY539)/3)</f>
        <v>13.333333333333334</v>
      </c>
      <c r="O539" s="4">
        <f t="shared" si="126"/>
        <v>41.666666666666664</v>
      </c>
      <c r="P539" s="4">
        <f t="shared" si="127"/>
        <v>58.333333333333336</v>
      </c>
      <c r="Q539" s="5">
        <f t="shared" si="128"/>
        <v>0.40000000000000013</v>
      </c>
      <c r="R539" s="4">
        <f>4*(('01_WHOQOL_Items'!K539 + '01_WHOQOL_Items'!L539 + '01_WHOQOL_Items'!O539 + '01_WHOQOL_Items'!P539 + '01_WHOQOL_Items'!Q539 + '01_WHOQOL_Items'!Z539 + '01_WHOQOL_Items'!AA539 + '01_WHOQOL_Items'!AB539)/8)</f>
        <v>14</v>
      </c>
      <c r="S539" s="4">
        <f>4*(('01_WHOQOL_Items'!AK539 + '01_WHOQOL_Items'!AL539 + '01_WHOQOL_Items'!AO539 + '01_WHOQOL_Items'!AP539 + '01_WHOQOL_Items'!AQ539 + '01_WHOQOL_Items'!AZ539 + '01_WHOQOL_Items'!BA539 + '01_WHOQOL_Items'!BB539)/8)</f>
        <v>10.5</v>
      </c>
      <c r="T539" s="4">
        <f t="shared" si="129"/>
        <v>62.5</v>
      </c>
      <c r="U539" s="4">
        <f t="shared" si="130"/>
        <v>40.625</v>
      </c>
      <c r="V539" s="5">
        <f t="shared" si="131"/>
        <v>-0.35</v>
      </c>
      <c r="W539" s="4">
        <f t="shared" si="132"/>
        <v>53.422619047619044</v>
      </c>
      <c r="X539" s="4">
        <f t="shared" si="133"/>
        <v>49.144345238095241</v>
      </c>
      <c r="Y539" s="5">
        <f t="shared" si="134"/>
        <v>-8.0083565459609915E-2</v>
      </c>
      <c r="Z539" s="1">
        <f>'01_WHOQOL_Items'!D539</f>
        <v>3</v>
      </c>
      <c r="AA539" s="1">
        <f>'01_WHOQOL_Items'!AD539</f>
        <v>3</v>
      </c>
      <c r="AB539" s="1">
        <f>'01_WHOQOL_Items'!E539</f>
        <v>4</v>
      </c>
      <c r="AC539" s="1">
        <f>'01_WHOQOL_Items'!AE539</f>
        <v>3</v>
      </c>
    </row>
    <row r="540" spans="1:29">
      <c r="A540" s="1" t="str">
        <f>'01_WHOQOL_Items'!A540</f>
        <v>CON-258</v>
      </c>
      <c r="B540" s="1" t="str">
        <f>'01_WHOQOL_Items'!B540</f>
        <v>Control</v>
      </c>
      <c r="C540" s="4">
        <f>4*(((6-'01_WHOQOL_Items'!F540) + (6-'01_WHOQOL_Items'!G540) + '01_WHOQOL_Items'!M540 + '01_WHOQOL_Items'!R540 + '01_WHOQOL_Items'!S540 + '01_WHOQOL_Items'!T540 + '01_WHOQOL_Items'!U540)/7)</f>
        <v>14.857142857142858</v>
      </c>
      <c r="D540" s="4">
        <f>4*(((6-'01_WHOQOL_Items'!AF540) + (6-'01_WHOQOL_Items'!AG540) + '01_WHOQOL_Items'!AM540 + '01_WHOQOL_Items'!AR540 + '01_WHOQOL_Items'!AS540 + '01_WHOQOL_Items'!AT540 + '01_WHOQOL_Items'!AU540)/7)</f>
        <v>14.285714285714286</v>
      </c>
      <c r="E540" s="4">
        <f t="shared" si="120"/>
        <v>67.857142857142861</v>
      </c>
      <c r="F540" s="4">
        <f t="shared" si="121"/>
        <v>64.285714285714292</v>
      </c>
      <c r="G540" s="5">
        <f t="shared" si="122"/>
        <v>-5.263157894736839E-2</v>
      </c>
      <c r="H540" s="4">
        <f>4*(('01_WHOQOL_Items'!H540 + '01_WHOQOL_Items'!I540 + '01_WHOQOL_Items'!J540 + '01_WHOQOL_Items'!N540 + '01_WHOQOL_Items'!V540 + (6-'01_WHOQOL_Items'!AC540))/6)</f>
        <v>8</v>
      </c>
      <c r="I540" s="4">
        <f>4*(('01_WHOQOL_Items'!AH540 + '01_WHOQOL_Items'!AI540 + '01_WHOQOL_Items'!AJ540 + '01_WHOQOL_Items'!AN540 + '01_WHOQOL_Items'!AV540 + (6-'01_WHOQOL_Items'!BC540))/6)</f>
        <v>5.333333333333333</v>
      </c>
      <c r="J540" s="4">
        <f t="shared" si="123"/>
        <v>25</v>
      </c>
      <c r="K540" s="4">
        <f t="shared" si="124"/>
        <v>8.3333333333333321</v>
      </c>
      <c r="L540" s="5">
        <f t="shared" si="125"/>
        <v>-0.66666666666666674</v>
      </c>
      <c r="M540" s="4">
        <f>4*(('01_WHOQOL_Items'!W540 + '01_WHOQOL_Items'!X540 + '01_WHOQOL_Items'!Y540)/3)</f>
        <v>13.333333333333334</v>
      </c>
      <c r="N540" s="4">
        <f>4*(('01_WHOQOL_Items'!AW540 + '01_WHOQOL_Items'!AX540 + '01_WHOQOL_Items'!AY540)/3)</f>
        <v>13.333333333333334</v>
      </c>
      <c r="O540" s="4">
        <f t="shared" si="126"/>
        <v>58.333333333333336</v>
      </c>
      <c r="P540" s="4">
        <f t="shared" si="127"/>
        <v>58.333333333333336</v>
      </c>
      <c r="Q540" s="5">
        <f t="shared" si="128"/>
        <v>0</v>
      </c>
      <c r="R540" s="4">
        <f>4*(('01_WHOQOL_Items'!K540 + '01_WHOQOL_Items'!L540 + '01_WHOQOL_Items'!O540 + '01_WHOQOL_Items'!P540 + '01_WHOQOL_Items'!Q540 + '01_WHOQOL_Items'!Z540 + '01_WHOQOL_Items'!AA540 + '01_WHOQOL_Items'!AB540)/8)</f>
        <v>11</v>
      </c>
      <c r="S540" s="4">
        <f>4*(('01_WHOQOL_Items'!AK540 + '01_WHOQOL_Items'!AL540 + '01_WHOQOL_Items'!AO540 + '01_WHOQOL_Items'!AP540 + '01_WHOQOL_Items'!AQ540 + '01_WHOQOL_Items'!AZ540 + '01_WHOQOL_Items'!BA540 + '01_WHOQOL_Items'!BB540)/8)</f>
        <v>14.5</v>
      </c>
      <c r="T540" s="4">
        <f t="shared" si="129"/>
        <v>43.75</v>
      </c>
      <c r="U540" s="4">
        <f t="shared" si="130"/>
        <v>65.625</v>
      </c>
      <c r="V540" s="5">
        <f t="shared" si="131"/>
        <v>0.5</v>
      </c>
      <c r="W540" s="4">
        <f t="shared" si="132"/>
        <v>48.735119047619051</v>
      </c>
      <c r="X540" s="4">
        <f t="shared" si="133"/>
        <v>49.144345238095241</v>
      </c>
      <c r="Y540" s="5">
        <f t="shared" si="134"/>
        <v>8.396946564885481E-3</v>
      </c>
      <c r="Z540" s="1">
        <f>'01_WHOQOL_Items'!D540</f>
        <v>3</v>
      </c>
      <c r="AA540" s="1">
        <f>'01_WHOQOL_Items'!AD540</f>
        <v>3</v>
      </c>
      <c r="AB540" s="1">
        <f>'01_WHOQOL_Items'!E540</f>
        <v>3</v>
      </c>
      <c r="AC540" s="1">
        <f>'01_WHOQOL_Items'!AE540</f>
        <v>3</v>
      </c>
    </row>
    <row r="541" spans="1:29">
      <c r="A541" s="1" t="str">
        <f>'01_WHOQOL_Items'!A541</f>
        <v>CON-259</v>
      </c>
      <c r="B541" s="1" t="str">
        <f>'01_WHOQOL_Items'!B541</f>
        <v>Control</v>
      </c>
      <c r="C541" s="4">
        <f>4*(((6-'01_WHOQOL_Items'!F541) + (6-'01_WHOQOL_Items'!G541) + '01_WHOQOL_Items'!M541 + '01_WHOQOL_Items'!R541 + '01_WHOQOL_Items'!S541 + '01_WHOQOL_Items'!T541 + '01_WHOQOL_Items'!U541)/7)</f>
        <v>10.285714285714286</v>
      </c>
      <c r="D541" s="4">
        <f>4*(((6-'01_WHOQOL_Items'!AF541) + (6-'01_WHOQOL_Items'!AG541) + '01_WHOQOL_Items'!AM541 + '01_WHOQOL_Items'!AR541 + '01_WHOQOL_Items'!AS541 + '01_WHOQOL_Items'!AT541 + '01_WHOQOL_Items'!AU541)/7)</f>
        <v>9.7142857142857135</v>
      </c>
      <c r="E541" s="4">
        <f t="shared" si="120"/>
        <v>39.285714285714292</v>
      </c>
      <c r="F541" s="4">
        <f t="shared" si="121"/>
        <v>35.714285714285708</v>
      </c>
      <c r="G541" s="5">
        <f t="shared" si="122"/>
        <v>-9.0909090909091203E-2</v>
      </c>
      <c r="H541" s="4">
        <f>4*(('01_WHOQOL_Items'!H541 + '01_WHOQOL_Items'!I541 + '01_WHOQOL_Items'!J541 + '01_WHOQOL_Items'!N541 + '01_WHOQOL_Items'!V541 + (6-'01_WHOQOL_Items'!AC541))/6)</f>
        <v>10.666666666666666</v>
      </c>
      <c r="I541" s="4">
        <f>4*(('01_WHOQOL_Items'!AH541 + '01_WHOQOL_Items'!AI541 + '01_WHOQOL_Items'!AJ541 + '01_WHOQOL_Items'!AN541 + '01_WHOQOL_Items'!AV541 + (6-'01_WHOQOL_Items'!BC541))/6)</f>
        <v>8</v>
      </c>
      <c r="J541" s="4">
        <f t="shared" si="123"/>
        <v>41.666666666666664</v>
      </c>
      <c r="K541" s="4">
        <f t="shared" si="124"/>
        <v>25</v>
      </c>
      <c r="L541" s="5">
        <f t="shared" si="125"/>
        <v>-0.39999999999999997</v>
      </c>
      <c r="M541" s="4">
        <f>4*(('01_WHOQOL_Items'!W541 + '01_WHOQOL_Items'!X541 + '01_WHOQOL_Items'!Y541)/3)</f>
        <v>10.666666666666666</v>
      </c>
      <c r="N541" s="4">
        <f>4*(('01_WHOQOL_Items'!AW541 + '01_WHOQOL_Items'!AX541 + '01_WHOQOL_Items'!AY541)/3)</f>
        <v>9.3333333333333339</v>
      </c>
      <c r="O541" s="4">
        <f t="shared" si="126"/>
        <v>41.666666666666664</v>
      </c>
      <c r="P541" s="4">
        <f t="shared" si="127"/>
        <v>33.333333333333336</v>
      </c>
      <c r="Q541" s="5">
        <f t="shared" si="128"/>
        <v>-0.1999999999999999</v>
      </c>
      <c r="R541" s="4">
        <f>4*(('01_WHOQOL_Items'!K541 + '01_WHOQOL_Items'!L541 + '01_WHOQOL_Items'!O541 + '01_WHOQOL_Items'!P541 + '01_WHOQOL_Items'!Q541 + '01_WHOQOL_Items'!Z541 + '01_WHOQOL_Items'!AA541 + '01_WHOQOL_Items'!AB541)/8)</f>
        <v>12.5</v>
      </c>
      <c r="S541" s="4">
        <f>4*(('01_WHOQOL_Items'!AK541 + '01_WHOQOL_Items'!AL541 + '01_WHOQOL_Items'!AO541 + '01_WHOQOL_Items'!AP541 + '01_WHOQOL_Items'!AQ541 + '01_WHOQOL_Items'!AZ541 + '01_WHOQOL_Items'!BA541 + '01_WHOQOL_Items'!BB541)/8)</f>
        <v>12.5</v>
      </c>
      <c r="T541" s="4">
        <f t="shared" si="129"/>
        <v>53.125</v>
      </c>
      <c r="U541" s="4">
        <f t="shared" si="130"/>
        <v>53.125</v>
      </c>
      <c r="V541" s="5">
        <f t="shared" si="131"/>
        <v>0</v>
      </c>
      <c r="W541" s="4">
        <f t="shared" si="132"/>
        <v>43.936011904761905</v>
      </c>
      <c r="X541" s="4">
        <f t="shared" si="133"/>
        <v>36.793154761904759</v>
      </c>
      <c r="Y541" s="5">
        <f t="shared" si="134"/>
        <v>-0.16257408975444546</v>
      </c>
      <c r="Z541" s="1">
        <f>'01_WHOQOL_Items'!D541</f>
        <v>3</v>
      </c>
      <c r="AA541" s="1">
        <f>'01_WHOQOL_Items'!AD541</f>
        <v>3</v>
      </c>
      <c r="AB541" s="1">
        <f>'01_WHOQOL_Items'!E541</f>
        <v>3</v>
      </c>
      <c r="AC541" s="1">
        <f>'01_WHOQOL_Items'!AE541</f>
        <v>4</v>
      </c>
    </row>
    <row r="542" spans="1:29">
      <c r="A542" s="1" t="str">
        <f>'01_WHOQOL_Items'!A542</f>
        <v>CON-260</v>
      </c>
      <c r="B542" s="1" t="str">
        <f>'01_WHOQOL_Items'!B542</f>
        <v>Control</v>
      </c>
      <c r="C542" s="4">
        <f>4*(((6-'01_WHOQOL_Items'!F542) + (6-'01_WHOQOL_Items'!G542) + '01_WHOQOL_Items'!M542 + '01_WHOQOL_Items'!R542 + '01_WHOQOL_Items'!S542 + '01_WHOQOL_Items'!T542 + '01_WHOQOL_Items'!U542)/7)</f>
        <v>10.857142857142858</v>
      </c>
      <c r="D542" s="4">
        <f>4*(((6-'01_WHOQOL_Items'!AF542) + (6-'01_WHOQOL_Items'!AG542) + '01_WHOQOL_Items'!AM542 + '01_WHOQOL_Items'!AR542 + '01_WHOQOL_Items'!AS542 + '01_WHOQOL_Items'!AT542 + '01_WHOQOL_Items'!AU542)/7)</f>
        <v>11.428571428571429</v>
      </c>
      <c r="E542" s="4">
        <f t="shared" si="120"/>
        <v>42.857142857142861</v>
      </c>
      <c r="F542" s="4">
        <f t="shared" si="121"/>
        <v>46.428571428571431</v>
      </c>
      <c r="G542" s="5">
        <f t="shared" si="122"/>
        <v>8.3333333333333273E-2</v>
      </c>
      <c r="H542" s="4">
        <f>4*(('01_WHOQOL_Items'!H542 + '01_WHOQOL_Items'!I542 + '01_WHOQOL_Items'!J542 + '01_WHOQOL_Items'!N542 + '01_WHOQOL_Items'!V542 + (6-'01_WHOQOL_Items'!AC542))/6)</f>
        <v>11.333333333333334</v>
      </c>
      <c r="I542" s="4">
        <f>4*(('01_WHOQOL_Items'!AH542 + '01_WHOQOL_Items'!AI542 + '01_WHOQOL_Items'!AJ542 + '01_WHOQOL_Items'!AN542 + '01_WHOQOL_Items'!AV542 + (6-'01_WHOQOL_Items'!BC542))/6)</f>
        <v>12</v>
      </c>
      <c r="J542" s="4">
        <f t="shared" si="123"/>
        <v>45.833333333333336</v>
      </c>
      <c r="K542" s="4">
        <f t="shared" si="124"/>
        <v>50</v>
      </c>
      <c r="L542" s="5">
        <f t="shared" si="125"/>
        <v>9.0909090909090856E-2</v>
      </c>
      <c r="M542" s="4">
        <f>4*(('01_WHOQOL_Items'!W542 + '01_WHOQOL_Items'!X542 + '01_WHOQOL_Items'!Y542)/3)</f>
        <v>10.666666666666666</v>
      </c>
      <c r="N542" s="4">
        <f>4*(('01_WHOQOL_Items'!AW542 + '01_WHOQOL_Items'!AX542 + '01_WHOQOL_Items'!AY542)/3)</f>
        <v>10.666666666666666</v>
      </c>
      <c r="O542" s="4">
        <f t="shared" si="126"/>
        <v>41.666666666666664</v>
      </c>
      <c r="P542" s="4">
        <f t="shared" si="127"/>
        <v>41.666666666666664</v>
      </c>
      <c r="Q542" s="5">
        <f t="shared" si="128"/>
        <v>0</v>
      </c>
      <c r="R542" s="4">
        <f>4*(('01_WHOQOL_Items'!K542 + '01_WHOQOL_Items'!L542 + '01_WHOQOL_Items'!O542 + '01_WHOQOL_Items'!P542 + '01_WHOQOL_Items'!Q542 + '01_WHOQOL_Items'!Z542 + '01_WHOQOL_Items'!AA542 + '01_WHOQOL_Items'!AB542)/8)</f>
        <v>11</v>
      </c>
      <c r="S542" s="4">
        <f>4*(('01_WHOQOL_Items'!AK542 + '01_WHOQOL_Items'!AL542 + '01_WHOQOL_Items'!AO542 + '01_WHOQOL_Items'!AP542 + '01_WHOQOL_Items'!AQ542 + '01_WHOQOL_Items'!AZ542 + '01_WHOQOL_Items'!BA542 + '01_WHOQOL_Items'!BB542)/8)</f>
        <v>11.5</v>
      </c>
      <c r="T542" s="4">
        <f t="shared" si="129"/>
        <v>43.75</v>
      </c>
      <c r="U542" s="4">
        <f t="shared" si="130"/>
        <v>46.875</v>
      </c>
      <c r="V542" s="5">
        <f t="shared" si="131"/>
        <v>7.1428571428571425E-2</v>
      </c>
      <c r="W542" s="4">
        <f t="shared" si="132"/>
        <v>43.526785714285715</v>
      </c>
      <c r="X542" s="4">
        <f t="shared" si="133"/>
        <v>46.242559523809526</v>
      </c>
      <c r="Y542" s="5">
        <f t="shared" si="134"/>
        <v>6.2393162393162407E-2</v>
      </c>
      <c r="Z542" s="1">
        <f>'01_WHOQOL_Items'!D542</f>
        <v>3</v>
      </c>
      <c r="AA542" s="1">
        <f>'01_WHOQOL_Items'!AD542</f>
        <v>3</v>
      </c>
      <c r="AB542" s="1">
        <f>'01_WHOQOL_Items'!E542</f>
        <v>2</v>
      </c>
      <c r="AC542" s="1">
        <f>'01_WHOQOL_Items'!AE542</f>
        <v>3</v>
      </c>
    </row>
    <row r="543" spans="1:29">
      <c r="A543" s="1" t="str">
        <f>'01_WHOQOL_Items'!A543</f>
        <v>CON-261</v>
      </c>
      <c r="B543" s="1" t="str">
        <f>'01_WHOQOL_Items'!B543</f>
        <v>Control</v>
      </c>
      <c r="C543" s="4">
        <f>4*(((6-'01_WHOQOL_Items'!F543) + (6-'01_WHOQOL_Items'!G543) + '01_WHOQOL_Items'!M543 + '01_WHOQOL_Items'!R543 + '01_WHOQOL_Items'!S543 + '01_WHOQOL_Items'!T543 + '01_WHOQOL_Items'!U543)/7)</f>
        <v>9.1428571428571423</v>
      </c>
      <c r="D543" s="4">
        <f>4*(((6-'01_WHOQOL_Items'!AF543) + (6-'01_WHOQOL_Items'!AG543) + '01_WHOQOL_Items'!AM543 + '01_WHOQOL_Items'!AR543 + '01_WHOQOL_Items'!AS543 + '01_WHOQOL_Items'!AT543 + '01_WHOQOL_Items'!AU543)/7)</f>
        <v>9.7142857142857135</v>
      </c>
      <c r="E543" s="4">
        <f t="shared" si="120"/>
        <v>32.142857142857139</v>
      </c>
      <c r="F543" s="4">
        <f t="shared" si="121"/>
        <v>35.714285714285708</v>
      </c>
      <c r="G543" s="5">
        <f t="shared" si="122"/>
        <v>0.11111111111111106</v>
      </c>
      <c r="H543" s="4">
        <f>4*(('01_WHOQOL_Items'!H543 + '01_WHOQOL_Items'!I543 + '01_WHOQOL_Items'!J543 + '01_WHOQOL_Items'!N543 + '01_WHOQOL_Items'!V543 + (6-'01_WHOQOL_Items'!AC543))/6)</f>
        <v>9.3333333333333339</v>
      </c>
      <c r="I543" s="4">
        <f>4*(('01_WHOQOL_Items'!AH543 + '01_WHOQOL_Items'!AI543 + '01_WHOQOL_Items'!AJ543 + '01_WHOQOL_Items'!AN543 + '01_WHOQOL_Items'!AV543 + (6-'01_WHOQOL_Items'!BC543))/6)</f>
        <v>8.6666666666666661</v>
      </c>
      <c r="J543" s="4">
        <f t="shared" si="123"/>
        <v>33.333333333333336</v>
      </c>
      <c r="K543" s="4">
        <f t="shared" si="124"/>
        <v>29.166666666666664</v>
      </c>
      <c r="L543" s="5">
        <f t="shared" si="125"/>
        <v>-0.12500000000000014</v>
      </c>
      <c r="M543" s="4">
        <f>4*(('01_WHOQOL_Items'!W543 + '01_WHOQOL_Items'!X543 + '01_WHOQOL_Items'!Y543)/3)</f>
        <v>12</v>
      </c>
      <c r="N543" s="4">
        <f>4*(('01_WHOQOL_Items'!AW543 + '01_WHOQOL_Items'!AX543 + '01_WHOQOL_Items'!AY543)/3)</f>
        <v>12</v>
      </c>
      <c r="O543" s="4">
        <f t="shared" si="126"/>
        <v>50</v>
      </c>
      <c r="P543" s="4">
        <f t="shared" si="127"/>
        <v>50</v>
      </c>
      <c r="Q543" s="5">
        <f t="shared" si="128"/>
        <v>0</v>
      </c>
      <c r="R543" s="4">
        <f>4*(('01_WHOQOL_Items'!K543 + '01_WHOQOL_Items'!L543 + '01_WHOQOL_Items'!O543 + '01_WHOQOL_Items'!P543 + '01_WHOQOL_Items'!Q543 + '01_WHOQOL_Items'!Z543 + '01_WHOQOL_Items'!AA543 + '01_WHOQOL_Items'!AB543)/8)</f>
        <v>13.5</v>
      </c>
      <c r="S543" s="4">
        <f>4*(('01_WHOQOL_Items'!AK543 + '01_WHOQOL_Items'!AL543 + '01_WHOQOL_Items'!AO543 + '01_WHOQOL_Items'!AP543 + '01_WHOQOL_Items'!AQ543 + '01_WHOQOL_Items'!AZ543 + '01_WHOQOL_Items'!BA543 + '01_WHOQOL_Items'!BB543)/8)</f>
        <v>13.5</v>
      </c>
      <c r="T543" s="4">
        <f t="shared" si="129"/>
        <v>59.375</v>
      </c>
      <c r="U543" s="4">
        <f t="shared" si="130"/>
        <v>59.375</v>
      </c>
      <c r="V543" s="5">
        <f t="shared" si="131"/>
        <v>0</v>
      </c>
      <c r="W543" s="4">
        <f t="shared" si="132"/>
        <v>43.71279761904762</v>
      </c>
      <c r="X543" s="4">
        <f t="shared" si="133"/>
        <v>43.563988095238095</v>
      </c>
      <c r="Y543" s="5">
        <f t="shared" si="134"/>
        <v>-3.4042553191489747E-3</v>
      </c>
      <c r="Z543" s="1">
        <f>'01_WHOQOL_Items'!D543</f>
        <v>2</v>
      </c>
      <c r="AA543" s="1">
        <f>'01_WHOQOL_Items'!AD543</f>
        <v>2</v>
      </c>
      <c r="AB543" s="1">
        <f>'01_WHOQOL_Items'!E543</f>
        <v>3</v>
      </c>
      <c r="AC543" s="1">
        <f>'01_WHOQOL_Items'!AE543</f>
        <v>3</v>
      </c>
    </row>
    <row r="544" spans="1:29">
      <c r="A544" s="1" t="str">
        <f>'01_WHOQOL_Items'!A544</f>
        <v>CON-262</v>
      </c>
      <c r="B544" s="1" t="str">
        <f>'01_WHOQOL_Items'!B544</f>
        <v>Control</v>
      </c>
      <c r="C544" s="4">
        <f>4*(((6-'01_WHOQOL_Items'!F544) + (6-'01_WHOQOL_Items'!G544) + '01_WHOQOL_Items'!M544 + '01_WHOQOL_Items'!R544 + '01_WHOQOL_Items'!S544 + '01_WHOQOL_Items'!T544 + '01_WHOQOL_Items'!U544)/7)</f>
        <v>13.142857142857142</v>
      </c>
      <c r="D544" s="4">
        <f>4*(((6-'01_WHOQOL_Items'!AF544) + (6-'01_WHOQOL_Items'!AG544) + '01_WHOQOL_Items'!AM544 + '01_WHOQOL_Items'!AR544 + '01_WHOQOL_Items'!AS544 + '01_WHOQOL_Items'!AT544 + '01_WHOQOL_Items'!AU544)/7)</f>
        <v>13.142857142857142</v>
      </c>
      <c r="E544" s="4">
        <f t="shared" si="120"/>
        <v>57.142857142857139</v>
      </c>
      <c r="F544" s="4">
        <f t="shared" si="121"/>
        <v>57.142857142857139</v>
      </c>
      <c r="G544" s="5">
        <f t="shared" si="122"/>
        <v>0</v>
      </c>
      <c r="H544" s="4">
        <f>4*(('01_WHOQOL_Items'!H544 + '01_WHOQOL_Items'!I544 + '01_WHOQOL_Items'!J544 + '01_WHOQOL_Items'!N544 + '01_WHOQOL_Items'!V544 + (6-'01_WHOQOL_Items'!AC544))/6)</f>
        <v>14.666666666666666</v>
      </c>
      <c r="I544" s="4">
        <f>4*(('01_WHOQOL_Items'!AH544 + '01_WHOQOL_Items'!AI544 + '01_WHOQOL_Items'!AJ544 + '01_WHOQOL_Items'!AN544 + '01_WHOQOL_Items'!AV544 + (6-'01_WHOQOL_Items'!BC544))/6)</f>
        <v>14.666666666666666</v>
      </c>
      <c r="J544" s="4">
        <f t="shared" si="123"/>
        <v>66.666666666666657</v>
      </c>
      <c r="K544" s="4">
        <f t="shared" si="124"/>
        <v>66.666666666666657</v>
      </c>
      <c r="L544" s="5">
        <f t="shared" si="125"/>
        <v>0</v>
      </c>
      <c r="M544" s="4">
        <f>4*(('01_WHOQOL_Items'!W544 + '01_WHOQOL_Items'!X544 + '01_WHOQOL_Items'!Y544)/3)</f>
        <v>12</v>
      </c>
      <c r="N544" s="4">
        <f>4*(('01_WHOQOL_Items'!AW544 + '01_WHOQOL_Items'!AX544 + '01_WHOQOL_Items'!AY544)/3)</f>
        <v>12</v>
      </c>
      <c r="O544" s="4">
        <f t="shared" si="126"/>
        <v>50</v>
      </c>
      <c r="P544" s="4">
        <f t="shared" si="127"/>
        <v>50</v>
      </c>
      <c r="Q544" s="5">
        <f t="shared" si="128"/>
        <v>0</v>
      </c>
      <c r="R544" s="4">
        <f>4*(('01_WHOQOL_Items'!K544 + '01_WHOQOL_Items'!L544 + '01_WHOQOL_Items'!O544 + '01_WHOQOL_Items'!P544 + '01_WHOQOL_Items'!Q544 + '01_WHOQOL_Items'!Z544 + '01_WHOQOL_Items'!AA544 + '01_WHOQOL_Items'!AB544)/8)</f>
        <v>14</v>
      </c>
      <c r="S544" s="4">
        <f>4*(('01_WHOQOL_Items'!AK544 + '01_WHOQOL_Items'!AL544 + '01_WHOQOL_Items'!AO544 + '01_WHOQOL_Items'!AP544 + '01_WHOQOL_Items'!AQ544 + '01_WHOQOL_Items'!AZ544 + '01_WHOQOL_Items'!BA544 + '01_WHOQOL_Items'!BB544)/8)</f>
        <v>13.5</v>
      </c>
      <c r="T544" s="4">
        <f t="shared" si="129"/>
        <v>62.5</v>
      </c>
      <c r="U544" s="4">
        <f t="shared" si="130"/>
        <v>59.375</v>
      </c>
      <c r="V544" s="5">
        <f t="shared" si="131"/>
        <v>-0.05</v>
      </c>
      <c r="W544" s="4">
        <f t="shared" si="132"/>
        <v>59.077380952380949</v>
      </c>
      <c r="X544" s="4">
        <f t="shared" si="133"/>
        <v>58.296130952380949</v>
      </c>
      <c r="Y544" s="5">
        <f t="shared" si="134"/>
        <v>-1.3224181360201512E-2</v>
      </c>
      <c r="Z544" s="1">
        <f>'01_WHOQOL_Items'!D544</f>
        <v>3</v>
      </c>
      <c r="AA544" s="1">
        <f>'01_WHOQOL_Items'!AD544</f>
        <v>3</v>
      </c>
      <c r="AB544" s="1">
        <f>'01_WHOQOL_Items'!E544</f>
        <v>4</v>
      </c>
      <c r="AC544" s="1">
        <f>'01_WHOQOL_Items'!AE544</f>
        <v>4</v>
      </c>
    </row>
    <row r="545" spans="1:29">
      <c r="A545" s="1" t="str">
        <f>'01_WHOQOL_Items'!A545</f>
        <v>CON-263</v>
      </c>
      <c r="B545" s="1" t="str">
        <f>'01_WHOQOL_Items'!B545</f>
        <v>Control</v>
      </c>
      <c r="C545" s="4">
        <f>4*(((6-'01_WHOQOL_Items'!F545) + (6-'01_WHOQOL_Items'!G545) + '01_WHOQOL_Items'!M545 + '01_WHOQOL_Items'!R545 + '01_WHOQOL_Items'!S545 + '01_WHOQOL_Items'!T545 + '01_WHOQOL_Items'!U545)/7)</f>
        <v>11.428571428571429</v>
      </c>
      <c r="D545" s="4">
        <f>4*(((6-'01_WHOQOL_Items'!AF545) + (6-'01_WHOQOL_Items'!AG545) + '01_WHOQOL_Items'!AM545 + '01_WHOQOL_Items'!AR545 + '01_WHOQOL_Items'!AS545 + '01_WHOQOL_Items'!AT545 + '01_WHOQOL_Items'!AU545)/7)</f>
        <v>13.714285714285714</v>
      </c>
      <c r="E545" s="4">
        <f t="shared" si="120"/>
        <v>46.428571428571431</v>
      </c>
      <c r="F545" s="4">
        <f t="shared" si="121"/>
        <v>60.714285714285708</v>
      </c>
      <c r="G545" s="5">
        <f t="shared" si="122"/>
        <v>0.30769230769230749</v>
      </c>
      <c r="H545" s="4">
        <f>4*(('01_WHOQOL_Items'!H545 + '01_WHOQOL_Items'!I545 + '01_WHOQOL_Items'!J545 + '01_WHOQOL_Items'!N545 + '01_WHOQOL_Items'!V545 + (6-'01_WHOQOL_Items'!AC545))/6)</f>
        <v>16</v>
      </c>
      <c r="I545" s="4">
        <f>4*(('01_WHOQOL_Items'!AH545 + '01_WHOQOL_Items'!AI545 + '01_WHOQOL_Items'!AJ545 + '01_WHOQOL_Items'!AN545 + '01_WHOQOL_Items'!AV545 + (6-'01_WHOQOL_Items'!BC545))/6)</f>
        <v>15.333333333333334</v>
      </c>
      <c r="J545" s="4">
        <f t="shared" si="123"/>
        <v>75</v>
      </c>
      <c r="K545" s="4">
        <f t="shared" si="124"/>
        <v>70.833333333333343</v>
      </c>
      <c r="L545" s="5">
        <f t="shared" si="125"/>
        <v>-5.5555555555555428E-2</v>
      </c>
      <c r="M545" s="4">
        <f>4*(('01_WHOQOL_Items'!W545 + '01_WHOQOL_Items'!X545 + '01_WHOQOL_Items'!Y545)/3)</f>
        <v>12</v>
      </c>
      <c r="N545" s="4">
        <f>4*(('01_WHOQOL_Items'!AW545 + '01_WHOQOL_Items'!AX545 + '01_WHOQOL_Items'!AY545)/3)</f>
        <v>12</v>
      </c>
      <c r="O545" s="4">
        <f t="shared" si="126"/>
        <v>50</v>
      </c>
      <c r="P545" s="4">
        <f t="shared" si="127"/>
        <v>50</v>
      </c>
      <c r="Q545" s="5">
        <f t="shared" si="128"/>
        <v>0</v>
      </c>
      <c r="R545" s="4">
        <f>4*(('01_WHOQOL_Items'!K545 + '01_WHOQOL_Items'!L545 + '01_WHOQOL_Items'!O545 + '01_WHOQOL_Items'!P545 + '01_WHOQOL_Items'!Q545 + '01_WHOQOL_Items'!Z545 + '01_WHOQOL_Items'!AA545 + '01_WHOQOL_Items'!AB545)/8)</f>
        <v>11</v>
      </c>
      <c r="S545" s="4">
        <f>4*(('01_WHOQOL_Items'!AK545 + '01_WHOQOL_Items'!AL545 + '01_WHOQOL_Items'!AO545 + '01_WHOQOL_Items'!AP545 + '01_WHOQOL_Items'!AQ545 + '01_WHOQOL_Items'!AZ545 + '01_WHOQOL_Items'!BA545 + '01_WHOQOL_Items'!BB545)/8)</f>
        <v>11.5</v>
      </c>
      <c r="T545" s="4">
        <f t="shared" si="129"/>
        <v>43.75</v>
      </c>
      <c r="U545" s="4">
        <f t="shared" si="130"/>
        <v>46.875</v>
      </c>
      <c r="V545" s="5">
        <f t="shared" si="131"/>
        <v>7.1428571428571425E-2</v>
      </c>
      <c r="W545" s="4">
        <f t="shared" si="132"/>
        <v>53.794642857142861</v>
      </c>
      <c r="X545" s="4">
        <f t="shared" si="133"/>
        <v>57.105654761904759</v>
      </c>
      <c r="Y545" s="5">
        <f t="shared" si="134"/>
        <v>6.1549100968187977E-2</v>
      </c>
      <c r="Z545" s="1">
        <f>'01_WHOQOL_Items'!D545</f>
        <v>3</v>
      </c>
      <c r="AA545" s="1">
        <f>'01_WHOQOL_Items'!AD545</f>
        <v>4</v>
      </c>
      <c r="AB545" s="1">
        <f>'01_WHOQOL_Items'!E545</f>
        <v>3</v>
      </c>
      <c r="AC545" s="1">
        <f>'01_WHOQOL_Items'!AE545</f>
        <v>3</v>
      </c>
    </row>
    <row r="546" spans="1:29">
      <c r="A546" s="1" t="str">
        <f>'01_WHOQOL_Items'!A546</f>
        <v>CON-264</v>
      </c>
      <c r="B546" s="1" t="str">
        <f>'01_WHOQOL_Items'!B546</f>
        <v>Control</v>
      </c>
      <c r="C546" s="4">
        <f>4*(((6-'01_WHOQOL_Items'!F546) + (6-'01_WHOQOL_Items'!G546) + '01_WHOQOL_Items'!M546 + '01_WHOQOL_Items'!R546 + '01_WHOQOL_Items'!S546 + '01_WHOQOL_Items'!T546 + '01_WHOQOL_Items'!U546)/7)</f>
        <v>12</v>
      </c>
      <c r="D546" s="4">
        <f>4*(((6-'01_WHOQOL_Items'!AF546) + (6-'01_WHOQOL_Items'!AG546) + '01_WHOQOL_Items'!AM546 + '01_WHOQOL_Items'!AR546 + '01_WHOQOL_Items'!AS546 + '01_WHOQOL_Items'!AT546 + '01_WHOQOL_Items'!AU546)/7)</f>
        <v>12.571428571428571</v>
      </c>
      <c r="E546" s="4">
        <f t="shared" si="120"/>
        <v>50</v>
      </c>
      <c r="F546" s="4">
        <f t="shared" si="121"/>
        <v>53.571428571428569</v>
      </c>
      <c r="G546" s="5">
        <f t="shared" si="122"/>
        <v>7.1428571428571383E-2</v>
      </c>
      <c r="H546" s="4">
        <f>4*(('01_WHOQOL_Items'!H546 + '01_WHOQOL_Items'!I546 + '01_WHOQOL_Items'!J546 + '01_WHOQOL_Items'!N546 + '01_WHOQOL_Items'!V546 + (6-'01_WHOQOL_Items'!AC546))/6)</f>
        <v>12</v>
      </c>
      <c r="I546" s="4">
        <f>4*(('01_WHOQOL_Items'!AH546 + '01_WHOQOL_Items'!AI546 + '01_WHOQOL_Items'!AJ546 + '01_WHOQOL_Items'!AN546 + '01_WHOQOL_Items'!AV546 + (6-'01_WHOQOL_Items'!BC546))/6)</f>
        <v>14</v>
      </c>
      <c r="J546" s="4">
        <f t="shared" si="123"/>
        <v>50</v>
      </c>
      <c r="K546" s="4">
        <f t="shared" si="124"/>
        <v>62.5</v>
      </c>
      <c r="L546" s="5">
        <f t="shared" si="125"/>
        <v>0.25</v>
      </c>
      <c r="M546" s="4">
        <f>4*(('01_WHOQOL_Items'!W546 + '01_WHOQOL_Items'!X546 + '01_WHOQOL_Items'!Y546)/3)</f>
        <v>9.3333333333333339</v>
      </c>
      <c r="N546" s="4">
        <f>4*(('01_WHOQOL_Items'!AW546 + '01_WHOQOL_Items'!AX546 + '01_WHOQOL_Items'!AY546)/3)</f>
        <v>8</v>
      </c>
      <c r="O546" s="4">
        <f t="shared" si="126"/>
        <v>33.333333333333336</v>
      </c>
      <c r="P546" s="4">
        <f t="shared" si="127"/>
        <v>25</v>
      </c>
      <c r="Q546" s="5">
        <f t="shared" si="128"/>
        <v>-0.25000000000000006</v>
      </c>
      <c r="R546" s="4">
        <f>4*(('01_WHOQOL_Items'!K546 + '01_WHOQOL_Items'!L546 + '01_WHOQOL_Items'!O546 + '01_WHOQOL_Items'!P546 + '01_WHOQOL_Items'!Q546 + '01_WHOQOL_Items'!Z546 + '01_WHOQOL_Items'!AA546 + '01_WHOQOL_Items'!AB546)/8)</f>
        <v>13</v>
      </c>
      <c r="S546" s="4">
        <f>4*(('01_WHOQOL_Items'!AK546 + '01_WHOQOL_Items'!AL546 + '01_WHOQOL_Items'!AO546 + '01_WHOQOL_Items'!AP546 + '01_WHOQOL_Items'!AQ546 + '01_WHOQOL_Items'!AZ546 + '01_WHOQOL_Items'!BA546 + '01_WHOQOL_Items'!BB546)/8)</f>
        <v>16</v>
      </c>
      <c r="T546" s="4">
        <f t="shared" si="129"/>
        <v>56.25</v>
      </c>
      <c r="U546" s="4">
        <f t="shared" si="130"/>
        <v>75</v>
      </c>
      <c r="V546" s="5">
        <f t="shared" si="131"/>
        <v>0.33333333333333331</v>
      </c>
      <c r="W546" s="4">
        <f t="shared" si="132"/>
        <v>47.395833333333336</v>
      </c>
      <c r="X546" s="4">
        <f t="shared" si="133"/>
        <v>54.017857142857139</v>
      </c>
      <c r="Y546" s="5">
        <f t="shared" si="134"/>
        <v>0.13971742543171101</v>
      </c>
      <c r="Z546" s="1">
        <f>'01_WHOQOL_Items'!D546</f>
        <v>2</v>
      </c>
      <c r="AA546" s="1">
        <f>'01_WHOQOL_Items'!AD546</f>
        <v>3</v>
      </c>
      <c r="AB546" s="1">
        <f>'01_WHOQOL_Items'!E546</f>
        <v>3</v>
      </c>
      <c r="AC546" s="1">
        <f>'01_WHOQOL_Items'!AE546</f>
        <v>3</v>
      </c>
    </row>
    <row r="547" spans="1:29">
      <c r="A547" s="1" t="str">
        <f>'01_WHOQOL_Items'!A547</f>
        <v>CON-265</v>
      </c>
      <c r="B547" s="1" t="str">
        <f>'01_WHOQOL_Items'!B547</f>
        <v>Control</v>
      </c>
      <c r="C547" s="4">
        <f>4*(((6-'01_WHOQOL_Items'!F547) + (6-'01_WHOQOL_Items'!G547) + '01_WHOQOL_Items'!M547 + '01_WHOQOL_Items'!R547 + '01_WHOQOL_Items'!S547 + '01_WHOQOL_Items'!T547 + '01_WHOQOL_Items'!U547)/7)</f>
        <v>14.285714285714286</v>
      </c>
      <c r="D547" s="4">
        <f>4*(((6-'01_WHOQOL_Items'!AF547) + (6-'01_WHOQOL_Items'!AG547) + '01_WHOQOL_Items'!AM547 + '01_WHOQOL_Items'!AR547 + '01_WHOQOL_Items'!AS547 + '01_WHOQOL_Items'!AT547 + '01_WHOQOL_Items'!AU547)/7)</f>
        <v>15.428571428571429</v>
      </c>
      <c r="E547" s="4">
        <f t="shared" si="120"/>
        <v>64.285714285714292</v>
      </c>
      <c r="F547" s="4">
        <f t="shared" si="121"/>
        <v>71.428571428571431</v>
      </c>
      <c r="G547" s="5">
        <f t="shared" si="122"/>
        <v>0.11111111111111104</v>
      </c>
      <c r="H547" s="4">
        <f>4*(('01_WHOQOL_Items'!H547 + '01_WHOQOL_Items'!I547 + '01_WHOQOL_Items'!J547 + '01_WHOQOL_Items'!N547 + '01_WHOQOL_Items'!V547 + (6-'01_WHOQOL_Items'!AC547))/6)</f>
        <v>11.333333333333334</v>
      </c>
      <c r="I547" s="4">
        <f>4*(('01_WHOQOL_Items'!AH547 + '01_WHOQOL_Items'!AI547 + '01_WHOQOL_Items'!AJ547 + '01_WHOQOL_Items'!AN547 + '01_WHOQOL_Items'!AV547 + (6-'01_WHOQOL_Items'!BC547))/6)</f>
        <v>12</v>
      </c>
      <c r="J547" s="4">
        <f t="shared" si="123"/>
        <v>45.833333333333336</v>
      </c>
      <c r="K547" s="4">
        <f t="shared" si="124"/>
        <v>50</v>
      </c>
      <c r="L547" s="5">
        <f t="shared" si="125"/>
        <v>9.0909090909090856E-2</v>
      </c>
      <c r="M547" s="4">
        <f>4*(('01_WHOQOL_Items'!W547 + '01_WHOQOL_Items'!X547 + '01_WHOQOL_Items'!Y547)/3)</f>
        <v>12</v>
      </c>
      <c r="N547" s="4">
        <f>4*(('01_WHOQOL_Items'!AW547 + '01_WHOQOL_Items'!AX547 + '01_WHOQOL_Items'!AY547)/3)</f>
        <v>13.333333333333334</v>
      </c>
      <c r="O547" s="4">
        <f t="shared" si="126"/>
        <v>50</v>
      </c>
      <c r="P547" s="4">
        <f t="shared" si="127"/>
        <v>58.333333333333336</v>
      </c>
      <c r="Q547" s="5">
        <f t="shared" si="128"/>
        <v>0.16666666666666671</v>
      </c>
      <c r="R547" s="4">
        <f>4*(('01_WHOQOL_Items'!K547 + '01_WHOQOL_Items'!L547 + '01_WHOQOL_Items'!O547 + '01_WHOQOL_Items'!P547 + '01_WHOQOL_Items'!Q547 + '01_WHOQOL_Items'!Z547 + '01_WHOQOL_Items'!AA547 + '01_WHOQOL_Items'!AB547)/8)</f>
        <v>12.5</v>
      </c>
      <c r="S547" s="4">
        <f>4*(('01_WHOQOL_Items'!AK547 + '01_WHOQOL_Items'!AL547 + '01_WHOQOL_Items'!AO547 + '01_WHOQOL_Items'!AP547 + '01_WHOQOL_Items'!AQ547 + '01_WHOQOL_Items'!AZ547 + '01_WHOQOL_Items'!BA547 + '01_WHOQOL_Items'!BB547)/8)</f>
        <v>11</v>
      </c>
      <c r="T547" s="4">
        <f t="shared" si="129"/>
        <v>53.125</v>
      </c>
      <c r="U547" s="4">
        <f t="shared" si="130"/>
        <v>43.75</v>
      </c>
      <c r="V547" s="5">
        <f t="shared" si="131"/>
        <v>-0.17647058823529413</v>
      </c>
      <c r="W547" s="4">
        <f t="shared" si="132"/>
        <v>53.311011904761905</v>
      </c>
      <c r="X547" s="4">
        <f t="shared" si="133"/>
        <v>55.87797619047619</v>
      </c>
      <c r="Y547" s="5">
        <f t="shared" si="134"/>
        <v>4.81507327285415E-2</v>
      </c>
      <c r="Z547" s="1">
        <f>'01_WHOQOL_Items'!D547</f>
        <v>3</v>
      </c>
      <c r="AA547" s="1">
        <f>'01_WHOQOL_Items'!AD547</f>
        <v>4</v>
      </c>
      <c r="AB547" s="1">
        <f>'01_WHOQOL_Items'!E547</f>
        <v>4</v>
      </c>
      <c r="AC547" s="1">
        <f>'01_WHOQOL_Items'!AE547</f>
        <v>4</v>
      </c>
    </row>
    <row r="548" spans="1:29">
      <c r="A548" s="1" t="str">
        <f>'01_WHOQOL_Items'!A548</f>
        <v>CON-266</v>
      </c>
      <c r="B548" s="1" t="str">
        <f>'01_WHOQOL_Items'!B548</f>
        <v>Control</v>
      </c>
      <c r="C548" s="4">
        <f>4*(((6-'01_WHOQOL_Items'!F548) + (6-'01_WHOQOL_Items'!G548) + '01_WHOQOL_Items'!M548 + '01_WHOQOL_Items'!R548 + '01_WHOQOL_Items'!S548 + '01_WHOQOL_Items'!T548 + '01_WHOQOL_Items'!U548)/7)</f>
        <v>9.7142857142857135</v>
      </c>
      <c r="D548" s="4">
        <f>4*(((6-'01_WHOQOL_Items'!AF548) + (6-'01_WHOQOL_Items'!AG548) + '01_WHOQOL_Items'!AM548 + '01_WHOQOL_Items'!AR548 + '01_WHOQOL_Items'!AS548 + '01_WHOQOL_Items'!AT548 + '01_WHOQOL_Items'!AU548)/7)</f>
        <v>10.857142857142858</v>
      </c>
      <c r="E548" s="4">
        <f t="shared" si="120"/>
        <v>35.714285714285708</v>
      </c>
      <c r="F548" s="4">
        <f t="shared" si="121"/>
        <v>42.857142857142861</v>
      </c>
      <c r="G548" s="5">
        <f t="shared" si="122"/>
        <v>0.20000000000000032</v>
      </c>
      <c r="H548" s="4">
        <f>4*(('01_WHOQOL_Items'!H548 + '01_WHOQOL_Items'!I548 + '01_WHOQOL_Items'!J548 + '01_WHOQOL_Items'!N548 + '01_WHOQOL_Items'!V548 + (6-'01_WHOQOL_Items'!AC548))/6)</f>
        <v>10.666666666666666</v>
      </c>
      <c r="I548" s="4">
        <f>4*(('01_WHOQOL_Items'!AH548 + '01_WHOQOL_Items'!AI548 + '01_WHOQOL_Items'!AJ548 + '01_WHOQOL_Items'!AN548 + '01_WHOQOL_Items'!AV548 + (6-'01_WHOQOL_Items'!BC548))/6)</f>
        <v>13.333333333333334</v>
      </c>
      <c r="J548" s="4">
        <f t="shared" si="123"/>
        <v>41.666666666666664</v>
      </c>
      <c r="K548" s="4">
        <f t="shared" si="124"/>
        <v>58.333333333333336</v>
      </c>
      <c r="L548" s="5">
        <f t="shared" si="125"/>
        <v>0.40000000000000013</v>
      </c>
      <c r="M548" s="4">
        <f>4*(('01_WHOQOL_Items'!W548 + '01_WHOQOL_Items'!X548 + '01_WHOQOL_Items'!Y548)/3)</f>
        <v>10.666666666666666</v>
      </c>
      <c r="N548" s="4">
        <f>4*(('01_WHOQOL_Items'!AW548 + '01_WHOQOL_Items'!AX548 + '01_WHOQOL_Items'!AY548)/3)</f>
        <v>12</v>
      </c>
      <c r="O548" s="4">
        <f t="shared" si="126"/>
        <v>41.666666666666664</v>
      </c>
      <c r="P548" s="4">
        <f t="shared" si="127"/>
        <v>50</v>
      </c>
      <c r="Q548" s="5">
        <f t="shared" si="128"/>
        <v>0.20000000000000007</v>
      </c>
      <c r="R548" s="4">
        <f>4*(('01_WHOQOL_Items'!K548 + '01_WHOQOL_Items'!L548 + '01_WHOQOL_Items'!O548 + '01_WHOQOL_Items'!P548 + '01_WHOQOL_Items'!Q548 + '01_WHOQOL_Items'!Z548 + '01_WHOQOL_Items'!AA548 + '01_WHOQOL_Items'!AB548)/8)</f>
        <v>10</v>
      </c>
      <c r="S548" s="4">
        <f>4*(('01_WHOQOL_Items'!AK548 + '01_WHOQOL_Items'!AL548 + '01_WHOQOL_Items'!AO548 + '01_WHOQOL_Items'!AP548 + '01_WHOQOL_Items'!AQ548 + '01_WHOQOL_Items'!AZ548 + '01_WHOQOL_Items'!BA548 + '01_WHOQOL_Items'!BB548)/8)</f>
        <v>12</v>
      </c>
      <c r="T548" s="4">
        <f t="shared" si="129"/>
        <v>37.5</v>
      </c>
      <c r="U548" s="4">
        <f t="shared" si="130"/>
        <v>50</v>
      </c>
      <c r="V548" s="5">
        <f t="shared" si="131"/>
        <v>0.33333333333333331</v>
      </c>
      <c r="W548" s="4">
        <f t="shared" si="132"/>
        <v>39.136904761904759</v>
      </c>
      <c r="X548" s="4">
        <f t="shared" si="133"/>
        <v>50.297619047619051</v>
      </c>
      <c r="Y548" s="5">
        <f t="shared" si="134"/>
        <v>0.28517110266159712</v>
      </c>
      <c r="Z548" s="1">
        <f>'01_WHOQOL_Items'!D548</f>
        <v>3</v>
      </c>
      <c r="AA548" s="1">
        <f>'01_WHOQOL_Items'!AD548</f>
        <v>3</v>
      </c>
      <c r="AB548" s="1">
        <f>'01_WHOQOL_Items'!E548</f>
        <v>3</v>
      </c>
      <c r="AC548" s="1">
        <f>'01_WHOQOL_Items'!AE548</f>
        <v>3</v>
      </c>
    </row>
    <row r="549" spans="1:29">
      <c r="A549" s="1" t="str">
        <f>'01_WHOQOL_Items'!A549</f>
        <v>CON-267</v>
      </c>
      <c r="B549" s="1" t="str">
        <f>'01_WHOQOL_Items'!B549</f>
        <v>Control</v>
      </c>
      <c r="C549" s="4">
        <f>4*(((6-'01_WHOQOL_Items'!F549) + (6-'01_WHOQOL_Items'!G549) + '01_WHOQOL_Items'!M549 + '01_WHOQOL_Items'!R549 + '01_WHOQOL_Items'!S549 + '01_WHOQOL_Items'!T549 + '01_WHOQOL_Items'!U549)/7)</f>
        <v>13.714285714285714</v>
      </c>
      <c r="D549" s="4">
        <f>4*(((6-'01_WHOQOL_Items'!AF549) + (6-'01_WHOQOL_Items'!AG549) + '01_WHOQOL_Items'!AM549 + '01_WHOQOL_Items'!AR549 + '01_WHOQOL_Items'!AS549 + '01_WHOQOL_Items'!AT549 + '01_WHOQOL_Items'!AU549)/7)</f>
        <v>13.142857142857142</v>
      </c>
      <c r="E549" s="4">
        <f t="shared" si="120"/>
        <v>60.714285714285708</v>
      </c>
      <c r="F549" s="4">
        <f t="shared" si="121"/>
        <v>57.142857142857139</v>
      </c>
      <c r="G549" s="5">
        <f t="shared" si="122"/>
        <v>-5.8823529411764677E-2</v>
      </c>
      <c r="H549" s="4">
        <f>4*(('01_WHOQOL_Items'!H549 + '01_WHOQOL_Items'!I549 + '01_WHOQOL_Items'!J549 + '01_WHOQOL_Items'!N549 + '01_WHOQOL_Items'!V549 + (6-'01_WHOQOL_Items'!AC549))/6)</f>
        <v>14</v>
      </c>
      <c r="I549" s="4">
        <f>4*(('01_WHOQOL_Items'!AH549 + '01_WHOQOL_Items'!AI549 + '01_WHOQOL_Items'!AJ549 + '01_WHOQOL_Items'!AN549 + '01_WHOQOL_Items'!AV549 + (6-'01_WHOQOL_Items'!BC549))/6)</f>
        <v>15.333333333333334</v>
      </c>
      <c r="J549" s="4">
        <f t="shared" si="123"/>
        <v>62.5</v>
      </c>
      <c r="K549" s="4">
        <f t="shared" si="124"/>
        <v>70.833333333333343</v>
      </c>
      <c r="L549" s="5">
        <f t="shared" si="125"/>
        <v>0.1333333333333335</v>
      </c>
      <c r="M549" s="4">
        <f>4*(('01_WHOQOL_Items'!W549 + '01_WHOQOL_Items'!X549 + '01_WHOQOL_Items'!Y549)/3)</f>
        <v>12</v>
      </c>
      <c r="N549" s="4">
        <f>4*(('01_WHOQOL_Items'!AW549 + '01_WHOQOL_Items'!AX549 + '01_WHOQOL_Items'!AY549)/3)</f>
        <v>14.666666666666666</v>
      </c>
      <c r="O549" s="4">
        <f t="shared" si="126"/>
        <v>50</v>
      </c>
      <c r="P549" s="4">
        <f t="shared" si="127"/>
        <v>66.666666666666657</v>
      </c>
      <c r="Q549" s="5">
        <f t="shared" si="128"/>
        <v>0.33333333333333315</v>
      </c>
      <c r="R549" s="4">
        <f>4*(('01_WHOQOL_Items'!K549 + '01_WHOQOL_Items'!L549 + '01_WHOQOL_Items'!O549 + '01_WHOQOL_Items'!P549 + '01_WHOQOL_Items'!Q549 + '01_WHOQOL_Items'!Z549 + '01_WHOQOL_Items'!AA549 + '01_WHOQOL_Items'!AB549)/8)</f>
        <v>13.5</v>
      </c>
      <c r="S549" s="4">
        <f>4*(('01_WHOQOL_Items'!AK549 + '01_WHOQOL_Items'!AL549 + '01_WHOQOL_Items'!AO549 + '01_WHOQOL_Items'!AP549 + '01_WHOQOL_Items'!AQ549 + '01_WHOQOL_Items'!AZ549 + '01_WHOQOL_Items'!BA549 + '01_WHOQOL_Items'!BB549)/8)</f>
        <v>15</v>
      </c>
      <c r="T549" s="4">
        <f t="shared" si="129"/>
        <v>59.375</v>
      </c>
      <c r="U549" s="4">
        <f t="shared" si="130"/>
        <v>68.75</v>
      </c>
      <c r="V549" s="5">
        <f t="shared" si="131"/>
        <v>0.15789473684210525</v>
      </c>
      <c r="W549" s="4">
        <f t="shared" si="132"/>
        <v>58.147321428571431</v>
      </c>
      <c r="X549" s="4">
        <f t="shared" si="133"/>
        <v>65.848214285714278</v>
      </c>
      <c r="Y549" s="5">
        <f t="shared" si="134"/>
        <v>0.1324376199616121</v>
      </c>
      <c r="Z549" s="1">
        <f>'01_WHOQOL_Items'!D549</f>
        <v>3</v>
      </c>
      <c r="AA549" s="1">
        <f>'01_WHOQOL_Items'!AD549</f>
        <v>3</v>
      </c>
      <c r="AB549" s="1">
        <f>'01_WHOQOL_Items'!E549</f>
        <v>4</v>
      </c>
      <c r="AC549" s="1">
        <f>'01_WHOQOL_Items'!AE549</f>
        <v>4</v>
      </c>
    </row>
    <row r="550" spans="1:29">
      <c r="A550" s="1" t="str">
        <f>'01_WHOQOL_Items'!A550</f>
        <v>CON-268</v>
      </c>
      <c r="B550" s="1" t="str">
        <f>'01_WHOQOL_Items'!B550</f>
        <v>Control</v>
      </c>
      <c r="C550" s="4">
        <f>4*(((6-'01_WHOQOL_Items'!F550) + (6-'01_WHOQOL_Items'!G550) + '01_WHOQOL_Items'!M550 + '01_WHOQOL_Items'!R550 + '01_WHOQOL_Items'!S550 + '01_WHOQOL_Items'!T550 + '01_WHOQOL_Items'!U550)/7)</f>
        <v>12.571428571428571</v>
      </c>
      <c r="D550" s="4">
        <f>4*(((6-'01_WHOQOL_Items'!AF550) + (6-'01_WHOQOL_Items'!AG550) + '01_WHOQOL_Items'!AM550 + '01_WHOQOL_Items'!AR550 + '01_WHOQOL_Items'!AS550 + '01_WHOQOL_Items'!AT550 + '01_WHOQOL_Items'!AU550)/7)</f>
        <v>13.142857142857142</v>
      </c>
      <c r="E550" s="4">
        <f t="shared" si="120"/>
        <v>53.571428571428569</v>
      </c>
      <c r="F550" s="4">
        <f t="shared" si="121"/>
        <v>57.142857142857139</v>
      </c>
      <c r="G550" s="5">
        <f t="shared" si="122"/>
        <v>6.6666666666666638E-2</v>
      </c>
      <c r="H550" s="4">
        <f>4*(('01_WHOQOL_Items'!H550 + '01_WHOQOL_Items'!I550 + '01_WHOQOL_Items'!J550 + '01_WHOQOL_Items'!N550 + '01_WHOQOL_Items'!V550 + (6-'01_WHOQOL_Items'!AC550))/6)</f>
        <v>10.666666666666666</v>
      </c>
      <c r="I550" s="4">
        <f>4*(('01_WHOQOL_Items'!AH550 + '01_WHOQOL_Items'!AI550 + '01_WHOQOL_Items'!AJ550 + '01_WHOQOL_Items'!AN550 + '01_WHOQOL_Items'!AV550 + (6-'01_WHOQOL_Items'!BC550))/6)</f>
        <v>13.333333333333334</v>
      </c>
      <c r="J550" s="4">
        <f t="shared" si="123"/>
        <v>41.666666666666664</v>
      </c>
      <c r="K550" s="4">
        <f t="shared" si="124"/>
        <v>58.333333333333336</v>
      </c>
      <c r="L550" s="5">
        <f t="shared" si="125"/>
        <v>0.40000000000000013</v>
      </c>
      <c r="M550" s="4">
        <f>4*(('01_WHOQOL_Items'!W550 + '01_WHOQOL_Items'!X550 + '01_WHOQOL_Items'!Y550)/3)</f>
        <v>13.333333333333334</v>
      </c>
      <c r="N550" s="4">
        <f>4*(('01_WHOQOL_Items'!AW550 + '01_WHOQOL_Items'!AX550 + '01_WHOQOL_Items'!AY550)/3)</f>
        <v>12</v>
      </c>
      <c r="O550" s="4">
        <f t="shared" si="126"/>
        <v>58.333333333333336</v>
      </c>
      <c r="P550" s="4">
        <f t="shared" si="127"/>
        <v>50</v>
      </c>
      <c r="Q550" s="5">
        <f t="shared" si="128"/>
        <v>-0.1428571428571429</v>
      </c>
      <c r="R550" s="4">
        <f>4*(('01_WHOQOL_Items'!K550 + '01_WHOQOL_Items'!L550 + '01_WHOQOL_Items'!O550 + '01_WHOQOL_Items'!P550 + '01_WHOQOL_Items'!Q550 + '01_WHOQOL_Items'!Z550 + '01_WHOQOL_Items'!AA550 + '01_WHOQOL_Items'!AB550)/8)</f>
        <v>11</v>
      </c>
      <c r="S550" s="4">
        <f>4*(('01_WHOQOL_Items'!AK550 + '01_WHOQOL_Items'!AL550 + '01_WHOQOL_Items'!AO550 + '01_WHOQOL_Items'!AP550 + '01_WHOQOL_Items'!AQ550 + '01_WHOQOL_Items'!AZ550 + '01_WHOQOL_Items'!BA550 + '01_WHOQOL_Items'!BB550)/8)</f>
        <v>10</v>
      </c>
      <c r="T550" s="4">
        <f t="shared" si="129"/>
        <v>43.75</v>
      </c>
      <c r="U550" s="4">
        <f t="shared" si="130"/>
        <v>37.5</v>
      </c>
      <c r="V550" s="5">
        <f t="shared" si="131"/>
        <v>-0.14285714285714285</v>
      </c>
      <c r="W550" s="4">
        <f t="shared" si="132"/>
        <v>49.330357142857146</v>
      </c>
      <c r="X550" s="4">
        <f t="shared" si="133"/>
        <v>50.74404761904762</v>
      </c>
      <c r="Y550" s="5">
        <f t="shared" si="134"/>
        <v>2.8657616892910975E-2</v>
      </c>
      <c r="Z550" s="1">
        <f>'01_WHOQOL_Items'!D550</f>
        <v>3</v>
      </c>
      <c r="AA550" s="1">
        <f>'01_WHOQOL_Items'!AD550</f>
        <v>3</v>
      </c>
      <c r="AB550" s="1">
        <f>'01_WHOQOL_Items'!E550</f>
        <v>3</v>
      </c>
      <c r="AC550" s="1">
        <f>'01_WHOQOL_Items'!AE550</f>
        <v>3</v>
      </c>
    </row>
    <row r="551" spans="1:29">
      <c r="A551" s="1" t="str">
        <f>'01_WHOQOL_Items'!A551</f>
        <v>CON-269</v>
      </c>
      <c r="B551" s="1" t="str">
        <f>'01_WHOQOL_Items'!B551</f>
        <v>Control</v>
      </c>
      <c r="C551" s="4">
        <f>4*(((6-'01_WHOQOL_Items'!F551) + (6-'01_WHOQOL_Items'!G551) + '01_WHOQOL_Items'!M551 + '01_WHOQOL_Items'!R551 + '01_WHOQOL_Items'!S551 + '01_WHOQOL_Items'!T551 + '01_WHOQOL_Items'!U551)/7)</f>
        <v>12.571428571428571</v>
      </c>
      <c r="D551" s="4">
        <f>4*(((6-'01_WHOQOL_Items'!AF551) + (6-'01_WHOQOL_Items'!AG551) + '01_WHOQOL_Items'!AM551 + '01_WHOQOL_Items'!AR551 + '01_WHOQOL_Items'!AS551 + '01_WHOQOL_Items'!AT551 + '01_WHOQOL_Items'!AU551)/7)</f>
        <v>12.571428571428571</v>
      </c>
      <c r="E551" s="4">
        <f t="shared" si="120"/>
        <v>53.571428571428569</v>
      </c>
      <c r="F551" s="4">
        <f t="shared" si="121"/>
        <v>53.571428571428569</v>
      </c>
      <c r="G551" s="5">
        <f t="shared" si="122"/>
        <v>0</v>
      </c>
      <c r="H551" s="4">
        <f>4*(('01_WHOQOL_Items'!H551 + '01_WHOQOL_Items'!I551 + '01_WHOQOL_Items'!J551 + '01_WHOQOL_Items'!N551 + '01_WHOQOL_Items'!V551 + (6-'01_WHOQOL_Items'!AC551))/6)</f>
        <v>13.333333333333334</v>
      </c>
      <c r="I551" s="4">
        <f>4*(('01_WHOQOL_Items'!AH551 + '01_WHOQOL_Items'!AI551 + '01_WHOQOL_Items'!AJ551 + '01_WHOQOL_Items'!AN551 + '01_WHOQOL_Items'!AV551 + (6-'01_WHOQOL_Items'!BC551))/6)</f>
        <v>12.666666666666666</v>
      </c>
      <c r="J551" s="4">
        <f t="shared" si="123"/>
        <v>58.333333333333336</v>
      </c>
      <c r="K551" s="4">
        <f t="shared" si="124"/>
        <v>54.166666666666664</v>
      </c>
      <c r="L551" s="5">
        <f t="shared" si="125"/>
        <v>-7.1428571428571508E-2</v>
      </c>
      <c r="M551" s="4">
        <f>4*(('01_WHOQOL_Items'!W551 + '01_WHOQOL_Items'!X551 + '01_WHOQOL_Items'!Y551)/3)</f>
        <v>17.333333333333332</v>
      </c>
      <c r="N551" s="4">
        <f>4*(('01_WHOQOL_Items'!AW551 + '01_WHOQOL_Items'!AX551 + '01_WHOQOL_Items'!AY551)/3)</f>
        <v>16</v>
      </c>
      <c r="O551" s="4">
        <f t="shared" si="126"/>
        <v>83.333333333333329</v>
      </c>
      <c r="P551" s="4">
        <f t="shared" si="127"/>
        <v>75</v>
      </c>
      <c r="Q551" s="5">
        <f t="shared" si="128"/>
        <v>-9.999999999999995E-2</v>
      </c>
      <c r="R551" s="4">
        <f>4*(('01_WHOQOL_Items'!K551 + '01_WHOQOL_Items'!L551 + '01_WHOQOL_Items'!O551 + '01_WHOQOL_Items'!P551 + '01_WHOQOL_Items'!Q551 + '01_WHOQOL_Items'!Z551 + '01_WHOQOL_Items'!AA551 + '01_WHOQOL_Items'!AB551)/8)</f>
        <v>12</v>
      </c>
      <c r="S551" s="4">
        <f>4*(('01_WHOQOL_Items'!AK551 + '01_WHOQOL_Items'!AL551 + '01_WHOQOL_Items'!AO551 + '01_WHOQOL_Items'!AP551 + '01_WHOQOL_Items'!AQ551 + '01_WHOQOL_Items'!AZ551 + '01_WHOQOL_Items'!BA551 + '01_WHOQOL_Items'!BB551)/8)</f>
        <v>11</v>
      </c>
      <c r="T551" s="4">
        <f t="shared" si="129"/>
        <v>50</v>
      </c>
      <c r="U551" s="4">
        <f t="shared" si="130"/>
        <v>43.75</v>
      </c>
      <c r="V551" s="5">
        <f t="shared" si="131"/>
        <v>-0.125</v>
      </c>
      <c r="W551" s="4">
        <f t="shared" si="132"/>
        <v>61.30952380952381</v>
      </c>
      <c r="X551" s="4">
        <f t="shared" si="133"/>
        <v>56.62202380952381</v>
      </c>
      <c r="Y551" s="5">
        <f t="shared" si="134"/>
        <v>-7.6456310679611644E-2</v>
      </c>
      <c r="Z551" s="1">
        <f>'01_WHOQOL_Items'!D551</f>
        <v>4</v>
      </c>
      <c r="AA551" s="1">
        <f>'01_WHOQOL_Items'!AD551</f>
        <v>3</v>
      </c>
      <c r="AB551" s="1">
        <f>'01_WHOQOL_Items'!E551</f>
        <v>3</v>
      </c>
      <c r="AC551" s="1">
        <f>'01_WHOQOL_Items'!AE551</f>
        <v>3</v>
      </c>
    </row>
    <row r="552" spans="1:29">
      <c r="A552" s="1" t="str">
        <f>'01_WHOQOL_Items'!A552</f>
        <v>CON-270</v>
      </c>
      <c r="B552" s="1" t="str">
        <f>'01_WHOQOL_Items'!B552</f>
        <v>Control</v>
      </c>
      <c r="C552" s="4">
        <f>4*(((6-'01_WHOQOL_Items'!F552) + (6-'01_WHOQOL_Items'!G552) + '01_WHOQOL_Items'!M552 + '01_WHOQOL_Items'!R552 + '01_WHOQOL_Items'!S552 + '01_WHOQOL_Items'!T552 + '01_WHOQOL_Items'!U552)/7)</f>
        <v>13.142857142857142</v>
      </c>
      <c r="D552" s="4">
        <f>4*(((6-'01_WHOQOL_Items'!AF552) + (6-'01_WHOQOL_Items'!AG552) + '01_WHOQOL_Items'!AM552 + '01_WHOQOL_Items'!AR552 + '01_WHOQOL_Items'!AS552 + '01_WHOQOL_Items'!AT552 + '01_WHOQOL_Items'!AU552)/7)</f>
        <v>11.428571428571429</v>
      </c>
      <c r="E552" s="4">
        <f t="shared" si="120"/>
        <v>57.142857142857139</v>
      </c>
      <c r="F552" s="4">
        <f t="shared" si="121"/>
        <v>46.428571428571431</v>
      </c>
      <c r="G552" s="5">
        <f t="shared" si="122"/>
        <v>-0.18749999999999992</v>
      </c>
      <c r="H552" s="4">
        <f>4*(('01_WHOQOL_Items'!H552 + '01_WHOQOL_Items'!I552 + '01_WHOQOL_Items'!J552 + '01_WHOQOL_Items'!N552 + '01_WHOQOL_Items'!V552 + (6-'01_WHOQOL_Items'!AC552))/6)</f>
        <v>12</v>
      </c>
      <c r="I552" s="4">
        <f>4*(('01_WHOQOL_Items'!AH552 + '01_WHOQOL_Items'!AI552 + '01_WHOQOL_Items'!AJ552 + '01_WHOQOL_Items'!AN552 + '01_WHOQOL_Items'!AV552 + (6-'01_WHOQOL_Items'!BC552))/6)</f>
        <v>12</v>
      </c>
      <c r="J552" s="4">
        <f t="shared" si="123"/>
        <v>50</v>
      </c>
      <c r="K552" s="4">
        <f t="shared" si="124"/>
        <v>50</v>
      </c>
      <c r="L552" s="5">
        <f t="shared" si="125"/>
        <v>0</v>
      </c>
      <c r="M552" s="4">
        <f>4*(('01_WHOQOL_Items'!W552 + '01_WHOQOL_Items'!X552 + '01_WHOQOL_Items'!Y552)/3)</f>
        <v>8</v>
      </c>
      <c r="N552" s="4">
        <f>4*(('01_WHOQOL_Items'!AW552 + '01_WHOQOL_Items'!AX552 + '01_WHOQOL_Items'!AY552)/3)</f>
        <v>9.3333333333333339</v>
      </c>
      <c r="O552" s="4">
        <f t="shared" si="126"/>
        <v>25</v>
      </c>
      <c r="P552" s="4">
        <f t="shared" si="127"/>
        <v>33.333333333333336</v>
      </c>
      <c r="Q552" s="5">
        <f t="shared" si="128"/>
        <v>0.33333333333333343</v>
      </c>
      <c r="R552" s="4">
        <f>4*(('01_WHOQOL_Items'!K552 + '01_WHOQOL_Items'!L552 + '01_WHOQOL_Items'!O552 + '01_WHOQOL_Items'!P552 + '01_WHOQOL_Items'!Q552 + '01_WHOQOL_Items'!Z552 + '01_WHOQOL_Items'!AA552 + '01_WHOQOL_Items'!AB552)/8)</f>
        <v>8</v>
      </c>
      <c r="S552" s="4">
        <f>4*(('01_WHOQOL_Items'!AK552 + '01_WHOQOL_Items'!AL552 + '01_WHOQOL_Items'!AO552 + '01_WHOQOL_Items'!AP552 + '01_WHOQOL_Items'!AQ552 + '01_WHOQOL_Items'!AZ552 + '01_WHOQOL_Items'!BA552 + '01_WHOQOL_Items'!BB552)/8)</f>
        <v>9.5</v>
      </c>
      <c r="T552" s="4">
        <f t="shared" si="129"/>
        <v>25</v>
      </c>
      <c r="U552" s="4">
        <f t="shared" si="130"/>
        <v>34.375</v>
      </c>
      <c r="V552" s="5">
        <f t="shared" si="131"/>
        <v>0.375</v>
      </c>
      <c r="W552" s="4">
        <f t="shared" si="132"/>
        <v>39.285714285714285</v>
      </c>
      <c r="X552" s="4">
        <f t="shared" si="133"/>
        <v>41.03422619047619</v>
      </c>
      <c r="Y552" s="5">
        <f t="shared" si="134"/>
        <v>4.4507575757575767E-2</v>
      </c>
      <c r="Z552" s="1">
        <f>'01_WHOQOL_Items'!D552</f>
        <v>2</v>
      </c>
      <c r="AA552" s="1">
        <f>'01_WHOQOL_Items'!AD552</f>
        <v>3</v>
      </c>
      <c r="AB552" s="1">
        <f>'01_WHOQOL_Items'!E552</f>
        <v>3</v>
      </c>
      <c r="AC552" s="1">
        <f>'01_WHOQOL_Items'!AE552</f>
        <v>3</v>
      </c>
    </row>
    <row r="553" spans="1:29">
      <c r="A553" s="1" t="str">
        <f>'01_WHOQOL_Items'!A553</f>
        <v>CON-271</v>
      </c>
      <c r="B553" s="1" t="str">
        <f>'01_WHOQOL_Items'!B553</f>
        <v>Control</v>
      </c>
      <c r="C553" s="4">
        <f>4*(((6-'01_WHOQOL_Items'!F553) + (6-'01_WHOQOL_Items'!G553) + '01_WHOQOL_Items'!M553 + '01_WHOQOL_Items'!R553 + '01_WHOQOL_Items'!S553 + '01_WHOQOL_Items'!T553 + '01_WHOQOL_Items'!U553)/7)</f>
        <v>10.285714285714286</v>
      </c>
      <c r="D553" s="4">
        <f>4*(((6-'01_WHOQOL_Items'!AF553) + (6-'01_WHOQOL_Items'!AG553) + '01_WHOQOL_Items'!AM553 + '01_WHOQOL_Items'!AR553 + '01_WHOQOL_Items'!AS553 + '01_WHOQOL_Items'!AT553 + '01_WHOQOL_Items'!AU553)/7)</f>
        <v>11.428571428571429</v>
      </c>
      <c r="E553" s="4">
        <f t="shared" si="120"/>
        <v>39.285714285714292</v>
      </c>
      <c r="F553" s="4">
        <f t="shared" si="121"/>
        <v>46.428571428571431</v>
      </c>
      <c r="G553" s="5">
        <f t="shared" si="122"/>
        <v>0.18181818181818168</v>
      </c>
      <c r="H553" s="4">
        <f>4*(('01_WHOQOL_Items'!H553 + '01_WHOQOL_Items'!I553 + '01_WHOQOL_Items'!J553 + '01_WHOQOL_Items'!N553 + '01_WHOQOL_Items'!V553 + (6-'01_WHOQOL_Items'!AC553))/6)</f>
        <v>8.6666666666666661</v>
      </c>
      <c r="I553" s="4">
        <f>4*(('01_WHOQOL_Items'!AH553 + '01_WHOQOL_Items'!AI553 + '01_WHOQOL_Items'!AJ553 + '01_WHOQOL_Items'!AN553 + '01_WHOQOL_Items'!AV553 + (6-'01_WHOQOL_Items'!BC553))/6)</f>
        <v>8.6666666666666661</v>
      </c>
      <c r="J553" s="4">
        <f t="shared" si="123"/>
        <v>29.166666666666664</v>
      </c>
      <c r="K553" s="4">
        <f t="shared" si="124"/>
        <v>29.166666666666664</v>
      </c>
      <c r="L553" s="5">
        <f t="shared" si="125"/>
        <v>0</v>
      </c>
      <c r="M553" s="4">
        <f>4*(('01_WHOQOL_Items'!W553 + '01_WHOQOL_Items'!X553 + '01_WHOQOL_Items'!Y553)/3)</f>
        <v>12</v>
      </c>
      <c r="N553" s="4">
        <f>4*(('01_WHOQOL_Items'!AW553 + '01_WHOQOL_Items'!AX553 + '01_WHOQOL_Items'!AY553)/3)</f>
        <v>14.666666666666666</v>
      </c>
      <c r="O553" s="4">
        <f t="shared" si="126"/>
        <v>50</v>
      </c>
      <c r="P553" s="4">
        <f t="shared" si="127"/>
        <v>66.666666666666657</v>
      </c>
      <c r="Q553" s="5">
        <f t="shared" si="128"/>
        <v>0.33333333333333315</v>
      </c>
      <c r="R553" s="4">
        <f>4*(('01_WHOQOL_Items'!K553 + '01_WHOQOL_Items'!L553 + '01_WHOQOL_Items'!O553 + '01_WHOQOL_Items'!P553 + '01_WHOQOL_Items'!Q553 + '01_WHOQOL_Items'!Z553 + '01_WHOQOL_Items'!AA553 + '01_WHOQOL_Items'!AB553)/8)</f>
        <v>10.5</v>
      </c>
      <c r="S553" s="4">
        <f>4*(('01_WHOQOL_Items'!AK553 + '01_WHOQOL_Items'!AL553 + '01_WHOQOL_Items'!AO553 + '01_WHOQOL_Items'!AP553 + '01_WHOQOL_Items'!AQ553 + '01_WHOQOL_Items'!AZ553 + '01_WHOQOL_Items'!BA553 + '01_WHOQOL_Items'!BB553)/8)</f>
        <v>10.5</v>
      </c>
      <c r="T553" s="4">
        <f t="shared" si="129"/>
        <v>40.625</v>
      </c>
      <c r="U553" s="4">
        <f t="shared" si="130"/>
        <v>40.625</v>
      </c>
      <c r="V553" s="5">
        <f t="shared" si="131"/>
        <v>0</v>
      </c>
      <c r="W553" s="4">
        <f t="shared" si="132"/>
        <v>39.769345238095241</v>
      </c>
      <c r="X553" s="4">
        <f t="shared" si="133"/>
        <v>45.72172619047619</v>
      </c>
      <c r="Y553" s="5">
        <f t="shared" si="134"/>
        <v>0.14967259120673518</v>
      </c>
      <c r="Z553" s="1">
        <f>'01_WHOQOL_Items'!D553</f>
        <v>2</v>
      </c>
      <c r="AA553" s="1">
        <f>'01_WHOQOL_Items'!AD553</f>
        <v>3</v>
      </c>
      <c r="AB553" s="1">
        <f>'01_WHOQOL_Items'!E553</f>
        <v>2</v>
      </c>
      <c r="AC553" s="1">
        <f>'01_WHOQOL_Items'!AE553</f>
        <v>3</v>
      </c>
    </row>
    <row r="554" spans="1:29">
      <c r="A554" s="1" t="str">
        <f>'01_WHOQOL_Items'!A554</f>
        <v>CON-272</v>
      </c>
      <c r="B554" s="1" t="str">
        <f>'01_WHOQOL_Items'!B554</f>
        <v>Control</v>
      </c>
      <c r="C554" s="4">
        <f>4*(((6-'01_WHOQOL_Items'!F554) + (6-'01_WHOQOL_Items'!G554) + '01_WHOQOL_Items'!M554 + '01_WHOQOL_Items'!R554 + '01_WHOQOL_Items'!S554 + '01_WHOQOL_Items'!T554 + '01_WHOQOL_Items'!U554)/7)</f>
        <v>15.428571428571429</v>
      </c>
      <c r="D554" s="4">
        <f>4*(((6-'01_WHOQOL_Items'!AF554) + (6-'01_WHOQOL_Items'!AG554) + '01_WHOQOL_Items'!AM554 + '01_WHOQOL_Items'!AR554 + '01_WHOQOL_Items'!AS554 + '01_WHOQOL_Items'!AT554 + '01_WHOQOL_Items'!AU554)/7)</f>
        <v>15.428571428571429</v>
      </c>
      <c r="E554" s="4">
        <f t="shared" si="120"/>
        <v>71.428571428571431</v>
      </c>
      <c r="F554" s="4">
        <f t="shared" si="121"/>
        <v>71.428571428571431</v>
      </c>
      <c r="G554" s="5">
        <f t="shared" si="122"/>
        <v>0</v>
      </c>
      <c r="H554" s="4">
        <f>4*(('01_WHOQOL_Items'!H554 + '01_WHOQOL_Items'!I554 + '01_WHOQOL_Items'!J554 + '01_WHOQOL_Items'!N554 + '01_WHOQOL_Items'!V554 + (6-'01_WHOQOL_Items'!AC554))/6)</f>
        <v>12</v>
      </c>
      <c r="I554" s="4">
        <f>4*(('01_WHOQOL_Items'!AH554 + '01_WHOQOL_Items'!AI554 + '01_WHOQOL_Items'!AJ554 + '01_WHOQOL_Items'!AN554 + '01_WHOQOL_Items'!AV554 + (6-'01_WHOQOL_Items'!BC554))/6)</f>
        <v>11.333333333333334</v>
      </c>
      <c r="J554" s="4">
        <f t="shared" si="123"/>
        <v>50</v>
      </c>
      <c r="K554" s="4">
        <f t="shared" si="124"/>
        <v>45.833333333333336</v>
      </c>
      <c r="L554" s="5">
        <f t="shared" si="125"/>
        <v>-8.3333333333333287E-2</v>
      </c>
      <c r="M554" s="4">
        <f>4*(('01_WHOQOL_Items'!W554 + '01_WHOQOL_Items'!X554 + '01_WHOQOL_Items'!Y554)/3)</f>
        <v>13.333333333333334</v>
      </c>
      <c r="N554" s="4">
        <f>4*(('01_WHOQOL_Items'!AW554 + '01_WHOQOL_Items'!AX554 + '01_WHOQOL_Items'!AY554)/3)</f>
        <v>17.333333333333332</v>
      </c>
      <c r="O554" s="4">
        <f t="shared" si="126"/>
        <v>58.333333333333336</v>
      </c>
      <c r="P554" s="4">
        <f t="shared" si="127"/>
        <v>83.333333333333329</v>
      </c>
      <c r="Q554" s="5">
        <f t="shared" si="128"/>
        <v>0.42857142857142844</v>
      </c>
      <c r="R554" s="4">
        <f>4*(('01_WHOQOL_Items'!K554 + '01_WHOQOL_Items'!L554 + '01_WHOQOL_Items'!O554 + '01_WHOQOL_Items'!P554 + '01_WHOQOL_Items'!Q554 + '01_WHOQOL_Items'!Z554 + '01_WHOQOL_Items'!AA554 + '01_WHOQOL_Items'!AB554)/8)</f>
        <v>11.5</v>
      </c>
      <c r="S554" s="4">
        <f>4*(('01_WHOQOL_Items'!AK554 + '01_WHOQOL_Items'!AL554 + '01_WHOQOL_Items'!AO554 + '01_WHOQOL_Items'!AP554 + '01_WHOQOL_Items'!AQ554 + '01_WHOQOL_Items'!AZ554 + '01_WHOQOL_Items'!BA554 + '01_WHOQOL_Items'!BB554)/8)</f>
        <v>12.5</v>
      </c>
      <c r="T554" s="4">
        <f t="shared" si="129"/>
        <v>46.875</v>
      </c>
      <c r="U554" s="4">
        <f t="shared" si="130"/>
        <v>53.125</v>
      </c>
      <c r="V554" s="5">
        <f t="shared" si="131"/>
        <v>0.13333333333333333</v>
      </c>
      <c r="W554" s="4">
        <f t="shared" si="132"/>
        <v>56.65922619047619</v>
      </c>
      <c r="X554" s="4">
        <f t="shared" si="133"/>
        <v>63.430059523809518</v>
      </c>
      <c r="Y554" s="5">
        <f t="shared" si="134"/>
        <v>0.11950098489822709</v>
      </c>
      <c r="Z554" s="1">
        <f>'01_WHOQOL_Items'!D554</f>
        <v>2</v>
      </c>
      <c r="AA554" s="1">
        <f>'01_WHOQOL_Items'!AD554</f>
        <v>3</v>
      </c>
      <c r="AB554" s="1">
        <f>'01_WHOQOL_Items'!E554</f>
        <v>4</v>
      </c>
      <c r="AC554" s="1">
        <f>'01_WHOQOL_Items'!AE554</f>
        <v>4</v>
      </c>
    </row>
    <row r="555" spans="1:29">
      <c r="A555" s="1" t="str">
        <f>'01_WHOQOL_Items'!A555</f>
        <v>CON-273</v>
      </c>
      <c r="B555" s="1" t="str">
        <f>'01_WHOQOL_Items'!B555</f>
        <v>Control</v>
      </c>
      <c r="C555" s="4">
        <f>4*(((6-'01_WHOQOL_Items'!F555) + (6-'01_WHOQOL_Items'!G555) + '01_WHOQOL_Items'!M555 + '01_WHOQOL_Items'!R555 + '01_WHOQOL_Items'!S555 + '01_WHOQOL_Items'!T555 + '01_WHOQOL_Items'!U555)/7)</f>
        <v>10.857142857142858</v>
      </c>
      <c r="D555" s="4">
        <f>4*(((6-'01_WHOQOL_Items'!AF555) + (6-'01_WHOQOL_Items'!AG555) + '01_WHOQOL_Items'!AM555 + '01_WHOQOL_Items'!AR555 + '01_WHOQOL_Items'!AS555 + '01_WHOQOL_Items'!AT555 + '01_WHOQOL_Items'!AU555)/7)</f>
        <v>11.428571428571429</v>
      </c>
      <c r="E555" s="4">
        <f t="shared" si="120"/>
        <v>42.857142857142861</v>
      </c>
      <c r="F555" s="4">
        <f t="shared" si="121"/>
        <v>46.428571428571431</v>
      </c>
      <c r="G555" s="5">
        <f t="shared" si="122"/>
        <v>8.3333333333333273E-2</v>
      </c>
      <c r="H555" s="4">
        <f>4*(('01_WHOQOL_Items'!H555 + '01_WHOQOL_Items'!I555 + '01_WHOQOL_Items'!J555 + '01_WHOQOL_Items'!N555 + '01_WHOQOL_Items'!V555 + (6-'01_WHOQOL_Items'!AC555))/6)</f>
        <v>11.333333333333334</v>
      </c>
      <c r="I555" s="4">
        <f>4*(('01_WHOQOL_Items'!AH555 + '01_WHOQOL_Items'!AI555 + '01_WHOQOL_Items'!AJ555 + '01_WHOQOL_Items'!AN555 + '01_WHOQOL_Items'!AV555 + (6-'01_WHOQOL_Items'!BC555))/6)</f>
        <v>12.666666666666666</v>
      </c>
      <c r="J555" s="4">
        <f t="shared" si="123"/>
        <v>45.833333333333336</v>
      </c>
      <c r="K555" s="4">
        <f t="shared" si="124"/>
        <v>54.166666666666664</v>
      </c>
      <c r="L555" s="5">
        <f t="shared" si="125"/>
        <v>0.18181818181818171</v>
      </c>
      <c r="M555" s="4">
        <f>4*(('01_WHOQOL_Items'!W555 + '01_WHOQOL_Items'!X555 + '01_WHOQOL_Items'!Y555)/3)</f>
        <v>12</v>
      </c>
      <c r="N555" s="4">
        <f>4*(('01_WHOQOL_Items'!AW555 + '01_WHOQOL_Items'!AX555 + '01_WHOQOL_Items'!AY555)/3)</f>
        <v>12</v>
      </c>
      <c r="O555" s="4">
        <f t="shared" si="126"/>
        <v>50</v>
      </c>
      <c r="P555" s="4">
        <f t="shared" si="127"/>
        <v>50</v>
      </c>
      <c r="Q555" s="5">
        <f t="shared" si="128"/>
        <v>0</v>
      </c>
      <c r="R555" s="4">
        <f>4*(('01_WHOQOL_Items'!K555 + '01_WHOQOL_Items'!L555 + '01_WHOQOL_Items'!O555 + '01_WHOQOL_Items'!P555 + '01_WHOQOL_Items'!Q555 + '01_WHOQOL_Items'!Z555 + '01_WHOQOL_Items'!AA555 + '01_WHOQOL_Items'!AB555)/8)</f>
        <v>12.5</v>
      </c>
      <c r="S555" s="4">
        <f>4*(('01_WHOQOL_Items'!AK555 + '01_WHOQOL_Items'!AL555 + '01_WHOQOL_Items'!AO555 + '01_WHOQOL_Items'!AP555 + '01_WHOQOL_Items'!AQ555 + '01_WHOQOL_Items'!AZ555 + '01_WHOQOL_Items'!BA555 + '01_WHOQOL_Items'!BB555)/8)</f>
        <v>12</v>
      </c>
      <c r="T555" s="4">
        <f t="shared" si="129"/>
        <v>53.125</v>
      </c>
      <c r="U555" s="4">
        <f t="shared" si="130"/>
        <v>50</v>
      </c>
      <c r="V555" s="5">
        <f t="shared" si="131"/>
        <v>-5.8823529411764705E-2</v>
      </c>
      <c r="W555" s="4">
        <f t="shared" si="132"/>
        <v>47.953869047619051</v>
      </c>
      <c r="X555" s="4">
        <f t="shared" si="133"/>
        <v>50.148809523809526</v>
      </c>
      <c r="Y555" s="5">
        <f t="shared" si="134"/>
        <v>4.5771916214119433E-2</v>
      </c>
      <c r="Z555" s="1">
        <f>'01_WHOQOL_Items'!D555</f>
        <v>3</v>
      </c>
      <c r="AA555" s="1">
        <f>'01_WHOQOL_Items'!AD555</f>
        <v>3</v>
      </c>
      <c r="AB555" s="1">
        <f>'01_WHOQOL_Items'!E555</f>
        <v>2</v>
      </c>
      <c r="AC555" s="1">
        <f>'01_WHOQOL_Items'!AE555</f>
        <v>4</v>
      </c>
    </row>
    <row r="556" spans="1:29">
      <c r="A556" s="1" t="str">
        <f>'01_WHOQOL_Items'!A556</f>
        <v>CON-274</v>
      </c>
      <c r="B556" s="1" t="str">
        <f>'01_WHOQOL_Items'!B556</f>
        <v>Control</v>
      </c>
      <c r="C556" s="4">
        <f>4*(((6-'01_WHOQOL_Items'!F556) + (6-'01_WHOQOL_Items'!G556) + '01_WHOQOL_Items'!M556 + '01_WHOQOL_Items'!R556 + '01_WHOQOL_Items'!S556 + '01_WHOQOL_Items'!T556 + '01_WHOQOL_Items'!U556)/7)</f>
        <v>18.857142857142858</v>
      </c>
      <c r="D556" s="4">
        <f>4*(((6-'01_WHOQOL_Items'!AF556) + (6-'01_WHOQOL_Items'!AG556) + '01_WHOQOL_Items'!AM556 + '01_WHOQOL_Items'!AR556 + '01_WHOQOL_Items'!AS556 + '01_WHOQOL_Items'!AT556 + '01_WHOQOL_Items'!AU556)/7)</f>
        <v>19.428571428571427</v>
      </c>
      <c r="E556" s="4">
        <f t="shared" si="120"/>
        <v>92.857142857142861</v>
      </c>
      <c r="F556" s="4">
        <f t="shared" si="121"/>
        <v>96.428571428571416</v>
      </c>
      <c r="G556" s="5">
        <f t="shared" si="122"/>
        <v>3.8461538461538283E-2</v>
      </c>
      <c r="H556" s="4">
        <f>4*(('01_WHOQOL_Items'!H556 + '01_WHOQOL_Items'!I556 + '01_WHOQOL_Items'!J556 + '01_WHOQOL_Items'!N556 + '01_WHOQOL_Items'!V556 + (6-'01_WHOQOL_Items'!AC556))/6)</f>
        <v>14.666666666666666</v>
      </c>
      <c r="I556" s="4">
        <f>4*(('01_WHOQOL_Items'!AH556 + '01_WHOQOL_Items'!AI556 + '01_WHOQOL_Items'!AJ556 + '01_WHOQOL_Items'!AN556 + '01_WHOQOL_Items'!AV556 + (6-'01_WHOQOL_Items'!BC556))/6)</f>
        <v>15.333333333333334</v>
      </c>
      <c r="J556" s="4">
        <f t="shared" si="123"/>
        <v>66.666666666666657</v>
      </c>
      <c r="K556" s="4">
        <f t="shared" si="124"/>
        <v>70.833333333333343</v>
      </c>
      <c r="L556" s="5">
        <f t="shared" si="125"/>
        <v>6.2500000000000291E-2</v>
      </c>
      <c r="M556" s="4">
        <f>4*(('01_WHOQOL_Items'!W556 + '01_WHOQOL_Items'!X556 + '01_WHOQOL_Items'!Y556)/3)</f>
        <v>10.666666666666666</v>
      </c>
      <c r="N556" s="4">
        <f>4*(('01_WHOQOL_Items'!AW556 + '01_WHOQOL_Items'!AX556 + '01_WHOQOL_Items'!AY556)/3)</f>
        <v>12</v>
      </c>
      <c r="O556" s="4">
        <f t="shared" si="126"/>
        <v>41.666666666666664</v>
      </c>
      <c r="P556" s="4">
        <f t="shared" si="127"/>
        <v>50</v>
      </c>
      <c r="Q556" s="5">
        <f t="shared" si="128"/>
        <v>0.20000000000000007</v>
      </c>
      <c r="R556" s="4">
        <f>4*(('01_WHOQOL_Items'!K556 + '01_WHOQOL_Items'!L556 + '01_WHOQOL_Items'!O556 + '01_WHOQOL_Items'!P556 + '01_WHOQOL_Items'!Q556 + '01_WHOQOL_Items'!Z556 + '01_WHOQOL_Items'!AA556 + '01_WHOQOL_Items'!AB556)/8)</f>
        <v>10</v>
      </c>
      <c r="S556" s="4">
        <f>4*(('01_WHOQOL_Items'!AK556 + '01_WHOQOL_Items'!AL556 + '01_WHOQOL_Items'!AO556 + '01_WHOQOL_Items'!AP556 + '01_WHOQOL_Items'!AQ556 + '01_WHOQOL_Items'!AZ556 + '01_WHOQOL_Items'!BA556 + '01_WHOQOL_Items'!BB556)/8)</f>
        <v>10.5</v>
      </c>
      <c r="T556" s="4">
        <f t="shared" si="129"/>
        <v>37.5</v>
      </c>
      <c r="U556" s="4">
        <f t="shared" si="130"/>
        <v>40.625</v>
      </c>
      <c r="V556" s="5">
        <f t="shared" si="131"/>
        <v>8.3333333333333329E-2</v>
      </c>
      <c r="W556" s="4">
        <f t="shared" si="132"/>
        <v>59.672619047619044</v>
      </c>
      <c r="X556" s="4">
        <f t="shared" si="133"/>
        <v>64.47172619047619</v>
      </c>
      <c r="Y556" s="5">
        <f t="shared" si="134"/>
        <v>8.0423940149625991E-2</v>
      </c>
      <c r="Z556" s="1">
        <f>'01_WHOQOL_Items'!D556</f>
        <v>3</v>
      </c>
      <c r="AA556" s="1">
        <f>'01_WHOQOL_Items'!AD556</f>
        <v>3</v>
      </c>
      <c r="AB556" s="1">
        <f>'01_WHOQOL_Items'!E556</f>
        <v>5</v>
      </c>
      <c r="AC556" s="1">
        <f>'01_WHOQOL_Items'!AE556</f>
        <v>5</v>
      </c>
    </row>
    <row r="557" spans="1:29">
      <c r="A557" s="1" t="str">
        <f>'01_WHOQOL_Items'!A557</f>
        <v>CON-275</v>
      </c>
      <c r="B557" s="1" t="str">
        <f>'01_WHOQOL_Items'!B557</f>
        <v>Control</v>
      </c>
      <c r="C557" s="4">
        <f>4*(((6-'01_WHOQOL_Items'!F557) + (6-'01_WHOQOL_Items'!G557) + '01_WHOQOL_Items'!M557 + '01_WHOQOL_Items'!R557 + '01_WHOQOL_Items'!S557 + '01_WHOQOL_Items'!T557 + '01_WHOQOL_Items'!U557)/7)</f>
        <v>12.571428571428571</v>
      </c>
      <c r="D557" s="4">
        <f>4*(((6-'01_WHOQOL_Items'!AF557) + (6-'01_WHOQOL_Items'!AG557) + '01_WHOQOL_Items'!AM557 + '01_WHOQOL_Items'!AR557 + '01_WHOQOL_Items'!AS557 + '01_WHOQOL_Items'!AT557 + '01_WHOQOL_Items'!AU557)/7)</f>
        <v>13.142857142857142</v>
      </c>
      <c r="E557" s="4">
        <f t="shared" si="120"/>
        <v>53.571428571428569</v>
      </c>
      <c r="F557" s="4">
        <f t="shared" si="121"/>
        <v>57.142857142857139</v>
      </c>
      <c r="G557" s="5">
        <f t="shared" si="122"/>
        <v>6.6666666666666638E-2</v>
      </c>
      <c r="H557" s="4">
        <f>4*(('01_WHOQOL_Items'!H557 + '01_WHOQOL_Items'!I557 + '01_WHOQOL_Items'!J557 + '01_WHOQOL_Items'!N557 + '01_WHOQOL_Items'!V557 + (6-'01_WHOQOL_Items'!AC557))/6)</f>
        <v>11.333333333333334</v>
      </c>
      <c r="I557" s="4">
        <f>4*(('01_WHOQOL_Items'!AH557 + '01_WHOQOL_Items'!AI557 + '01_WHOQOL_Items'!AJ557 + '01_WHOQOL_Items'!AN557 + '01_WHOQOL_Items'!AV557 + (6-'01_WHOQOL_Items'!BC557))/6)</f>
        <v>13.333333333333334</v>
      </c>
      <c r="J557" s="4">
        <f t="shared" si="123"/>
        <v>45.833333333333336</v>
      </c>
      <c r="K557" s="4">
        <f t="shared" si="124"/>
        <v>58.333333333333336</v>
      </c>
      <c r="L557" s="5">
        <f t="shared" si="125"/>
        <v>0.27272727272727271</v>
      </c>
      <c r="M557" s="4">
        <f>4*(('01_WHOQOL_Items'!W557 + '01_WHOQOL_Items'!X557 + '01_WHOQOL_Items'!Y557)/3)</f>
        <v>12</v>
      </c>
      <c r="N557" s="4">
        <f>4*(('01_WHOQOL_Items'!AW557 + '01_WHOQOL_Items'!AX557 + '01_WHOQOL_Items'!AY557)/3)</f>
        <v>9.3333333333333339</v>
      </c>
      <c r="O557" s="4">
        <f t="shared" si="126"/>
        <v>50</v>
      </c>
      <c r="P557" s="4">
        <f t="shared" si="127"/>
        <v>33.333333333333336</v>
      </c>
      <c r="Q557" s="5">
        <f t="shared" si="128"/>
        <v>-0.33333333333333326</v>
      </c>
      <c r="R557" s="4">
        <f>4*(('01_WHOQOL_Items'!K557 + '01_WHOQOL_Items'!L557 + '01_WHOQOL_Items'!O557 + '01_WHOQOL_Items'!P557 + '01_WHOQOL_Items'!Q557 + '01_WHOQOL_Items'!Z557 + '01_WHOQOL_Items'!AA557 + '01_WHOQOL_Items'!AB557)/8)</f>
        <v>11.5</v>
      </c>
      <c r="S557" s="4">
        <f>4*(('01_WHOQOL_Items'!AK557 + '01_WHOQOL_Items'!AL557 + '01_WHOQOL_Items'!AO557 + '01_WHOQOL_Items'!AP557 + '01_WHOQOL_Items'!AQ557 + '01_WHOQOL_Items'!AZ557 + '01_WHOQOL_Items'!BA557 + '01_WHOQOL_Items'!BB557)/8)</f>
        <v>10</v>
      </c>
      <c r="T557" s="4">
        <f t="shared" si="129"/>
        <v>46.875</v>
      </c>
      <c r="U557" s="4">
        <f t="shared" si="130"/>
        <v>37.5</v>
      </c>
      <c r="V557" s="5">
        <f t="shared" si="131"/>
        <v>-0.2</v>
      </c>
      <c r="W557" s="4">
        <f t="shared" si="132"/>
        <v>49.069940476190474</v>
      </c>
      <c r="X557" s="4">
        <f t="shared" si="133"/>
        <v>46.577380952380956</v>
      </c>
      <c r="Y557" s="5">
        <f t="shared" si="134"/>
        <v>-5.0796057619408537E-2</v>
      </c>
      <c r="Z557" s="1">
        <f>'01_WHOQOL_Items'!D557</f>
        <v>2</v>
      </c>
      <c r="AA557" s="1">
        <f>'01_WHOQOL_Items'!AD557</f>
        <v>3</v>
      </c>
      <c r="AB557" s="1">
        <f>'01_WHOQOL_Items'!E557</f>
        <v>3</v>
      </c>
      <c r="AC557" s="1">
        <f>'01_WHOQOL_Items'!AE557</f>
        <v>3</v>
      </c>
    </row>
    <row r="558" spans="1:29">
      <c r="A558" s="1" t="str">
        <f>'01_WHOQOL_Items'!A558</f>
        <v>CON-276</v>
      </c>
      <c r="B558" s="1" t="str">
        <f>'01_WHOQOL_Items'!B558</f>
        <v>Control</v>
      </c>
      <c r="C558" s="4">
        <f>4*(((6-'01_WHOQOL_Items'!F558) + (6-'01_WHOQOL_Items'!G558) + '01_WHOQOL_Items'!M558 + '01_WHOQOL_Items'!R558 + '01_WHOQOL_Items'!S558 + '01_WHOQOL_Items'!T558 + '01_WHOQOL_Items'!U558)/7)</f>
        <v>14.285714285714286</v>
      </c>
      <c r="D558" s="4">
        <f>4*(((6-'01_WHOQOL_Items'!AF558) + (6-'01_WHOQOL_Items'!AG558) + '01_WHOQOL_Items'!AM558 + '01_WHOQOL_Items'!AR558 + '01_WHOQOL_Items'!AS558 + '01_WHOQOL_Items'!AT558 + '01_WHOQOL_Items'!AU558)/7)</f>
        <v>13.714285714285714</v>
      </c>
      <c r="E558" s="4">
        <f t="shared" si="120"/>
        <v>64.285714285714292</v>
      </c>
      <c r="F558" s="4">
        <f t="shared" si="121"/>
        <v>60.714285714285708</v>
      </c>
      <c r="G558" s="5">
        <f t="shared" si="122"/>
        <v>-5.555555555555574E-2</v>
      </c>
      <c r="H558" s="4">
        <f>4*(('01_WHOQOL_Items'!H558 + '01_WHOQOL_Items'!I558 + '01_WHOQOL_Items'!J558 + '01_WHOQOL_Items'!N558 + '01_WHOQOL_Items'!V558 + (6-'01_WHOQOL_Items'!AC558))/6)</f>
        <v>12</v>
      </c>
      <c r="I558" s="4">
        <f>4*(('01_WHOQOL_Items'!AH558 + '01_WHOQOL_Items'!AI558 + '01_WHOQOL_Items'!AJ558 + '01_WHOQOL_Items'!AN558 + '01_WHOQOL_Items'!AV558 + (6-'01_WHOQOL_Items'!BC558))/6)</f>
        <v>14</v>
      </c>
      <c r="J558" s="4">
        <f t="shared" si="123"/>
        <v>50</v>
      </c>
      <c r="K558" s="4">
        <f t="shared" si="124"/>
        <v>62.5</v>
      </c>
      <c r="L558" s="5">
        <f t="shared" si="125"/>
        <v>0.25</v>
      </c>
      <c r="M558" s="4">
        <f>4*(('01_WHOQOL_Items'!W558 + '01_WHOQOL_Items'!X558 + '01_WHOQOL_Items'!Y558)/3)</f>
        <v>8</v>
      </c>
      <c r="N558" s="4">
        <f>4*(('01_WHOQOL_Items'!AW558 + '01_WHOQOL_Items'!AX558 + '01_WHOQOL_Items'!AY558)/3)</f>
        <v>9.3333333333333339</v>
      </c>
      <c r="O558" s="4">
        <f t="shared" si="126"/>
        <v>25</v>
      </c>
      <c r="P558" s="4">
        <f t="shared" si="127"/>
        <v>33.333333333333336</v>
      </c>
      <c r="Q558" s="5">
        <f t="shared" si="128"/>
        <v>0.33333333333333343</v>
      </c>
      <c r="R558" s="4">
        <f>4*(('01_WHOQOL_Items'!K558 + '01_WHOQOL_Items'!L558 + '01_WHOQOL_Items'!O558 + '01_WHOQOL_Items'!P558 + '01_WHOQOL_Items'!Q558 + '01_WHOQOL_Items'!Z558 + '01_WHOQOL_Items'!AA558 + '01_WHOQOL_Items'!AB558)/8)</f>
        <v>14.5</v>
      </c>
      <c r="S558" s="4">
        <f>4*(('01_WHOQOL_Items'!AK558 + '01_WHOQOL_Items'!AL558 + '01_WHOQOL_Items'!AO558 + '01_WHOQOL_Items'!AP558 + '01_WHOQOL_Items'!AQ558 + '01_WHOQOL_Items'!AZ558 + '01_WHOQOL_Items'!BA558 + '01_WHOQOL_Items'!BB558)/8)</f>
        <v>14.5</v>
      </c>
      <c r="T558" s="4">
        <f t="shared" si="129"/>
        <v>65.625</v>
      </c>
      <c r="U558" s="4">
        <f t="shared" si="130"/>
        <v>65.625</v>
      </c>
      <c r="V558" s="5">
        <f t="shared" si="131"/>
        <v>0</v>
      </c>
      <c r="W558" s="4">
        <f t="shared" si="132"/>
        <v>51.227678571428569</v>
      </c>
      <c r="X558" s="4">
        <f t="shared" si="133"/>
        <v>55.543154761904759</v>
      </c>
      <c r="Y558" s="5">
        <f t="shared" si="134"/>
        <v>8.424110384894698E-2</v>
      </c>
      <c r="Z558" s="1">
        <f>'01_WHOQOL_Items'!D558</f>
        <v>3</v>
      </c>
      <c r="AA558" s="1">
        <f>'01_WHOQOL_Items'!AD558</f>
        <v>2</v>
      </c>
      <c r="AB558" s="1">
        <f>'01_WHOQOL_Items'!E558</f>
        <v>2</v>
      </c>
      <c r="AC558" s="1">
        <f>'01_WHOQOL_Items'!AE558</f>
        <v>3</v>
      </c>
    </row>
    <row r="559" spans="1:29">
      <c r="A559" s="1" t="str">
        <f>'01_WHOQOL_Items'!A559</f>
        <v>CON-277</v>
      </c>
      <c r="B559" s="1" t="str">
        <f>'01_WHOQOL_Items'!B559</f>
        <v>Control</v>
      </c>
      <c r="C559" s="4">
        <f>4*(((6-'01_WHOQOL_Items'!F559) + (6-'01_WHOQOL_Items'!G559) + '01_WHOQOL_Items'!M559 + '01_WHOQOL_Items'!R559 + '01_WHOQOL_Items'!S559 + '01_WHOQOL_Items'!T559 + '01_WHOQOL_Items'!U559)/7)</f>
        <v>10.285714285714286</v>
      </c>
      <c r="D559" s="4">
        <f>4*(((6-'01_WHOQOL_Items'!AF559) + (6-'01_WHOQOL_Items'!AG559) + '01_WHOQOL_Items'!AM559 + '01_WHOQOL_Items'!AR559 + '01_WHOQOL_Items'!AS559 + '01_WHOQOL_Items'!AT559 + '01_WHOQOL_Items'!AU559)/7)</f>
        <v>11.428571428571429</v>
      </c>
      <c r="E559" s="4">
        <f t="shared" si="120"/>
        <v>39.285714285714292</v>
      </c>
      <c r="F559" s="4">
        <f t="shared" si="121"/>
        <v>46.428571428571431</v>
      </c>
      <c r="G559" s="5">
        <f t="shared" si="122"/>
        <v>0.18181818181818168</v>
      </c>
      <c r="H559" s="4">
        <f>4*(('01_WHOQOL_Items'!H559 + '01_WHOQOL_Items'!I559 + '01_WHOQOL_Items'!J559 + '01_WHOQOL_Items'!N559 + '01_WHOQOL_Items'!V559 + (6-'01_WHOQOL_Items'!AC559))/6)</f>
        <v>12.666666666666666</v>
      </c>
      <c r="I559" s="4">
        <f>4*(('01_WHOQOL_Items'!AH559 + '01_WHOQOL_Items'!AI559 + '01_WHOQOL_Items'!AJ559 + '01_WHOQOL_Items'!AN559 + '01_WHOQOL_Items'!AV559 + (6-'01_WHOQOL_Items'!BC559))/6)</f>
        <v>12</v>
      </c>
      <c r="J559" s="4">
        <f t="shared" si="123"/>
        <v>54.166666666666664</v>
      </c>
      <c r="K559" s="4">
        <f t="shared" si="124"/>
        <v>50</v>
      </c>
      <c r="L559" s="5">
        <f t="shared" si="125"/>
        <v>-7.6923076923076886E-2</v>
      </c>
      <c r="M559" s="4">
        <f>4*(('01_WHOQOL_Items'!W559 + '01_WHOQOL_Items'!X559 + '01_WHOQOL_Items'!Y559)/3)</f>
        <v>12</v>
      </c>
      <c r="N559" s="4">
        <f>4*(('01_WHOQOL_Items'!AW559 + '01_WHOQOL_Items'!AX559 + '01_WHOQOL_Items'!AY559)/3)</f>
        <v>13.333333333333334</v>
      </c>
      <c r="O559" s="4">
        <f t="shared" si="126"/>
        <v>50</v>
      </c>
      <c r="P559" s="4">
        <f t="shared" si="127"/>
        <v>58.333333333333336</v>
      </c>
      <c r="Q559" s="5">
        <f t="shared" si="128"/>
        <v>0.16666666666666671</v>
      </c>
      <c r="R559" s="4">
        <f>4*(('01_WHOQOL_Items'!K559 + '01_WHOQOL_Items'!L559 + '01_WHOQOL_Items'!O559 + '01_WHOQOL_Items'!P559 + '01_WHOQOL_Items'!Q559 + '01_WHOQOL_Items'!Z559 + '01_WHOQOL_Items'!AA559 + '01_WHOQOL_Items'!AB559)/8)</f>
        <v>12.5</v>
      </c>
      <c r="S559" s="4">
        <f>4*(('01_WHOQOL_Items'!AK559 + '01_WHOQOL_Items'!AL559 + '01_WHOQOL_Items'!AO559 + '01_WHOQOL_Items'!AP559 + '01_WHOQOL_Items'!AQ559 + '01_WHOQOL_Items'!AZ559 + '01_WHOQOL_Items'!BA559 + '01_WHOQOL_Items'!BB559)/8)</f>
        <v>14</v>
      </c>
      <c r="T559" s="4">
        <f t="shared" si="129"/>
        <v>53.125</v>
      </c>
      <c r="U559" s="4">
        <f t="shared" si="130"/>
        <v>62.5</v>
      </c>
      <c r="V559" s="5">
        <f t="shared" si="131"/>
        <v>0.17647058823529413</v>
      </c>
      <c r="W559" s="4">
        <f t="shared" si="132"/>
        <v>49.144345238095241</v>
      </c>
      <c r="X559" s="4">
        <f t="shared" si="133"/>
        <v>54.31547619047619</v>
      </c>
      <c r="Y559" s="5">
        <f t="shared" si="134"/>
        <v>0.10522331566994693</v>
      </c>
      <c r="Z559" s="1">
        <f>'01_WHOQOL_Items'!D559</f>
        <v>3</v>
      </c>
      <c r="AA559" s="1">
        <f>'01_WHOQOL_Items'!AD559</f>
        <v>2</v>
      </c>
      <c r="AB559" s="1">
        <f>'01_WHOQOL_Items'!E559</f>
        <v>3</v>
      </c>
      <c r="AC559" s="1">
        <f>'01_WHOQOL_Items'!AE559</f>
        <v>4</v>
      </c>
    </row>
    <row r="560" spans="1:29">
      <c r="A560" s="1" t="str">
        <f>'01_WHOQOL_Items'!A560</f>
        <v>CON-278</v>
      </c>
      <c r="B560" s="1" t="str">
        <f>'01_WHOQOL_Items'!B560</f>
        <v>Control</v>
      </c>
      <c r="C560" s="4">
        <f>4*(((6-'01_WHOQOL_Items'!F560) + (6-'01_WHOQOL_Items'!G560) + '01_WHOQOL_Items'!M560 + '01_WHOQOL_Items'!R560 + '01_WHOQOL_Items'!S560 + '01_WHOQOL_Items'!T560 + '01_WHOQOL_Items'!U560)/7)</f>
        <v>7.4285714285714288</v>
      </c>
      <c r="D560" s="4">
        <f>4*(((6-'01_WHOQOL_Items'!AF560) + (6-'01_WHOQOL_Items'!AG560) + '01_WHOQOL_Items'!AM560 + '01_WHOQOL_Items'!AR560 + '01_WHOQOL_Items'!AS560 + '01_WHOQOL_Items'!AT560 + '01_WHOQOL_Items'!AU560)/7)</f>
        <v>10.285714285714286</v>
      </c>
      <c r="E560" s="4">
        <f t="shared" si="120"/>
        <v>21.428571428571431</v>
      </c>
      <c r="F560" s="4">
        <f t="shared" si="121"/>
        <v>39.285714285714292</v>
      </c>
      <c r="G560" s="5">
        <f t="shared" si="122"/>
        <v>0.83333333333333348</v>
      </c>
      <c r="H560" s="4">
        <f>4*(('01_WHOQOL_Items'!H560 + '01_WHOQOL_Items'!I560 + '01_WHOQOL_Items'!J560 + '01_WHOQOL_Items'!N560 + '01_WHOQOL_Items'!V560 + (6-'01_WHOQOL_Items'!AC560))/6)</f>
        <v>14</v>
      </c>
      <c r="I560" s="4">
        <f>4*(('01_WHOQOL_Items'!AH560 + '01_WHOQOL_Items'!AI560 + '01_WHOQOL_Items'!AJ560 + '01_WHOQOL_Items'!AN560 + '01_WHOQOL_Items'!AV560 + (6-'01_WHOQOL_Items'!BC560))/6)</f>
        <v>14.666666666666666</v>
      </c>
      <c r="J560" s="4">
        <f t="shared" si="123"/>
        <v>62.5</v>
      </c>
      <c r="K560" s="4">
        <f t="shared" si="124"/>
        <v>66.666666666666657</v>
      </c>
      <c r="L560" s="5">
        <f t="shared" si="125"/>
        <v>6.6666666666666513E-2</v>
      </c>
      <c r="M560" s="4">
        <f>4*(('01_WHOQOL_Items'!W560 + '01_WHOQOL_Items'!X560 + '01_WHOQOL_Items'!Y560)/3)</f>
        <v>12</v>
      </c>
      <c r="N560" s="4">
        <f>4*(('01_WHOQOL_Items'!AW560 + '01_WHOQOL_Items'!AX560 + '01_WHOQOL_Items'!AY560)/3)</f>
        <v>10.666666666666666</v>
      </c>
      <c r="O560" s="4">
        <f t="shared" si="126"/>
        <v>50</v>
      </c>
      <c r="P560" s="4">
        <f t="shared" si="127"/>
        <v>41.666666666666664</v>
      </c>
      <c r="Q560" s="5">
        <f t="shared" si="128"/>
        <v>-0.16666666666666671</v>
      </c>
      <c r="R560" s="4">
        <f>4*(('01_WHOQOL_Items'!K560 + '01_WHOQOL_Items'!L560 + '01_WHOQOL_Items'!O560 + '01_WHOQOL_Items'!P560 + '01_WHOQOL_Items'!Q560 + '01_WHOQOL_Items'!Z560 + '01_WHOQOL_Items'!AA560 + '01_WHOQOL_Items'!AB560)/8)</f>
        <v>10</v>
      </c>
      <c r="S560" s="4">
        <f>4*(('01_WHOQOL_Items'!AK560 + '01_WHOQOL_Items'!AL560 + '01_WHOQOL_Items'!AO560 + '01_WHOQOL_Items'!AP560 + '01_WHOQOL_Items'!AQ560 + '01_WHOQOL_Items'!AZ560 + '01_WHOQOL_Items'!BA560 + '01_WHOQOL_Items'!BB560)/8)</f>
        <v>14</v>
      </c>
      <c r="T560" s="4">
        <f t="shared" si="129"/>
        <v>37.5</v>
      </c>
      <c r="U560" s="4">
        <f t="shared" si="130"/>
        <v>62.5</v>
      </c>
      <c r="V560" s="5">
        <f t="shared" si="131"/>
        <v>0.66666666666666663</v>
      </c>
      <c r="W560" s="4">
        <f t="shared" si="132"/>
        <v>42.857142857142861</v>
      </c>
      <c r="X560" s="4">
        <f t="shared" si="133"/>
        <v>52.529761904761905</v>
      </c>
      <c r="Y560" s="5">
        <f t="shared" si="134"/>
        <v>0.22569444444444434</v>
      </c>
      <c r="Z560" s="1">
        <f>'01_WHOQOL_Items'!D560</f>
        <v>2</v>
      </c>
      <c r="AA560" s="1">
        <f>'01_WHOQOL_Items'!AD560</f>
        <v>4</v>
      </c>
      <c r="AB560" s="1">
        <f>'01_WHOQOL_Items'!E560</f>
        <v>2</v>
      </c>
      <c r="AC560" s="1">
        <f>'01_WHOQOL_Items'!AE560</f>
        <v>2</v>
      </c>
    </row>
    <row r="561" spans="1:29">
      <c r="A561" s="1" t="str">
        <f>'01_WHOQOL_Items'!A561</f>
        <v>CON-279</v>
      </c>
      <c r="B561" s="1" t="str">
        <f>'01_WHOQOL_Items'!B561</f>
        <v>Control</v>
      </c>
      <c r="C561" s="4">
        <f>4*(((6-'01_WHOQOL_Items'!F561) + (6-'01_WHOQOL_Items'!G561) + '01_WHOQOL_Items'!M561 + '01_WHOQOL_Items'!R561 + '01_WHOQOL_Items'!S561 + '01_WHOQOL_Items'!T561 + '01_WHOQOL_Items'!U561)/7)</f>
        <v>12</v>
      </c>
      <c r="D561" s="4">
        <f>4*(((6-'01_WHOQOL_Items'!AF561) + (6-'01_WHOQOL_Items'!AG561) + '01_WHOQOL_Items'!AM561 + '01_WHOQOL_Items'!AR561 + '01_WHOQOL_Items'!AS561 + '01_WHOQOL_Items'!AT561 + '01_WHOQOL_Items'!AU561)/7)</f>
        <v>12</v>
      </c>
      <c r="E561" s="4">
        <f t="shared" si="120"/>
        <v>50</v>
      </c>
      <c r="F561" s="4">
        <f t="shared" si="121"/>
        <v>50</v>
      </c>
      <c r="G561" s="5">
        <f t="shared" si="122"/>
        <v>0</v>
      </c>
      <c r="H561" s="4">
        <f>4*(('01_WHOQOL_Items'!H561 + '01_WHOQOL_Items'!I561 + '01_WHOQOL_Items'!J561 + '01_WHOQOL_Items'!N561 + '01_WHOQOL_Items'!V561 + (6-'01_WHOQOL_Items'!AC561))/6)</f>
        <v>10.666666666666666</v>
      </c>
      <c r="I561" s="4">
        <f>4*(('01_WHOQOL_Items'!AH561 + '01_WHOQOL_Items'!AI561 + '01_WHOQOL_Items'!AJ561 + '01_WHOQOL_Items'!AN561 + '01_WHOQOL_Items'!AV561 + (6-'01_WHOQOL_Items'!BC561))/6)</f>
        <v>10</v>
      </c>
      <c r="J561" s="4">
        <f t="shared" si="123"/>
        <v>41.666666666666664</v>
      </c>
      <c r="K561" s="4">
        <f t="shared" si="124"/>
        <v>37.5</v>
      </c>
      <c r="L561" s="5">
        <f t="shared" si="125"/>
        <v>-9.999999999999995E-2</v>
      </c>
      <c r="M561" s="4">
        <f>4*(('01_WHOQOL_Items'!W561 + '01_WHOQOL_Items'!X561 + '01_WHOQOL_Items'!Y561)/3)</f>
        <v>10.666666666666666</v>
      </c>
      <c r="N561" s="4">
        <f>4*(('01_WHOQOL_Items'!AW561 + '01_WHOQOL_Items'!AX561 + '01_WHOQOL_Items'!AY561)/3)</f>
        <v>10.666666666666666</v>
      </c>
      <c r="O561" s="4">
        <f t="shared" si="126"/>
        <v>41.666666666666664</v>
      </c>
      <c r="P561" s="4">
        <f t="shared" si="127"/>
        <v>41.666666666666664</v>
      </c>
      <c r="Q561" s="5">
        <f t="shared" si="128"/>
        <v>0</v>
      </c>
      <c r="R561" s="4">
        <f>4*(('01_WHOQOL_Items'!K561 + '01_WHOQOL_Items'!L561 + '01_WHOQOL_Items'!O561 + '01_WHOQOL_Items'!P561 + '01_WHOQOL_Items'!Q561 + '01_WHOQOL_Items'!Z561 + '01_WHOQOL_Items'!AA561 + '01_WHOQOL_Items'!AB561)/8)</f>
        <v>12.5</v>
      </c>
      <c r="S561" s="4">
        <f>4*(('01_WHOQOL_Items'!AK561 + '01_WHOQOL_Items'!AL561 + '01_WHOQOL_Items'!AO561 + '01_WHOQOL_Items'!AP561 + '01_WHOQOL_Items'!AQ561 + '01_WHOQOL_Items'!AZ561 + '01_WHOQOL_Items'!BA561 + '01_WHOQOL_Items'!BB561)/8)</f>
        <v>11</v>
      </c>
      <c r="T561" s="4">
        <f t="shared" si="129"/>
        <v>53.125</v>
      </c>
      <c r="U561" s="4">
        <f t="shared" si="130"/>
        <v>43.75</v>
      </c>
      <c r="V561" s="5">
        <f t="shared" si="131"/>
        <v>-0.17647058823529413</v>
      </c>
      <c r="W561" s="4">
        <f t="shared" si="132"/>
        <v>46.614583333333329</v>
      </c>
      <c r="X561" s="4">
        <f t="shared" si="133"/>
        <v>43.229166666666664</v>
      </c>
      <c r="Y561" s="5">
        <f t="shared" si="134"/>
        <v>-7.2625698324022298E-2</v>
      </c>
      <c r="Z561" s="1">
        <f>'01_WHOQOL_Items'!D561</f>
        <v>3</v>
      </c>
      <c r="AA561" s="1">
        <f>'01_WHOQOL_Items'!AD561</f>
        <v>3</v>
      </c>
      <c r="AB561" s="1">
        <f>'01_WHOQOL_Items'!E561</f>
        <v>3</v>
      </c>
      <c r="AC561" s="1">
        <f>'01_WHOQOL_Items'!AE561</f>
        <v>4</v>
      </c>
    </row>
    <row r="562" spans="1:29">
      <c r="A562" s="1" t="str">
        <f>'01_WHOQOL_Items'!A562</f>
        <v>CON-280</v>
      </c>
      <c r="B562" s="1" t="str">
        <f>'01_WHOQOL_Items'!B562</f>
        <v>Control</v>
      </c>
      <c r="C562" s="4">
        <f>4*(((6-'01_WHOQOL_Items'!F562) + (6-'01_WHOQOL_Items'!G562) + '01_WHOQOL_Items'!M562 + '01_WHOQOL_Items'!R562 + '01_WHOQOL_Items'!S562 + '01_WHOQOL_Items'!T562 + '01_WHOQOL_Items'!U562)/7)</f>
        <v>13.142857142857142</v>
      </c>
      <c r="D562" s="4">
        <f>4*(((6-'01_WHOQOL_Items'!AF562) + (6-'01_WHOQOL_Items'!AG562) + '01_WHOQOL_Items'!AM562 + '01_WHOQOL_Items'!AR562 + '01_WHOQOL_Items'!AS562 + '01_WHOQOL_Items'!AT562 + '01_WHOQOL_Items'!AU562)/7)</f>
        <v>13.142857142857142</v>
      </c>
      <c r="E562" s="4">
        <f t="shared" si="120"/>
        <v>57.142857142857139</v>
      </c>
      <c r="F562" s="4">
        <f t="shared" si="121"/>
        <v>57.142857142857139</v>
      </c>
      <c r="G562" s="5">
        <f t="shared" si="122"/>
        <v>0</v>
      </c>
      <c r="H562" s="4">
        <f>4*(('01_WHOQOL_Items'!H562 + '01_WHOQOL_Items'!I562 + '01_WHOQOL_Items'!J562 + '01_WHOQOL_Items'!N562 + '01_WHOQOL_Items'!V562 + (6-'01_WHOQOL_Items'!AC562))/6)</f>
        <v>10</v>
      </c>
      <c r="I562" s="4">
        <f>4*(('01_WHOQOL_Items'!AH562 + '01_WHOQOL_Items'!AI562 + '01_WHOQOL_Items'!AJ562 + '01_WHOQOL_Items'!AN562 + '01_WHOQOL_Items'!AV562 + (6-'01_WHOQOL_Items'!BC562))/6)</f>
        <v>9.3333333333333339</v>
      </c>
      <c r="J562" s="4">
        <f t="shared" si="123"/>
        <v>37.5</v>
      </c>
      <c r="K562" s="4">
        <f t="shared" si="124"/>
        <v>33.333333333333336</v>
      </c>
      <c r="L562" s="5">
        <f t="shared" si="125"/>
        <v>-0.11111111111111105</v>
      </c>
      <c r="M562" s="4">
        <f>4*(('01_WHOQOL_Items'!W562 + '01_WHOQOL_Items'!X562 + '01_WHOQOL_Items'!Y562)/3)</f>
        <v>13.333333333333334</v>
      </c>
      <c r="N562" s="4">
        <f>4*(('01_WHOQOL_Items'!AW562 + '01_WHOQOL_Items'!AX562 + '01_WHOQOL_Items'!AY562)/3)</f>
        <v>12</v>
      </c>
      <c r="O562" s="4">
        <f t="shared" si="126"/>
        <v>58.333333333333336</v>
      </c>
      <c r="P562" s="4">
        <f t="shared" si="127"/>
        <v>50</v>
      </c>
      <c r="Q562" s="5">
        <f t="shared" si="128"/>
        <v>-0.1428571428571429</v>
      </c>
      <c r="R562" s="4">
        <f>4*(('01_WHOQOL_Items'!K562 + '01_WHOQOL_Items'!L562 + '01_WHOQOL_Items'!O562 + '01_WHOQOL_Items'!P562 + '01_WHOQOL_Items'!Q562 + '01_WHOQOL_Items'!Z562 + '01_WHOQOL_Items'!AA562 + '01_WHOQOL_Items'!AB562)/8)</f>
        <v>17.5</v>
      </c>
      <c r="S562" s="4">
        <f>4*(('01_WHOQOL_Items'!AK562 + '01_WHOQOL_Items'!AL562 + '01_WHOQOL_Items'!AO562 + '01_WHOQOL_Items'!AP562 + '01_WHOQOL_Items'!AQ562 + '01_WHOQOL_Items'!AZ562 + '01_WHOQOL_Items'!BA562 + '01_WHOQOL_Items'!BB562)/8)</f>
        <v>16</v>
      </c>
      <c r="T562" s="4">
        <f t="shared" si="129"/>
        <v>84.375</v>
      </c>
      <c r="U562" s="4">
        <f t="shared" si="130"/>
        <v>75</v>
      </c>
      <c r="V562" s="5">
        <f t="shared" si="131"/>
        <v>-0.1111111111111111</v>
      </c>
      <c r="W562" s="4">
        <f t="shared" si="132"/>
        <v>59.33779761904762</v>
      </c>
      <c r="X562" s="4">
        <f t="shared" si="133"/>
        <v>53.86904761904762</v>
      </c>
      <c r="Y562" s="5">
        <f t="shared" si="134"/>
        <v>-9.2163009404388707E-2</v>
      </c>
      <c r="Z562" s="1">
        <f>'01_WHOQOL_Items'!D562</f>
        <v>3</v>
      </c>
      <c r="AA562" s="1">
        <f>'01_WHOQOL_Items'!AD562</f>
        <v>3</v>
      </c>
      <c r="AB562" s="1">
        <f>'01_WHOQOL_Items'!E562</f>
        <v>3</v>
      </c>
      <c r="AC562" s="1">
        <f>'01_WHOQOL_Items'!AE562</f>
        <v>2</v>
      </c>
    </row>
    <row r="563" spans="1:29">
      <c r="A563" s="1" t="str">
        <f>'01_WHOQOL_Items'!A563</f>
        <v>CON-281</v>
      </c>
      <c r="B563" s="1" t="str">
        <f>'01_WHOQOL_Items'!B563</f>
        <v>Control</v>
      </c>
      <c r="C563" s="4">
        <f>4*(((6-'01_WHOQOL_Items'!F563) + (6-'01_WHOQOL_Items'!G563) + '01_WHOQOL_Items'!M563 + '01_WHOQOL_Items'!R563 + '01_WHOQOL_Items'!S563 + '01_WHOQOL_Items'!T563 + '01_WHOQOL_Items'!U563)/7)</f>
        <v>14.285714285714286</v>
      </c>
      <c r="D563" s="4">
        <f>4*(((6-'01_WHOQOL_Items'!AF563) + (6-'01_WHOQOL_Items'!AG563) + '01_WHOQOL_Items'!AM563 + '01_WHOQOL_Items'!AR563 + '01_WHOQOL_Items'!AS563 + '01_WHOQOL_Items'!AT563 + '01_WHOQOL_Items'!AU563)/7)</f>
        <v>14.285714285714286</v>
      </c>
      <c r="E563" s="4">
        <f t="shared" si="120"/>
        <v>64.285714285714292</v>
      </c>
      <c r="F563" s="4">
        <f t="shared" si="121"/>
        <v>64.285714285714292</v>
      </c>
      <c r="G563" s="5">
        <f t="shared" si="122"/>
        <v>0</v>
      </c>
      <c r="H563" s="4">
        <f>4*(('01_WHOQOL_Items'!H563 + '01_WHOQOL_Items'!I563 + '01_WHOQOL_Items'!J563 + '01_WHOQOL_Items'!N563 + '01_WHOQOL_Items'!V563 + (6-'01_WHOQOL_Items'!AC563))/6)</f>
        <v>14.666666666666666</v>
      </c>
      <c r="I563" s="4">
        <f>4*(('01_WHOQOL_Items'!AH563 + '01_WHOQOL_Items'!AI563 + '01_WHOQOL_Items'!AJ563 + '01_WHOQOL_Items'!AN563 + '01_WHOQOL_Items'!AV563 + (6-'01_WHOQOL_Items'!BC563))/6)</f>
        <v>13.333333333333334</v>
      </c>
      <c r="J563" s="4">
        <f t="shared" si="123"/>
        <v>66.666666666666657</v>
      </c>
      <c r="K563" s="4">
        <f t="shared" si="124"/>
        <v>58.333333333333336</v>
      </c>
      <c r="L563" s="5">
        <f t="shared" si="125"/>
        <v>-0.12499999999999983</v>
      </c>
      <c r="M563" s="4">
        <f>4*(('01_WHOQOL_Items'!W563 + '01_WHOQOL_Items'!X563 + '01_WHOQOL_Items'!Y563)/3)</f>
        <v>10.666666666666666</v>
      </c>
      <c r="N563" s="4">
        <f>4*(('01_WHOQOL_Items'!AW563 + '01_WHOQOL_Items'!AX563 + '01_WHOQOL_Items'!AY563)/3)</f>
        <v>10.666666666666666</v>
      </c>
      <c r="O563" s="4">
        <f t="shared" si="126"/>
        <v>41.666666666666664</v>
      </c>
      <c r="P563" s="4">
        <f t="shared" si="127"/>
        <v>41.666666666666664</v>
      </c>
      <c r="Q563" s="5">
        <f t="shared" si="128"/>
        <v>0</v>
      </c>
      <c r="R563" s="4">
        <f>4*(('01_WHOQOL_Items'!K563 + '01_WHOQOL_Items'!L563 + '01_WHOQOL_Items'!O563 + '01_WHOQOL_Items'!P563 + '01_WHOQOL_Items'!Q563 + '01_WHOQOL_Items'!Z563 + '01_WHOQOL_Items'!AA563 + '01_WHOQOL_Items'!AB563)/8)</f>
        <v>17</v>
      </c>
      <c r="S563" s="4">
        <f>4*(('01_WHOQOL_Items'!AK563 + '01_WHOQOL_Items'!AL563 + '01_WHOQOL_Items'!AO563 + '01_WHOQOL_Items'!AP563 + '01_WHOQOL_Items'!AQ563 + '01_WHOQOL_Items'!AZ563 + '01_WHOQOL_Items'!BA563 + '01_WHOQOL_Items'!BB563)/8)</f>
        <v>18.5</v>
      </c>
      <c r="T563" s="4">
        <f t="shared" si="129"/>
        <v>81.25</v>
      </c>
      <c r="U563" s="4">
        <f t="shared" si="130"/>
        <v>90.625</v>
      </c>
      <c r="V563" s="5">
        <f t="shared" si="131"/>
        <v>0.11538461538461539</v>
      </c>
      <c r="W563" s="4">
        <f t="shared" si="132"/>
        <v>63.467261904761905</v>
      </c>
      <c r="X563" s="4">
        <f t="shared" si="133"/>
        <v>63.727678571428569</v>
      </c>
      <c r="Y563" s="5">
        <f t="shared" si="134"/>
        <v>4.1031652989448634E-3</v>
      </c>
      <c r="Z563" s="1">
        <f>'01_WHOQOL_Items'!D563</f>
        <v>4</v>
      </c>
      <c r="AA563" s="1">
        <f>'01_WHOQOL_Items'!AD563</f>
        <v>3</v>
      </c>
      <c r="AB563" s="1">
        <f>'01_WHOQOL_Items'!E563</f>
        <v>4</v>
      </c>
      <c r="AC563" s="1">
        <f>'01_WHOQOL_Items'!AE563</f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activeCell="A2" sqref="A2:XFD11"/>
    </sheetView>
  </sheetViews>
  <sheetFormatPr baseColWidth="10" defaultColWidth="8.796875" defaultRowHeight="13.8"/>
  <cols>
    <col min="1" max="1" width="16" style="7" customWidth="1"/>
    <col min="2" max="2" width="28" style="7" customWidth="1"/>
    <col min="3" max="3" width="24.09765625" style="7" customWidth="1"/>
    <col min="4" max="4" width="25.5" style="7" customWidth="1"/>
    <col min="5" max="5" width="20" style="7" customWidth="1"/>
    <col min="6" max="6" width="50" style="7" customWidth="1"/>
    <col min="7" max="16384" width="8.796875" style="7"/>
  </cols>
  <sheetData>
    <row r="1" spans="1:6" ht="27.6">
      <c r="A1" s="2" t="s">
        <v>938</v>
      </c>
      <c r="B1" s="2" t="s">
        <v>939</v>
      </c>
      <c r="C1" s="2" t="s">
        <v>940</v>
      </c>
      <c r="D1" s="2" t="s">
        <v>941</v>
      </c>
      <c r="E1" s="2" t="s">
        <v>942</v>
      </c>
      <c r="F1" s="2" t="s">
        <v>943</v>
      </c>
    </row>
    <row r="2" spans="1:6" ht="25.05" customHeight="1">
      <c r="A2" s="8" t="s">
        <v>66</v>
      </c>
      <c r="B2" s="8" t="s">
        <v>944</v>
      </c>
      <c r="C2" s="9">
        <f>AVERAGEIFS('02_Puntajes'!$E$2:$E$563,'02_Puntajes'!$B$2:$B$563,A2)</f>
        <v>54.257752923233369</v>
      </c>
      <c r="D2" s="9">
        <f>AVERAGEIFS('02_Puntajes'!$F$2:$F$563,'02_Puntajes'!$B$2:$B$563,A2)</f>
        <v>61.502287747839276</v>
      </c>
      <c r="E2" s="10">
        <f t="shared" ref="E2:E11" si="0">IFERROR((D2-C2)/C2,"")</f>
        <v>0.13352073085031449</v>
      </c>
      <c r="F2" s="8" t="s">
        <v>945</v>
      </c>
    </row>
    <row r="3" spans="1:6" ht="25.05" customHeight="1">
      <c r="A3" s="8" t="s">
        <v>66</v>
      </c>
      <c r="B3" s="8" t="s">
        <v>946</v>
      </c>
      <c r="C3" s="9">
        <f>AVERAGEIFS('02_Puntajes'!$J$2:$J$563,'02_Puntajes'!$B$2:$B$563,A3)</f>
        <v>48.813760379596694</v>
      </c>
      <c r="D3" s="9">
        <f>AVERAGEIFS('02_Puntajes'!$K$2:$K$563,'02_Puntajes'!$B$2:$B$563,A3)</f>
        <v>62.277580071174405</v>
      </c>
      <c r="E3" s="10">
        <f t="shared" si="0"/>
        <v>0.27582017010935617</v>
      </c>
      <c r="F3" s="8" t="s">
        <v>945</v>
      </c>
    </row>
    <row r="4" spans="1:6" ht="25.05" customHeight="1">
      <c r="A4" s="8" t="s">
        <v>66</v>
      </c>
      <c r="B4" s="8" t="s">
        <v>947</v>
      </c>
      <c r="C4" s="9">
        <f>AVERAGEIFS('02_Puntajes'!$O$2:$O$563,'02_Puntajes'!$B$2:$B$563,A4)</f>
        <v>45.521945432977482</v>
      </c>
      <c r="D4" s="9">
        <f>AVERAGEIFS('02_Puntajes'!$P$2:$P$563,'02_Puntajes'!$B$2:$B$563,A4)</f>
        <v>62.099644128113866</v>
      </c>
      <c r="E4" s="10">
        <f t="shared" si="0"/>
        <v>0.36416938110749097</v>
      </c>
      <c r="F4" s="8" t="s">
        <v>945</v>
      </c>
    </row>
    <row r="5" spans="1:6" ht="25.05" customHeight="1">
      <c r="A5" s="8" t="s">
        <v>66</v>
      </c>
      <c r="B5" s="8" t="s">
        <v>948</v>
      </c>
      <c r="C5" s="9">
        <f>AVERAGEIFS('02_Puntajes'!$T$2:$T$563,'02_Puntajes'!$B$2:$B$563,A5)</f>
        <v>52.302046263345197</v>
      </c>
      <c r="D5" s="9">
        <f>AVERAGEIFS('02_Puntajes'!$U$2:$U$563,'02_Puntajes'!$B$2:$B$563,A5)</f>
        <v>61.020907473309606</v>
      </c>
      <c r="E5" s="10">
        <f t="shared" si="0"/>
        <v>0.16670210503933652</v>
      </c>
      <c r="F5" s="8" t="s">
        <v>945</v>
      </c>
    </row>
    <row r="6" spans="1:6" ht="25.05" customHeight="1">
      <c r="A6" s="8" t="s">
        <v>66</v>
      </c>
      <c r="B6" s="8" t="s">
        <v>949</v>
      </c>
      <c r="C6" s="9">
        <f>AVERAGEIFS('02_Puntajes'!$W$2:$W$563,'02_Puntajes'!$B$2:$B$563,A6)</f>
        <v>50.223876249788113</v>
      </c>
      <c r="D6" s="9">
        <f>AVERAGEIFS('02_Puntajes'!$X$2:$X$563,'02_Puntajes'!$B$2:$B$563,A6)</f>
        <v>61.72510485510935</v>
      </c>
      <c r="E6" s="10">
        <f t="shared" si="0"/>
        <v>0.22899922236427858</v>
      </c>
      <c r="F6" s="8" t="s">
        <v>945</v>
      </c>
    </row>
    <row r="7" spans="1:6" ht="25.05" customHeight="1">
      <c r="A7" s="8" t="s">
        <v>489</v>
      </c>
      <c r="B7" s="8" t="s">
        <v>944</v>
      </c>
      <c r="C7" s="9">
        <f>AVERAGEIFS('02_Puntajes'!$E$2:$E$563,'02_Puntajes'!$B$2:$B$563,A7)</f>
        <v>55.363497712252183</v>
      </c>
      <c r="D7" s="9">
        <f>AVERAGEIFS('02_Puntajes'!$F$2:$F$563,'02_Puntajes'!$B$2:$B$563,A7)</f>
        <v>56.558210472801193</v>
      </c>
      <c r="E7" s="10">
        <f t="shared" si="0"/>
        <v>2.1579430670338851E-2</v>
      </c>
      <c r="F7" s="8" t="s">
        <v>950</v>
      </c>
    </row>
    <row r="8" spans="1:6" ht="25.05" customHeight="1">
      <c r="A8" s="8" t="s">
        <v>489</v>
      </c>
      <c r="B8" s="8" t="s">
        <v>946</v>
      </c>
      <c r="C8" s="9">
        <f>AVERAGEIFS('02_Puntajes'!$J$2:$J$563,'02_Puntajes'!$B$2:$B$563,A8)</f>
        <v>49.540332147093736</v>
      </c>
      <c r="D8" s="9">
        <f>AVERAGEIFS('02_Puntajes'!$K$2:$K$563,'02_Puntajes'!$B$2:$B$563,A8)</f>
        <v>49.762752075919359</v>
      </c>
      <c r="E8" s="10">
        <f t="shared" si="0"/>
        <v>4.4896737503741417E-3</v>
      </c>
      <c r="F8" s="8" t="s">
        <v>950</v>
      </c>
    </row>
    <row r="9" spans="1:6" ht="25.05" customHeight="1">
      <c r="A9" s="8" t="s">
        <v>489</v>
      </c>
      <c r="B9" s="8" t="s">
        <v>947</v>
      </c>
      <c r="C9" s="9">
        <f>AVERAGEIFS('02_Puntajes'!$O$2:$O$563,'02_Puntajes'!$B$2:$B$563,A9)</f>
        <v>46.559905100830356</v>
      </c>
      <c r="D9" s="9">
        <f>AVERAGEIFS('02_Puntajes'!$P$2:$P$563,'02_Puntajes'!$B$2:$B$563,A9)</f>
        <v>47.212336892052171</v>
      </c>
      <c r="E9" s="10">
        <f t="shared" si="0"/>
        <v>1.4012738853502939E-2</v>
      </c>
      <c r="F9" s="8" t="s">
        <v>950</v>
      </c>
    </row>
    <row r="10" spans="1:6" ht="25.05" customHeight="1">
      <c r="A10" s="8" t="s">
        <v>489</v>
      </c>
      <c r="B10" s="8" t="s">
        <v>948</v>
      </c>
      <c r="C10" s="9">
        <f>AVERAGEIFS('02_Puntajes'!$T$2:$T$563,'02_Puntajes'!$B$2:$B$563,A10)</f>
        <v>50.244661921708186</v>
      </c>
      <c r="D10" s="9">
        <f>AVERAGEIFS('02_Puntajes'!$U$2:$U$563,'02_Puntajes'!$B$2:$B$563,A10)</f>
        <v>51.968416370106759</v>
      </c>
      <c r="E10" s="10">
        <f t="shared" si="0"/>
        <v>3.4307215582115906E-2</v>
      </c>
      <c r="F10" s="8" t="s">
        <v>950</v>
      </c>
    </row>
    <row r="11" spans="1:6" ht="25.05" customHeight="1">
      <c r="A11" s="8" t="s">
        <v>489</v>
      </c>
      <c r="B11" s="8" t="s">
        <v>949</v>
      </c>
      <c r="C11" s="9">
        <f>AVERAGEIFS('02_Puntajes'!$W$2:$W$563,'02_Puntajes'!$B$2:$B$563,A11)</f>
        <v>50.427099220471078</v>
      </c>
      <c r="D11" s="9">
        <f>AVERAGEIFS('02_Puntajes'!$X$2:$X$563,'02_Puntajes'!$B$2:$B$563,A11)</f>
        <v>51.375428952719872</v>
      </c>
      <c r="E11" s="10">
        <f t="shared" si="0"/>
        <v>1.8805954475045752E-2</v>
      </c>
      <c r="F11" s="8" t="s">
        <v>950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>
      <selection activeCell="B13" sqref="B13"/>
    </sheetView>
  </sheetViews>
  <sheetFormatPr baseColWidth="10" defaultColWidth="8.796875" defaultRowHeight="13.8"/>
  <cols>
    <col min="1" max="1" width="28" style="7" customWidth="1"/>
    <col min="2" max="3" width="45" style="7" customWidth="1"/>
    <col min="4" max="4" width="51.796875" style="7" customWidth="1"/>
    <col min="5" max="16384" width="8.796875" style="7"/>
  </cols>
  <sheetData>
    <row r="1" spans="1:4" ht="27" customHeight="1">
      <c r="A1" s="2" t="s">
        <v>951</v>
      </c>
      <c r="B1" s="2" t="s">
        <v>952</v>
      </c>
      <c r="C1" s="2" t="s">
        <v>953</v>
      </c>
      <c r="D1" s="2" t="s">
        <v>954</v>
      </c>
    </row>
    <row r="2" spans="1:4" ht="25.05" customHeight="1">
      <c r="A2" s="8" t="s">
        <v>944</v>
      </c>
      <c r="B2" s="8" t="s">
        <v>955</v>
      </c>
      <c r="C2" s="8" t="s">
        <v>956</v>
      </c>
      <c r="D2" s="8" t="s">
        <v>957</v>
      </c>
    </row>
    <row r="3" spans="1:4" ht="25.05" customHeight="1">
      <c r="A3" s="8" t="s">
        <v>946</v>
      </c>
      <c r="B3" s="8" t="s">
        <v>958</v>
      </c>
      <c r="C3" s="8" t="s">
        <v>959</v>
      </c>
      <c r="D3" s="8" t="s">
        <v>960</v>
      </c>
    </row>
    <row r="4" spans="1:4" ht="25.05" customHeight="1">
      <c r="A4" s="8" t="s">
        <v>947</v>
      </c>
      <c r="B4" s="8" t="s">
        <v>961</v>
      </c>
      <c r="C4" s="8" t="s">
        <v>962</v>
      </c>
      <c r="D4" s="8" t="s">
        <v>963</v>
      </c>
    </row>
    <row r="5" spans="1:4" ht="25.05" customHeight="1">
      <c r="A5" s="8" t="s">
        <v>948</v>
      </c>
      <c r="B5" s="8" t="s">
        <v>964</v>
      </c>
      <c r="C5" s="8" t="s">
        <v>962</v>
      </c>
      <c r="D5" s="8" t="s">
        <v>965</v>
      </c>
    </row>
    <row r="6" spans="1:4" ht="25.05" customHeight="1">
      <c r="A6" s="8" t="s">
        <v>949</v>
      </c>
      <c r="B6" s="8" t="s">
        <v>966</v>
      </c>
      <c r="C6" s="8" t="s">
        <v>967</v>
      </c>
      <c r="D6" s="8" t="s">
        <v>968</v>
      </c>
    </row>
    <row r="7" spans="1:4" ht="25.05" customHeight="1">
      <c r="A7" s="8" t="s">
        <v>969</v>
      </c>
      <c r="B7" s="8" t="s">
        <v>970</v>
      </c>
      <c r="C7" s="8" t="s">
        <v>971</v>
      </c>
      <c r="D7" s="8" t="s">
        <v>972</v>
      </c>
    </row>
    <row r="8" spans="1:4" ht="25.05" customHeight="1">
      <c r="A8" s="8" t="s">
        <v>973</v>
      </c>
      <c r="B8" s="8" t="s">
        <v>974</v>
      </c>
      <c r="C8" s="8" t="s">
        <v>967</v>
      </c>
      <c r="D8" s="8" t="s">
        <v>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workbookViewId="0">
      <selection activeCell="D22" sqref="D22"/>
    </sheetView>
  </sheetViews>
  <sheetFormatPr baseColWidth="10" defaultColWidth="8.796875" defaultRowHeight="13.8"/>
  <cols>
    <col min="1" max="1" width="28" style="7" customWidth="1"/>
    <col min="2" max="7" width="18" style="7" customWidth="1"/>
    <col min="8" max="8" width="55" style="7" customWidth="1"/>
    <col min="9" max="16384" width="8.796875" style="7"/>
  </cols>
  <sheetData>
    <row r="1" spans="1:8" ht="19.2">
      <c r="A1" s="6" t="s">
        <v>976</v>
      </c>
      <c r="B1" s="6"/>
      <c r="C1" s="6"/>
      <c r="D1" s="6"/>
      <c r="E1" s="6"/>
      <c r="F1" s="6"/>
      <c r="G1" s="6"/>
      <c r="H1" s="6"/>
    </row>
    <row r="3" spans="1:8" ht="27.6">
      <c r="A3" s="2" t="s">
        <v>977</v>
      </c>
      <c r="B3" s="2" t="s">
        <v>978</v>
      </c>
      <c r="C3" s="2" t="s">
        <v>979</v>
      </c>
      <c r="D3" s="2" t="s">
        <v>980</v>
      </c>
      <c r="E3" s="2" t="s">
        <v>981</v>
      </c>
      <c r="F3" s="2" t="s">
        <v>982</v>
      </c>
      <c r="G3" s="2" t="s">
        <v>983</v>
      </c>
      <c r="H3" s="2" t="s">
        <v>984</v>
      </c>
    </row>
    <row r="4" spans="1:8" ht="27.6">
      <c r="A4" s="8" t="s">
        <v>944</v>
      </c>
      <c r="B4" s="9">
        <f>'03_Resumen_Dominios'!C2</f>
        <v>54.257752923233369</v>
      </c>
      <c r="C4" s="9">
        <f>'03_Resumen_Dominios'!D2</f>
        <v>61.502287747839276</v>
      </c>
      <c r="D4" s="10">
        <f>'03_Resumen_Dominios'!E2</f>
        <v>0.13352073085031449</v>
      </c>
      <c r="E4" s="9">
        <f>'03_Resumen_Dominios'!C7</f>
        <v>55.363497712252183</v>
      </c>
      <c r="F4" s="9">
        <f>'03_Resumen_Dominios'!D7</f>
        <v>56.558210472801193</v>
      </c>
      <c r="G4" s="10">
        <f>'03_Resumen_Dominios'!E7</f>
        <v>2.1579430670338851E-2</v>
      </c>
      <c r="H4" s="8" t="s">
        <v>985</v>
      </c>
    </row>
    <row r="5" spans="1:8" ht="27.6">
      <c r="A5" s="8" t="s">
        <v>946</v>
      </c>
      <c r="B5" s="9">
        <f>'03_Resumen_Dominios'!C3</f>
        <v>48.813760379596694</v>
      </c>
      <c r="C5" s="9">
        <f>'03_Resumen_Dominios'!D3</f>
        <v>62.277580071174405</v>
      </c>
      <c r="D5" s="10">
        <f>'03_Resumen_Dominios'!E3</f>
        <v>0.27582017010935617</v>
      </c>
      <c r="E5" s="9">
        <f>'03_Resumen_Dominios'!C8</f>
        <v>49.540332147093736</v>
      </c>
      <c r="F5" s="9">
        <f>'03_Resumen_Dominios'!D8</f>
        <v>49.762752075919359</v>
      </c>
      <c r="G5" s="10">
        <f>'03_Resumen_Dominios'!E8</f>
        <v>4.4896737503741417E-3</v>
      </c>
      <c r="H5" s="8" t="s">
        <v>986</v>
      </c>
    </row>
    <row r="6" spans="1:8" ht="27.6">
      <c r="A6" s="8" t="s">
        <v>947</v>
      </c>
      <c r="B6" s="9">
        <f>'03_Resumen_Dominios'!C4</f>
        <v>45.521945432977482</v>
      </c>
      <c r="C6" s="9">
        <f>'03_Resumen_Dominios'!D4</f>
        <v>62.099644128113866</v>
      </c>
      <c r="D6" s="10">
        <f>'03_Resumen_Dominios'!E4</f>
        <v>0.36416938110749097</v>
      </c>
      <c r="E6" s="9">
        <f>'03_Resumen_Dominios'!C9</f>
        <v>46.559905100830356</v>
      </c>
      <c r="F6" s="9">
        <f>'03_Resumen_Dominios'!D9</f>
        <v>47.212336892052171</v>
      </c>
      <c r="G6" s="10">
        <f>'03_Resumen_Dominios'!E9</f>
        <v>1.4012738853502939E-2</v>
      </c>
      <c r="H6" s="8" t="s">
        <v>987</v>
      </c>
    </row>
    <row r="7" spans="1:8" ht="27.6">
      <c r="A7" s="8" t="s">
        <v>948</v>
      </c>
      <c r="B7" s="9">
        <f>'03_Resumen_Dominios'!C5</f>
        <v>52.302046263345197</v>
      </c>
      <c r="C7" s="9">
        <f>'03_Resumen_Dominios'!D5</f>
        <v>61.020907473309606</v>
      </c>
      <c r="D7" s="10">
        <f>'03_Resumen_Dominios'!E5</f>
        <v>0.16670210503933652</v>
      </c>
      <c r="E7" s="9">
        <f>'03_Resumen_Dominios'!C10</f>
        <v>50.244661921708186</v>
      </c>
      <c r="F7" s="9">
        <f>'03_Resumen_Dominios'!D10</f>
        <v>51.968416370106759</v>
      </c>
      <c r="G7" s="10">
        <f>'03_Resumen_Dominios'!E10</f>
        <v>3.4307215582115906E-2</v>
      </c>
      <c r="H7" s="8" t="s">
        <v>988</v>
      </c>
    </row>
    <row r="8" spans="1:8">
      <c r="A8" s="8" t="s">
        <v>949</v>
      </c>
      <c r="B8" s="9">
        <f>'03_Resumen_Dominios'!C6</f>
        <v>50.223876249788113</v>
      </c>
      <c r="C8" s="9">
        <f>'03_Resumen_Dominios'!D6</f>
        <v>61.72510485510935</v>
      </c>
      <c r="D8" s="10">
        <f>'03_Resumen_Dominios'!E6</f>
        <v>0.22899922236427858</v>
      </c>
      <c r="E8" s="9">
        <f>'03_Resumen_Dominios'!C11</f>
        <v>50.427099220471078</v>
      </c>
      <c r="F8" s="9">
        <f>'03_Resumen_Dominios'!D11</f>
        <v>51.375428952719872</v>
      </c>
      <c r="G8" s="10">
        <f>'03_Resumen_Dominios'!E11</f>
        <v>1.8805954475045752E-2</v>
      </c>
      <c r="H8" s="8" t="s">
        <v>989</v>
      </c>
    </row>
    <row r="9" spans="1:8">
      <c r="A9" s="8"/>
      <c r="B9" s="8"/>
      <c r="C9" s="8"/>
      <c r="D9" s="8"/>
      <c r="E9" s="8"/>
      <c r="F9" s="8"/>
      <c r="G9" s="8"/>
      <c r="H9" s="8"/>
    </row>
    <row r="10" spans="1:8">
      <c r="A10" s="8" t="s">
        <v>990</v>
      </c>
      <c r="B10" s="11" t="s">
        <v>991</v>
      </c>
      <c r="C10" s="11"/>
      <c r="D10" s="11"/>
      <c r="E10" s="11"/>
      <c r="F10" s="11"/>
      <c r="G10" s="11"/>
      <c r="H10" s="11"/>
    </row>
    <row r="11" spans="1:8">
      <c r="A11" s="8" t="s">
        <v>992</v>
      </c>
      <c r="B11" s="11" t="s">
        <v>1006</v>
      </c>
      <c r="C11" s="11"/>
      <c r="D11" s="11"/>
      <c r="E11" s="11"/>
      <c r="F11" s="11"/>
      <c r="G11" s="11"/>
      <c r="H11" s="11"/>
    </row>
  </sheetData>
  <mergeCells count="3">
    <mergeCell ref="A1:H1"/>
    <mergeCell ref="B10:H10"/>
    <mergeCell ref="B11:H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"/>
  <sheetViews>
    <sheetView workbookViewId="0">
      <selection activeCell="A10" sqref="A10"/>
    </sheetView>
  </sheetViews>
  <sheetFormatPr baseColWidth="10" defaultColWidth="8.796875" defaultRowHeight="13.8"/>
  <cols>
    <col min="1" max="1" width="28" style="7" customWidth="1"/>
    <col min="2" max="7" width="18" style="7" customWidth="1"/>
    <col min="8" max="16384" width="8.796875" style="7"/>
  </cols>
  <sheetData>
    <row r="1" spans="1:7" ht="57.6">
      <c r="A1" s="3" t="s">
        <v>993</v>
      </c>
      <c r="B1" s="3"/>
      <c r="C1" s="3"/>
      <c r="D1" s="3"/>
      <c r="E1" s="3"/>
      <c r="F1" s="3"/>
      <c r="G1" s="3"/>
    </row>
    <row r="2" spans="1:7">
      <c r="A2" s="7" t="s">
        <v>994</v>
      </c>
      <c r="B2" s="12">
        <v>562</v>
      </c>
      <c r="C2" s="7" t="s">
        <v>66</v>
      </c>
      <c r="D2" s="12">
        <v>281</v>
      </c>
      <c r="E2" s="7" t="s">
        <v>489</v>
      </c>
      <c r="F2" s="12">
        <v>281</v>
      </c>
    </row>
    <row r="3" spans="1:7">
      <c r="A3" s="7" t="s">
        <v>995</v>
      </c>
      <c r="B3" s="12" t="s">
        <v>996</v>
      </c>
      <c r="C3" s="7" t="s">
        <v>4</v>
      </c>
      <c r="D3" s="12" t="s">
        <v>997</v>
      </c>
      <c r="E3" s="7" t="s">
        <v>998</v>
      </c>
      <c r="F3" s="12" t="s">
        <v>999</v>
      </c>
    </row>
    <row r="5" spans="1:7">
      <c r="A5" s="2" t="s">
        <v>939</v>
      </c>
      <c r="B5" s="2" t="s">
        <v>1000</v>
      </c>
      <c r="C5" s="2" t="s">
        <v>1001</v>
      </c>
      <c r="D5" s="2" t="s">
        <v>1002</v>
      </c>
      <c r="E5" s="2" t="s">
        <v>1003</v>
      </c>
      <c r="F5" s="2" t="s">
        <v>1004</v>
      </c>
      <c r="G5" s="2" t="s">
        <v>1005</v>
      </c>
    </row>
    <row r="6" spans="1:7">
      <c r="A6" s="8" t="s">
        <v>944</v>
      </c>
      <c r="B6" s="13">
        <f>'05_Tabla_6_4_5'!B4</f>
        <v>54.257752923233369</v>
      </c>
      <c r="C6" s="13">
        <f>'05_Tabla_6_4_5'!C4</f>
        <v>61.502287747839276</v>
      </c>
      <c r="D6" s="14">
        <f>'05_Tabla_6_4_5'!D4</f>
        <v>0.13352073085031449</v>
      </c>
      <c r="E6" s="13">
        <f>'05_Tabla_6_4_5'!E4</f>
        <v>55.363497712252183</v>
      </c>
      <c r="F6" s="13">
        <f>'05_Tabla_6_4_5'!F4</f>
        <v>56.558210472801193</v>
      </c>
      <c r="G6" s="14">
        <f>'05_Tabla_6_4_5'!G4</f>
        <v>2.1579430670338851E-2</v>
      </c>
    </row>
    <row r="7" spans="1:7">
      <c r="A7" s="8" t="s">
        <v>946</v>
      </c>
      <c r="B7" s="13">
        <f>'05_Tabla_6_4_5'!B5</f>
        <v>48.813760379596694</v>
      </c>
      <c r="C7" s="13">
        <f>'05_Tabla_6_4_5'!C5</f>
        <v>62.277580071174405</v>
      </c>
      <c r="D7" s="14">
        <f>'05_Tabla_6_4_5'!D5</f>
        <v>0.27582017010935617</v>
      </c>
      <c r="E7" s="13">
        <f>'05_Tabla_6_4_5'!E5</f>
        <v>49.540332147093736</v>
      </c>
      <c r="F7" s="13">
        <f>'05_Tabla_6_4_5'!F5</f>
        <v>49.762752075919359</v>
      </c>
      <c r="G7" s="14">
        <f>'05_Tabla_6_4_5'!G5</f>
        <v>4.4896737503741417E-3</v>
      </c>
    </row>
    <row r="8" spans="1:7">
      <c r="A8" s="8" t="s">
        <v>947</v>
      </c>
      <c r="B8" s="13">
        <f>'05_Tabla_6_4_5'!B6</f>
        <v>45.521945432977482</v>
      </c>
      <c r="C8" s="13">
        <f>'05_Tabla_6_4_5'!C6</f>
        <v>62.099644128113866</v>
      </c>
      <c r="D8" s="14">
        <f>'05_Tabla_6_4_5'!D6</f>
        <v>0.36416938110749097</v>
      </c>
      <c r="E8" s="13">
        <f>'05_Tabla_6_4_5'!E6</f>
        <v>46.559905100830356</v>
      </c>
      <c r="F8" s="13">
        <f>'05_Tabla_6_4_5'!F6</f>
        <v>47.212336892052171</v>
      </c>
      <c r="G8" s="14">
        <f>'05_Tabla_6_4_5'!G6</f>
        <v>1.4012738853502939E-2</v>
      </c>
    </row>
    <row r="9" spans="1:7">
      <c r="A9" s="8" t="s">
        <v>948</v>
      </c>
      <c r="B9" s="13">
        <f>'05_Tabla_6_4_5'!B7</f>
        <v>52.302046263345197</v>
      </c>
      <c r="C9" s="13">
        <f>'05_Tabla_6_4_5'!C7</f>
        <v>61.020907473309606</v>
      </c>
      <c r="D9" s="14">
        <f>'05_Tabla_6_4_5'!D7</f>
        <v>0.16670210503933652</v>
      </c>
      <c r="E9" s="13">
        <f>'05_Tabla_6_4_5'!E7</f>
        <v>50.244661921708186</v>
      </c>
      <c r="F9" s="13">
        <f>'05_Tabla_6_4_5'!F7</f>
        <v>51.968416370106759</v>
      </c>
      <c r="G9" s="14">
        <f>'05_Tabla_6_4_5'!G7</f>
        <v>3.4307215582115906E-2</v>
      </c>
    </row>
    <row r="10" spans="1:7">
      <c r="A10" s="8" t="s">
        <v>949</v>
      </c>
      <c r="B10" s="13">
        <f>'05_Tabla_6_4_5'!B8</f>
        <v>50.223876249788113</v>
      </c>
      <c r="C10" s="13">
        <f>'05_Tabla_6_4_5'!C8</f>
        <v>61.72510485510935</v>
      </c>
      <c r="D10" s="14">
        <f>'05_Tabla_6_4_5'!D8</f>
        <v>0.22899922236427858</v>
      </c>
      <c r="E10" s="13">
        <f>'05_Tabla_6_4_5'!E8</f>
        <v>50.427099220471078</v>
      </c>
      <c r="F10" s="13">
        <f>'05_Tabla_6_4_5'!F8</f>
        <v>51.375428952719872</v>
      </c>
      <c r="G10" s="14">
        <f>'05_Tabla_6_4_5'!G8</f>
        <v>1.8805954475045752E-2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00_Instrucciones</vt:lpstr>
      <vt:lpstr>01_WHOQOL_Items</vt:lpstr>
      <vt:lpstr>02_Puntajes</vt:lpstr>
      <vt:lpstr>03_Resumen_Dominios</vt:lpstr>
      <vt:lpstr>04_Mapeo_WHOQOL</vt:lpstr>
      <vt:lpstr>05_Tabla_6_4_5</vt:lpstr>
      <vt:lpstr>06_Dashboard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Cristhianne De León</dc:creator>
  <cp:lastModifiedBy>Cristhianne De León Vargas</cp:lastModifiedBy>
  <dcterms:created xsi:type="dcterms:W3CDTF">2026-06-30T23:19:33Z</dcterms:created>
  <dcterms:modified xsi:type="dcterms:W3CDTF">2026-06-30T23:19:34Z</dcterms:modified>
</cp:coreProperties>
</file>